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ink/ink1.xml" ContentType="application/inkml+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ink/ink2.xml" ContentType="application/inkml+xml"/>
  <Override PartName="/xl/ink/ink3.xml" ContentType="application/inkml+xml"/>
  <Override PartName="/xl/ink/ink4.xml" ContentType="application/inkml+xml"/>
  <Override PartName="/xl/ink/ink5.xml" ContentType="application/inkml+xml"/>
  <Override PartName="/xl/ink/ink6.xml" ContentType="application/inkml+xml"/>
  <Override PartName="/xl/ink/ink7.xml" ContentType="application/inkml+xml"/>
  <Override PartName="/xl/ink/ink8.xml" ContentType="application/inkml+xml"/>
  <Override PartName="/xl/ink/ink9.xml" ContentType="application/inkml+xml"/>
  <Override PartName="/xl/ink/ink10.xml" ContentType="application/inkml+xml"/>
  <Override PartName="/xl/ink/ink11.xml" ContentType="application/inkml+xml"/>
  <Override PartName="/xl/ink/ink12.xml" ContentType="application/inkml+xml"/>
  <Override PartName="/xl/ink/ink13.xml" ContentType="application/inkml+xml"/>
  <Override PartName="/xl/ink/ink14.xml" ContentType="application/inkml+xml"/>
  <Override PartName="/xl/ink/ink15.xml" ContentType="application/inkml+xml"/>
  <Override PartName="/xl/ink/ink16.xml" ContentType="application/inkml+xml"/>
  <Override PartName="/xl/ink/ink17.xml" ContentType="application/inkml+xml"/>
  <Override PartName="/xl/ink/ink18.xml" ContentType="application/inkml+xml"/>
  <Override PartName="/xl/ink/ink19.xml" ContentType="application/inkml+xml"/>
  <Override PartName="/xl/ink/ink20.xml" ContentType="application/inkml+xml"/>
  <Override PartName="/xl/ink/ink21.xml" ContentType="application/inkml+xml"/>
  <Override PartName="/xl/ink/ink22.xml" ContentType="application/inkml+xml"/>
  <Override PartName="/xl/ink/ink23.xml" ContentType="application/inkml+xml"/>
  <Override PartName="/xl/ink/ink24.xml" ContentType="application/inkml+xml"/>
  <Override PartName="/xl/ink/ink25.xml" ContentType="application/inkml+xml"/>
  <Override PartName="/xl/ink/ink26.xml" ContentType="application/inkml+xml"/>
  <Override PartName="/xl/ink/ink27.xml" ContentType="application/inkml+xml"/>
  <Override PartName="/xl/ink/ink28.xml" ContentType="application/inkml+xml"/>
  <Override PartName="/xl/ink/ink29.xml" ContentType="application/inkml+xml"/>
  <Override PartName="/xl/ink/ink30.xml" ContentType="application/inkml+xml"/>
  <Override PartName="/xl/ink/ink31.xml" ContentType="application/inkml+xml"/>
  <Override PartName="/xl/ink/ink32.xml" ContentType="application/inkml+xml"/>
  <Override PartName="/xl/ink/ink33.xml" ContentType="application/inkml+xml"/>
  <Override PartName="/xl/ink/ink34.xml" ContentType="application/inkml+xml"/>
  <Override PartName="/xl/ink/ink35.xml" ContentType="application/inkml+xml"/>
  <Override PartName="/xl/ink/ink36.xml" ContentType="application/inkml+xml"/>
  <Override PartName="/xl/ink/ink37.xml" ContentType="application/inkml+xml"/>
  <Override PartName="/xl/ink/ink38.xml" ContentType="application/inkml+xml"/>
  <Override PartName="/xl/ink/ink39.xml" ContentType="application/inkml+xml"/>
  <Override PartName="/xl/ink/ink40.xml" ContentType="application/inkml+xml"/>
  <Override PartName="/xl/ink/ink41.xml" ContentType="application/inkml+xml"/>
  <Override PartName="/xl/ink/ink42.xml" ContentType="application/inkml+xml"/>
  <Override PartName="/xl/ink/ink43.xml" ContentType="application/inkml+xml"/>
  <Override PartName="/xl/ink/ink44.xml" ContentType="application/inkml+xml"/>
  <Override PartName="/xl/ink/ink45.xml" ContentType="application/inkml+xml"/>
  <Override PartName="/xl/ink/ink46.xml" ContentType="application/inkml+xml"/>
  <Override PartName="/xl/ink/ink47.xml" ContentType="application/inkml+xml"/>
  <Override PartName="/xl/ink/ink48.xml" ContentType="application/inkml+xml"/>
  <Override PartName="/xl/ink/ink49.xml" ContentType="application/inkml+xml"/>
  <Override PartName="/xl/ink/ink50.xml" ContentType="application/inkml+xml"/>
  <Override PartName="/xl/ink/ink51.xml" ContentType="application/inkml+xml"/>
  <Override PartName="/xl/ink/ink52.xml" ContentType="application/inkml+xml"/>
  <Override PartName="/xl/ink/ink53.xml" ContentType="application/inkml+xml"/>
  <Override PartName="/xl/ink/ink54.xml" ContentType="application/inkml+xml"/>
  <Override PartName="/xl/ink/ink55.xml" ContentType="application/inkml+xml"/>
  <Override PartName="/xl/ink/ink56.xml" ContentType="application/inkml+xml"/>
  <Override PartName="/xl/ink/ink57.xml" ContentType="application/inkml+xml"/>
  <Override PartName="/xl/ink/ink58.xml" ContentType="application/inkml+xml"/>
  <Override PartName="/xl/ink/ink59.xml" ContentType="application/inkml+xml"/>
  <Override PartName="/xl/ink/ink60.xml" ContentType="application/inkml+xml"/>
  <Override PartName="/xl/ink/ink61.xml" ContentType="application/inkml+xml"/>
  <Override PartName="/xl/ink/ink62.xml" ContentType="application/inkml+xml"/>
  <Override PartName="/xl/ink/ink63.xml" ContentType="application/inkml+xml"/>
  <Override PartName="/xl/ink/ink64.xml" ContentType="application/inkml+xml"/>
  <Override PartName="/xl/ink/ink65.xml" ContentType="application/inkml+xml"/>
  <Override PartName="/xl/ink/ink66.xml" ContentType="application/inkml+xml"/>
  <Override PartName="/xl/ink/ink67.xml" ContentType="application/inkml+xml"/>
  <Override PartName="/xl/ink/ink68.xml" ContentType="application/inkml+xml"/>
  <Override PartName="/xl/ink/ink69.xml" ContentType="application/inkml+xml"/>
  <Override PartName="/xl/ink/ink70.xml" ContentType="application/inkml+xml"/>
  <Override PartName="/xl/ink/ink71.xml" ContentType="application/inkml+xml"/>
  <Override PartName="/xl/ink/ink72.xml" ContentType="application/inkml+xml"/>
  <Override PartName="/xl/ink/ink73.xml" ContentType="application/inkml+xml"/>
  <Override PartName="/xl/ink/ink74.xml" ContentType="application/inkml+xml"/>
  <Override PartName="/xl/ink/ink75.xml" ContentType="application/inkml+xml"/>
  <Override PartName="/xl/ink/ink76.xml" ContentType="application/inkml+xml"/>
  <Override PartName="/xl/ink/ink77.xml" ContentType="application/inkml+xml"/>
  <Override PartName="/xl/ink/ink78.xml" ContentType="application/inkml+xml"/>
  <Override PartName="/xl/ink/ink79.xml" ContentType="application/inkml+xml"/>
  <Override PartName="/xl/ink/ink80.xml" ContentType="application/inkml+xml"/>
  <Override PartName="/xl/ink/ink81.xml" ContentType="application/inkml+xml"/>
  <Override PartName="/xl/ink/ink82.xml" ContentType="application/inkml+xml"/>
  <Override PartName="/xl/ink/ink83.xml" ContentType="application/inkml+xml"/>
  <Override PartName="/xl/ink/ink84.xml" ContentType="application/inkml+xml"/>
  <Override PartName="/xl/ink/ink85.xml" ContentType="application/inkml+xml"/>
  <Override PartName="/xl/ink/ink86.xml" ContentType="application/inkml+xml"/>
  <Override PartName="/xl/ink/ink87.xml" ContentType="application/inkml+xml"/>
  <Override PartName="/xl/ink/ink88.xml" ContentType="application/inkml+xml"/>
  <Override PartName="/xl/ink/ink89.xml" ContentType="application/inkml+xml"/>
  <Override PartName="/xl/ink/ink90.xml" ContentType="application/inkml+xml"/>
  <Override PartName="/xl/ink/ink91.xml" ContentType="application/inkml+xml"/>
  <Override PartName="/xl/ink/ink92.xml" ContentType="application/inkml+xml"/>
  <Override PartName="/xl/ink/ink93.xml" ContentType="application/inkml+xml"/>
  <Override PartName="/xl/ink/ink94.xml" ContentType="application/inkml+xml"/>
  <Override PartName="/xl/ink/ink95.xml" ContentType="application/inkml+xml"/>
  <Override PartName="/xl/ink/ink96.xml" ContentType="application/inkml+xml"/>
  <Override PartName="/xl/ink/ink97.xml" ContentType="application/inkml+xml"/>
  <Override PartName="/xl/ink/ink98.xml" ContentType="application/inkml+xml"/>
  <Override PartName="/xl/ink/ink99.xml" ContentType="application/inkml+xml"/>
  <Override PartName="/xl/ink/ink100.xml" ContentType="application/inkml+xml"/>
  <Override PartName="/xl/ink/ink101.xml" ContentType="application/inkml+xml"/>
  <Override PartName="/xl/ink/ink102.xml" ContentType="application/inkml+xml"/>
  <Override PartName="/xl/ink/ink103.xml" ContentType="application/inkml+xml"/>
  <Override PartName="/xl/ink/ink104.xml" ContentType="application/inkml+xml"/>
  <Override PartName="/xl/ink/ink105.xml" ContentType="application/inkml+xml"/>
  <Override PartName="/xl/ink/ink106.xml" ContentType="application/inkml+xml"/>
  <Override PartName="/xl/ink/ink107.xml" ContentType="application/inkml+xml"/>
  <Override PartName="/xl/ink/ink108.xml" ContentType="application/inkml+xml"/>
  <Override PartName="/xl/ink/ink109.xml" ContentType="application/inkml+xml"/>
  <Override PartName="/xl/ink/ink110.xml" ContentType="application/inkml+xml"/>
  <Override PartName="/xl/ink/ink111.xml" ContentType="application/inkml+xml"/>
  <Override PartName="/xl/ink/ink112.xml" ContentType="application/inkml+xml"/>
  <Override PartName="/xl/ink/ink113.xml" ContentType="application/inkml+xml"/>
  <Override PartName="/xl/ink/ink114.xml" ContentType="application/inkml+xml"/>
  <Override PartName="/xl/ink/ink115.xml" ContentType="application/inkml+xml"/>
  <Override PartName="/xl/ink/ink116.xml" ContentType="application/inkml+xml"/>
  <Override PartName="/xl/ink/ink117.xml" ContentType="application/inkml+xml"/>
  <Override PartName="/xl/ink/ink118.xml" ContentType="application/inkml+xml"/>
  <Override PartName="/xl/ink/ink119.xml" ContentType="application/inkml+xml"/>
  <Override PartName="/xl/ink/ink120.xml" ContentType="application/inkml+xml"/>
  <Override PartName="/xl/ink/ink121.xml" ContentType="application/inkml+xml"/>
  <Override PartName="/xl/ink/ink122.xml" ContentType="application/inkml+xml"/>
  <Override PartName="/xl/ink/ink123.xml" ContentType="application/inkml+xml"/>
  <Override PartName="/xl/ink/ink124.xml" ContentType="application/inkml+xml"/>
  <Override PartName="/xl/ink/ink125.xml" ContentType="application/inkml+xml"/>
  <Override PartName="/xl/ink/ink126.xml" ContentType="application/inkml+xml"/>
  <Override PartName="/xl/ink/ink127.xml" ContentType="application/inkml+xml"/>
  <Override PartName="/xl/ink/ink128.xml" ContentType="application/inkml+xml"/>
  <Override PartName="/xl/ink/ink129.xml" ContentType="application/inkml+xml"/>
  <Override PartName="/xl/ink/ink130.xml" ContentType="application/inkml+xml"/>
  <Override PartName="/xl/ink/ink131.xml" ContentType="application/inkml+xml"/>
  <Override PartName="/xl/ink/ink132.xml" ContentType="application/inkml+xml"/>
  <Override PartName="/xl/ink/ink133.xml" ContentType="application/inkml+xml"/>
  <Override PartName="/xl/ink/ink134.xml" ContentType="application/inkml+xml"/>
  <Override PartName="/xl/ink/ink135.xml" ContentType="application/inkml+xml"/>
  <Override PartName="/xl/ink/ink136.xml" ContentType="application/inkml+xml"/>
  <Override PartName="/xl/ink/ink137.xml" ContentType="application/inkml+xml"/>
  <Override PartName="/xl/ink/ink138.xml" ContentType="application/inkml+xml"/>
  <Override PartName="/xl/ink/ink139.xml" ContentType="application/inkml+xml"/>
  <Override PartName="/xl/ink/ink140.xml" ContentType="application/inkml+xml"/>
  <Override PartName="/xl/ink/ink141.xml" ContentType="application/inkml+xml"/>
  <Override PartName="/xl/ink/ink142.xml" ContentType="application/inkml+xml"/>
  <Override PartName="/xl/ink/ink143.xml" ContentType="application/inkml+xml"/>
  <Override PartName="/xl/ink/ink144.xml" ContentType="application/inkml+xml"/>
  <Override PartName="/xl/ink/ink145.xml" ContentType="application/inkml+xml"/>
  <Override PartName="/xl/ink/ink146.xml" ContentType="application/inkml+xml"/>
  <Override PartName="/xl/ink/ink147.xml" ContentType="application/inkml+xml"/>
  <Override PartName="/xl/ink/ink148.xml" ContentType="application/inkml+xml"/>
  <Override PartName="/xl/ink/ink149.xml" ContentType="application/inkml+xml"/>
  <Override PartName="/xl/ink/ink150.xml" ContentType="application/inkml+xml"/>
  <Override PartName="/xl/ink/ink151.xml" ContentType="application/inkml+xml"/>
  <Override PartName="/xl/ink/ink152.xml" ContentType="application/inkml+xml"/>
  <Override PartName="/xl/ink/ink153.xml" ContentType="application/inkml+xml"/>
  <Override PartName="/xl/ink/ink154.xml" ContentType="application/inkml+xml"/>
  <Override PartName="/xl/ink/ink155.xml" ContentType="application/inkml+xml"/>
  <Override PartName="/xl/ink/ink156.xml" ContentType="application/inkml+xml"/>
  <Override PartName="/xl/ink/ink157.xml" ContentType="application/inkml+xml"/>
  <Override PartName="/xl/ink/ink158.xml" ContentType="application/inkml+xml"/>
  <Override PartName="/xl/ink/ink159.xml" ContentType="application/inkml+xml"/>
  <Override PartName="/xl/ink/ink160.xml" ContentType="application/inkml+xml"/>
  <Override PartName="/xl/ink/ink161.xml" ContentType="application/inkml+xml"/>
  <Override PartName="/xl/ink/ink162.xml" ContentType="application/inkml+xml"/>
  <Override PartName="/xl/ink/ink163.xml" ContentType="application/inkml+xml"/>
  <Override PartName="/xl/ink/ink164.xml" ContentType="application/inkml+xml"/>
  <Override PartName="/xl/ink/ink165.xml" ContentType="application/inkml+xml"/>
  <Override PartName="/xl/ink/ink166.xml" ContentType="application/inkml+xml"/>
  <Override PartName="/xl/ink/ink167.xml" ContentType="application/inkml+xml"/>
  <Override PartName="/xl/ink/ink168.xml" ContentType="application/inkml+xml"/>
  <Override PartName="/xl/ink/ink169.xml" ContentType="application/inkml+xml"/>
  <Override PartName="/xl/ink/ink170.xml" ContentType="application/inkml+xml"/>
  <Override PartName="/xl/ink/ink171.xml" ContentType="application/inkml+xml"/>
  <Override PartName="/xl/ink/ink172.xml" ContentType="application/inkml+xml"/>
  <Override PartName="/xl/ink/ink173.xml" ContentType="application/inkml+xml"/>
  <Override PartName="/xl/ink/ink174.xml" ContentType="application/inkml+xml"/>
  <Override PartName="/xl/ink/ink175.xml" ContentType="application/inkml+xml"/>
  <Override PartName="/xl/ink/ink176.xml" ContentType="application/inkml+xml"/>
  <Override PartName="/xl/ink/ink177.xml" ContentType="application/inkml+xml"/>
  <Override PartName="/xl/ink/ink178.xml" ContentType="application/inkml+xml"/>
  <Override PartName="/xl/ink/ink179.xml" ContentType="application/inkml+xml"/>
  <Override PartName="/xl/ink/ink180.xml" ContentType="application/inkml+xml"/>
  <Override PartName="/xl/ink/ink181.xml" ContentType="application/inkml+xml"/>
  <Override PartName="/xl/ink/ink182.xml" ContentType="application/inkml+xml"/>
  <Override PartName="/xl/ink/ink183.xml" ContentType="application/inkml+xml"/>
  <Override PartName="/xl/ink/ink184.xml" ContentType="application/inkml+xml"/>
  <Override PartName="/xl/ink/ink185.xml" ContentType="application/inkml+xml"/>
  <Override PartName="/xl/ink/ink186.xml" ContentType="application/inkml+xml"/>
  <Override PartName="/xl/ink/ink187.xml" ContentType="application/inkml+xml"/>
  <Override PartName="/xl/ink/ink188.xml" ContentType="application/inkml+xml"/>
  <Override PartName="/xl/ink/ink189.xml" ContentType="application/inkml+xml"/>
  <Override PartName="/xl/ink/ink190.xml" ContentType="application/inkml+xml"/>
  <Override PartName="/xl/ink/ink191.xml" ContentType="application/inkml+xml"/>
  <Override PartName="/xl/ink/ink192.xml" ContentType="application/inkml+xml"/>
  <Override PartName="/xl/ink/ink193.xml" ContentType="application/inkml+xml"/>
  <Override PartName="/xl/ink/ink194.xml" ContentType="application/inkml+xml"/>
  <Override PartName="/xl/ink/ink195.xml" ContentType="application/inkml+xml"/>
  <Override PartName="/xl/ink/ink196.xml" ContentType="application/inkml+xml"/>
  <Override PartName="/xl/ink/ink197.xml" ContentType="application/inkml+xml"/>
  <Override PartName="/xl/ink/ink198.xml" ContentType="application/inkml+xml"/>
  <Override PartName="/xl/ink/ink199.xml" ContentType="application/inkml+xml"/>
  <Override PartName="/xl/ink/ink200.xml" ContentType="application/inkml+xml"/>
  <Override PartName="/xl/ink/ink201.xml" ContentType="application/inkml+xml"/>
  <Override PartName="/xl/ink/ink202.xml" ContentType="application/inkml+xml"/>
  <Override PartName="/xl/ink/ink203.xml" ContentType="application/inkml+xml"/>
  <Override PartName="/xl/ink/ink204.xml" ContentType="application/inkml+xml"/>
  <Override PartName="/xl/ink/ink205.xml" ContentType="application/inkml+xml"/>
  <Override PartName="/xl/ink/ink206.xml" ContentType="application/inkml+xml"/>
  <Override PartName="/xl/ink/ink207.xml" ContentType="application/inkml+xml"/>
  <Override PartName="/xl/ink/ink208.xml" ContentType="application/inkml+xml"/>
  <Override PartName="/xl/ink/ink209.xml" ContentType="application/inkml+xml"/>
  <Override PartName="/xl/ink/ink210.xml" ContentType="application/inkml+xml"/>
  <Override PartName="/xl/ink/ink211.xml" ContentType="application/inkml+xml"/>
  <Override PartName="/xl/ink/ink212.xml" ContentType="application/inkml+xml"/>
  <Override PartName="/xl/ink/ink213.xml" ContentType="application/inkml+xml"/>
  <Override PartName="/xl/ink/ink214.xml" ContentType="application/inkml+xml"/>
  <Override PartName="/xl/ink/ink215.xml" ContentType="application/inkml+xml"/>
  <Override PartName="/xl/ink/ink216.xml" ContentType="application/inkml+xml"/>
  <Override PartName="/xl/ink/ink217.xml" ContentType="application/inkml+xml"/>
  <Override PartName="/xl/ink/ink218.xml" ContentType="application/inkml+xml"/>
  <Override PartName="/xl/ink/ink219.xml" ContentType="application/inkml+xml"/>
  <Override PartName="/xl/ink/ink220.xml" ContentType="application/inkml+xml"/>
  <Override PartName="/xl/ink/ink221.xml" ContentType="application/inkml+xml"/>
  <Override PartName="/xl/ink/ink222.xml" ContentType="application/inkml+xml"/>
  <Override PartName="/xl/ink/ink223.xml" ContentType="application/inkml+xml"/>
  <Override PartName="/xl/ink/ink224.xml" ContentType="application/inkml+xml"/>
  <Override PartName="/xl/ink/ink225.xml" ContentType="application/inkml+xml"/>
  <Override PartName="/xl/ink/ink226.xml" ContentType="application/inkml+xml"/>
  <Override PartName="/xl/ink/ink227.xml" ContentType="application/inkml+xml"/>
  <Override PartName="/xl/ink/ink228.xml" ContentType="application/inkml+xml"/>
  <Override PartName="/xl/ink/ink229.xml" ContentType="application/inkml+xml"/>
  <Override PartName="/xl/ink/ink230.xml" ContentType="application/inkml+xml"/>
  <Override PartName="/xl/ink/ink231.xml" ContentType="application/inkml+xml"/>
  <Override PartName="/xl/ink/ink232.xml" ContentType="application/inkml+xml"/>
  <Override PartName="/xl/ink/ink233.xml" ContentType="application/inkml+xml"/>
  <Override PartName="/xl/ink/ink234.xml" ContentType="application/inkml+xml"/>
  <Override PartName="/xl/ink/ink235.xml" ContentType="application/inkml+xml"/>
  <Override PartName="/xl/ink/ink236.xml" ContentType="application/inkml+xml"/>
  <Override PartName="/xl/ink/ink237.xml" ContentType="application/inkml+xml"/>
  <Override PartName="/xl/ink/ink238.xml" ContentType="application/inkml+xml"/>
  <Override PartName="/xl/ink/ink239.xml" ContentType="application/inkml+xml"/>
  <Override PartName="/xl/ink/ink240.xml" ContentType="application/inkml+xml"/>
  <Override PartName="/xl/ink/ink241.xml" ContentType="application/inkml+xml"/>
  <Override PartName="/xl/ink/ink242.xml" ContentType="application/inkml+xml"/>
  <Override PartName="/xl/ink/ink243.xml" ContentType="application/inkml+xml"/>
  <Override PartName="/xl/ink/ink244.xml" ContentType="application/inkml+xml"/>
  <Override PartName="/xl/ink/ink245.xml" ContentType="application/inkml+xml"/>
  <Override PartName="/xl/ink/ink246.xml" ContentType="application/inkml+xml"/>
  <Override PartName="/xl/ink/ink247.xml" ContentType="application/inkml+xml"/>
  <Override PartName="/xl/ink/ink248.xml" ContentType="application/inkml+xml"/>
  <Override PartName="/xl/ink/ink249.xml" ContentType="application/inkml+xml"/>
  <Override PartName="/xl/ink/ink250.xml" ContentType="application/inkml+xml"/>
  <Override PartName="/xl/ink/ink251.xml" ContentType="application/inkml+xml"/>
  <Override PartName="/xl/drawings/drawing6.xml" ContentType="application/vnd.openxmlformats-officedocument.drawing+xml"/>
  <Override PartName="/xl/ink/ink252.xml" ContentType="application/inkml+xml"/>
  <Override PartName="/xl/ink/ink253.xml" ContentType="application/inkml+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07" codeName="{857A39E2-67AF-9BA6-E15C-A4B3A0C75593}"/>
  <workbookPr codeName="ThisWorkbook" defaultThemeVersion="166925"/>
  <mc:AlternateContent xmlns:mc="http://schemas.openxmlformats.org/markup-compatibility/2006">
    <mc:Choice Requires="x15">
      <x15ac:absPath xmlns:x15ac="http://schemas.microsoft.com/office/spreadsheetml/2010/11/ac" url="/Users/briandoherty/Downloads/"/>
    </mc:Choice>
  </mc:AlternateContent>
  <xr:revisionPtr revIDLastSave="0" documentId="13_ncr:1_{BD77EDF1-FDB5-B54D-85FA-53A75464F4B3}" xr6:coauthVersionLast="47" xr6:coauthVersionMax="47" xr10:uidLastSave="{00000000-0000-0000-0000-000000000000}"/>
  <bookViews>
    <workbookView xWindow="680" yWindow="660" windowWidth="32560" windowHeight="19700" tabRatio="873" xr2:uid="{00000000-000D-0000-FFFF-FFFF00000000}"/>
  </bookViews>
  <sheets>
    <sheet name="Cover" sheetId="23" r:id="rId1"/>
    <sheet name="Bid Notes" sheetId="24" r:id="rId2"/>
    <sheet name="A" sheetId="20" r:id="rId3"/>
    <sheet name="B" sheetId="5" r:id="rId4"/>
    <sheet name="CDE" sheetId="6" r:id="rId5"/>
    <sheet name="FGH" sheetId="7" r:id="rId6"/>
    <sheet name="IJKL" sheetId="8" r:id="rId7"/>
    <sheet name="MN" sheetId="9" r:id="rId8"/>
    <sheet name="O" sheetId="10" r:id="rId9"/>
    <sheet name="P1. Breakout Expenses" sheetId="30" r:id="rId10"/>
    <sheet name="P2. Breakout Labor" sheetId="94" r:id="rId11"/>
    <sheet name="P3. Breakout Talent" sheetId="96" r:id="rId12"/>
    <sheet name="P4. Breakout Blank" sheetId="97" r:id="rId13"/>
    <sheet name="Q" sheetId="12" state="hidden" r:id="rId14"/>
    <sheet name="R" sheetId="33" state="hidden" r:id="rId15"/>
    <sheet name="S" sheetId="13" state="hidden" r:id="rId16"/>
    <sheet name="T" sheetId="32" state="hidden" r:id="rId17"/>
    <sheet name="VW" sheetId="49" state="hidden" r:id="rId18"/>
    <sheet name="X" sheetId="22" state="hidden" r:id="rId19"/>
    <sheet name="FAQ" sheetId="90" state="hidden" r:id="rId20"/>
    <sheet name="Sheet1" sheetId="91" state="hidden" r:id="rId21"/>
    <sheet name="XTemplate" sheetId="50" state="hidden" r:id="rId22"/>
    <sheet name="P_Template" sheetId="47" state="hidden" r:id="rId23"/>
    <sheet name="Labor_Template" sheetId="75" state="hidden" r:id="rId24"/>
    <sheet name="Talent_Template" sheetId="77" state="hidden" r:id="rId25"/>
    <sheet name="Blank_Template" sheetId="79" state="hidden" r:id="rId26"/>
    <sheet name="AICP" sheetId="92" state="hidden" r:id="rId27"/>
    <sheet name="Expenses_Template" sheetId="78" state="hidden" r:id="rId28"/>
  </sheets>
  <definedNames>
    <definedName name="_xlnm._FilterDatabase" localSheetId="19" hidden="1">FAQ!$M$1:$N$113</definedName>
    <definedName name="Actual_10000">X!$AB$16</definedName>
    <definedName name="Actual_10001">X!$AB$27</definedName>
    <definedName name="Actual_10002">X!$AB$38</definedName>
    <definedName name="Actual_10003">X!$AB$49</definedName>
    <definedName name="Actual_10004">X!$AB$60</definedName>
    <definedName name="Actual_10005">X!$AB$71</definedName>
    <definedName name="Actual_10006">X!$AB$82</definedName>
    <definedName name="Actual_10007">X!$AB$93</definedName>
    <definedName name="Actual_10008">X!#REF!</definedName>
    <definedName name="Actual_A">A!$AB$65</definedName>
    <definedName name="Actual_B">B!$AB$65</definedName>
    <definedName name="Actual_C">CDE!$AB$23</definedName>
    <definedName name="Actual_D">CDE!$AB$53</definedName>
    <definedName name="Actual_E">CDE!$AB$68</definedName>
    <definedName name="Actual_F">FGH!$AB$29</definedName>
    <definedName name="Actual_G">FGH!$AB$49</definedName>
    <definedName name="Actual_H">FGH!$AB$65</definedName>
    <definedName name="Actual_I">IJKL!$AB$28</definedName>
    <definedName name="Actual_J">IJKL!$AB$38</definedName>
    <definedName name="Actual_K">IJKL!$AB$52</definedName>
    <definedName name="Actual_L">IJKL!$AB$63</definedName>
    <definedName name="Actual_M">MN!$AB$53</definedName>
    <definedName name="Actual_N">MN!$AB$65</definedName>
    <definedName name="Actual_O">O!$AB$137</definedName>
    <definedName name="Actual_P" localSheetId="25">Blank_Template!$AB$72</definedName>
    <definedName name="Actual_P" localSheetId="27">Expenses_Template!$AB$72</definedName>
    <definedName name="Actual_P" localSheetId="23">Labor_Template!$AB$63</definedName>
    <definedName name="Actual_P" localSheetId="22">P_Template!$AB$63</definedName>
    <definedName name="Actual_P" localSheetId="9">'P1. Breakout Expenses'!$AB$63</definedName>
    <definedName name="Actual_P" localSheetId="10">'P2. Breakout Labor'!$AB$63</definedName>
    <definedName name="Actual_P" localSheetId="11">'P3. Breakout Talent'!$AB$63</definedName>
    <definedName name="Actual_P" localSheetId="12">'P4. Breakout Blank'!$AB$72</definedName>
    <definedName name="Actual_P" localSheetId="24">Talent_Template!$AB$63</definedName>
    <definedName name="Actual_Q">Q!$AB$61</definedName>
    <definedName name="Actual_R">'R'!$AB$61</definedName>
    <definedName name="Actual_S">S!$AB$61</definedName>
    <definedName name="Actual_T">T!$AB$61</definedName>
    <definedName name="Actual_V">VW!$AB$41</definedName>
    <definedName name="Actual_W">VW!$AB$59</definedName>
    <definedName name="Actual_X">X!$AB$95</definedName>
    <definedName name="AddSec">X!$D$2</definedName>
    <definedName name="AtoKLine">Cover!$Z$47</definedName>
    <definedName name="ClearTop">Cover!$AM$9</definedName>
    <definedName name="ClearVals">Cover!$AI$9</definedName>
    <definedName name="EndTopProdSummary">Cover!$B$59</definedName>
    <definedName name="FAQTable">FAQ!$C$83:$C$118</definedName>
    <definedName name="FringeRate_A">A!$AP$13</definedName>
    <definedName name="FringeRate_B">B!$AP$13</definedName>
    <definedName name="FringeRate_G">FGH!$AP$34</definedName>
    <definedName name="FringeRate_M">MN!$AP$11</definedName>
    <definedName name="Global_Fringe">Cover!$D$6</definedName>
    <definedName name="Global_Handling">Cover!$G$6</definedName>
    <definedName name="Global_Markup">Cover!$J$6</definedName>
    <definedName name="Global_Tax">Cover!$M$6</definedName>
    <definedName name="GrandTotal">Cover!$Z$76</definedName>
    <definedName name="GrandTotalRow">Cover!$B$75</definedName>
    <definedName name="HandleM">MN!$AJ$52</definedName>
    <definedName name="HandleN">MN!$AM$52</definedName>
    <definedName name="Handling_O">O!$AR$136</definedName>
    <definedName name="HeaderCopy">X!$7:$11</definedName>
    <definedName name="HoldLastSection">X!$AP$1</definedName>
    <definedName name="HourlyState_A">A!$AR$13</definedName>
    <definedName name="HourlyState_B">B!$AR$13</definedName>
    <definedName name="HourlyState_G">FGH!$AR$34</definedName>
    <definedName name="HourlyState_M">MN!$AR$11</definedName>
    <definedName name="KillP">Cover!$BG$76:$BJ$76</definedName>
    <definedName name="Lead">X!$C$7</definedName>
    <definedName name="LilySections">Cover!$AN$13:$AN$16,Cover!$AQ$13:$AQ$16</definedName>
    <definedName name="MAgencyFees">MN!$AJ$48</definedName>
    <definedName name="Mark_QMU">Q!$AM$7:$AM$60</definedName>
    <definedName name="Mark_QTX">Q!$AU$7:$AU$60</definedName>
    <definedName name="Mark_RMU">'R'!$AM$7:$AM$60</definedName>
    <definedName name="Mark_RTX">'R'!$AU$7:$AU$60</definedName>
    <definedName name="Mark_SMU">S!$AM$7:$AM$60</definedName>
    <definedName name="Mark_STX">S!$AU$7:$AU$60</definedName>
    <definedName name="Mark_TMU">T!$AM$7:$AM$60</definedName>
    <definedName name="Mark_TTX">T!$AU$7:$AU$60</definedName>
    <definedName name="Mark_VMU">VW!$AM$7:$AM$40</definedName>
    <definedName name="Mark_VTX">VW!$AU$7:$AU$40</definedName>
    <definedName name="Markup_M">MN!$W$52</definedName>
    <definedName name="Markup_N">MN!$W$64</definedName>
    <definedName name="Markup_Q">Q!$AN$61</definedName>
    <definedName name="Markup_R">'R'!$AN$61</definedName>
    <definedName name="Markup_S">S!$AN$61</definedName>
    <definedName name="Markup_T">T!$AN$61</definedName>
    <definedName name="Markup_V">VW!$AN$41</definedName>
    <definedName name="Minus_10006">X!#REF!</definedName>
    <definedName name="Minus_10009">X!#REF!</definedName>
    <definedName name="MPayroll">MN!$AM$48</definedName>
    <definedName name="NewP">Cover!$AU$77</definedName>
    <definedName name="OBottom">Cover!$B$56</definedName>
    <definedName name="Open_10007">X!#REF!</definedName>
    <definedName name="Open_10008">X!#REF!</definedName>
    <definedName name="OTop">Cover!$B$51</definedName>
    <definedName name="P_LINE1" localSheetId="25">Blank_Template!$C$10</definedName>
    <definedName name="P_LINE1" localSheetId="27">Expenses_Template!$C$10</definedName>
    <definedName name="P_LINE1" localSheetId="23">Labor_Template!$C$11</definedName>
    <definedName name="P_LINE1" localSheetId="10">'P2. Breakout Labor'!$C$11</definedName>
    <definedName name="P_LINE1" localSheetId="11">'P3. Breakout Talent'!$C$11</definedName>
    <definedName name="P_LINE1" localSheetId="12">'P4. Breakout Blank'!$C$10</definedName>
    <definedName name="P_LINE1" localSheetId="24">Talent_Template!$C$11</definedName>
    <definedName name="P_NUM" localSheetId="25">Blank_Template!$C$8</definedName>
    <definedName name="P_NUM" localSheetId="27">Expenses_Template!$C$8</definedName>
    <definedName name="P_NUM" localSheetId="23">Labor_Template!$C$8</definedName>
    <definedName name="P_NUM" localSheetId="22">P_Template!$C$8</definedName>
    <definedName name="P_NUM" localSheetId="9">'P1. Breakout Expenses'!$C$8</definedName>
    <definedName name="P_NUM" localSheetId="10">'P2. Breakout Labor'!$C$8</definedName>
    <definedName name="P_NUM" localSheetId="11">'P3. Breakout Talent'!$C$8</definedName>
    <definedName name="P_NUM" localSheetId="12">'P4. Breakout Blank'!$C$8</definedName>
    <definedName name="P_NUM" localSheetId="24">Talent_Template!$C$8</definedName>
    <definedName name="P_TITLE" localSheetId="25">Blank_Template!$D$8</definedName>
    <definedName name="P_TITLE" localSheetId="27">Expenses_Template!$D$8</definedName>
    <definedName name="P_TITLE" localSheetId="23">Labor_Template!$D$8</definedName>
    <definedName name="P_TITLE" localSheetId="22">P_Template!$D$8</definedName>
    <definedName name="P_TITLE" localSheetId="9">'P1. Breakout Expenses'!$D$8</definedName>
    <definedName name="P_TITLE" localSheetId="10">'P2. Breakout Labor'!$D$8</definedName>
    <definedName name="P_TITLE" localSheetId="11">'P3. Breakout Talent'!$D$8</definedName>
    <definedName name="P_TITLE" localSheetId="12">'P4. Breakout Blank'!$D$8</definedName>
    <definedName name="P_TITLE" localSheetId="24">Talent_Template!$D$8</definedName>
    <definedName name="P_TITLE">'P1. Breakout Expenses'!$D$8</definedName>
    <definedName name="P_TOT" localSheetId="25">Blank_Template!$W$72</definedName>
    <definedName name="P_TOT" localSheetId="27">Expenses_Template!$W$72</definedName>
    <definedName name="P_TOT" localSheetId="23">Labor_Template!$W$63</definedName>
    <definedName name="P_TOT" localSheetId="22">P_Template!$W$63</definedName>
    <definedName name="P_TOT" localSheetId="10">'P2. Breakout Labor'!$W$63</definedName>
    <definedName name="P_TOT" localSheetId="11">'P3. Breakout Talent'!$W$63</definedName>
    <definedName name="P_TOT" localSheetId="12">'P4. Breakout Blank'!$W$72</definedName>
    <definedName name="P_TOT" localSheetId="24">Talent_Template!$W$63</definedName>
    <definedName name="P_TOT">'P1. Breakout Expenses'!$W$72</definedName>
    <definedName name="PBottom">Cover!$B$83</definedName>
    <definedName name="PCount">Cover!$BD$78</definedName>
    <definedName name="PFeePerc">Cover!$Q$6</definedName>
    <definedName name="PFeeX">Cover!$T$6</definedName>
    <definedName name="PInsPerc">Cover!$X$6</definedName>
    <definedName name="Plus_10000">X!$AJ$11</definedName>
    <definedName name="Plus_10001">X!$AJ$22</definedName>
    <definedName name="Plus_10002">X!$AJ$33</definedName>
    <definedName name="Plus_10003">X!$AJ$44</definedName>
    <definedName name="Plus_10004">X!$AJ$55</definedName>
    <definedName name="Plus_10005">X!$AJ$66</definedName>
    <definedName name="Plus_10006">X!$AJ$77</definedName>
    <definedName name="Plus_10007">X!$AJ$88</definedName>
    <definedName name="Plus_10008">X!#REF!</definedName>
    <definedName name="Plus_10009">X!#REF!</definedName>
    <definedName name="Plus_10010">X!#REF!</definedName>
    <definedName name="PostIns_Subject">Cover!$AM$61:$AM$67</definedName>
    <definedName name="PostInsPerc">Cover!$AA$6</definedName>
    <definedName name="PostInsRow">Cover!$B$70</definedName>
    <definedName name="PostMURow">Cover!$B$71</definedName>
    <definedName name="PostProdIns">Cover!$Z$70</definedName>
    <definedName name="PostProdMU">Cover!$Z$71</definedName>
    <definedName name="PostProdTax">Cover!$Z$72</definedName>
    <definedName name="PostSubRow">Cover!$B$68</definedName>
    <definedName name="PostTaxRow">Cover!$B$72</definedName>
    <definedName name="PostTotalRow">Cover!$B$73</definedName>
    <definedName name="PPFee_Perc">Cover!$V$69</definedName>
    <definedName name="_xlnm.Print_Area" localSheetId="2">A!$B$10:$AA$65</definedName>
    <definedName name="_xlnm.Print_Area" localSheetId="3">B!$B$10:$AA$65</definedName>
    <definedName name="_xlnm.Print_Area" localSheetId="1">'Bid Notes'!$C$3:$AD$70</definedName>
    <definedName name="_xlnm.Print_Area" localSheetId="25">Blank_Template!$B$8:$AA$72</definedName>
    <definedName name="_xlnm.Print_Area" localSheetId="4">CDE!$B$8:$AA$68</definedName>
    <definedName name="_xlnm.Print_Area" localSheetId="0">Cover!$B$9:$AD$88</definedName>
    <definedName name="_xlnm.Print_Area" localSheetId="27">Expenses_Template!$B$8:$AA$72</definedName>
    <definedName name="_xlnm.Print_Area" localSheetId="5">FGH!$B$10:$AA$65</definedName>
    <definedName name="_xlnm.Print_Area" localSheetId="6">IJKL!$B$8:$AA$63</definedName>
    <definedName name="_xlnm.Print_Area" localSheetId="23">Labor_Template!$B$8:$AA$63</definedName>
    <definedName name="_xlnm.Print_Area" localSheetId="7">MN!$B$8:$AA$65</definedName>
    <definedName name="_xlnm.Print_Area" localSheetId="8">O!$B$8:$AA$137</definedName>
    <definedName name="_xlnm.Print_Area" localSheetId="22">P_Template!$B$8:$AE$63</definedName>
    <definedName name="_xlnm.Print_Area" localSheetId="9">'P1. Breakout Expenses'!$B$8:$AA$72</definedName>
    <definedName name="_xlnm.Print_Area" localSheetId="10">'P2. Breakout Labor'!$B$8:$AA$63</definedName>
    <definedName name="_xlnm.Print_Area" localSheetId="11">'P3. Breakout Talent'!$B$8:$AA$63</definedName>
    <definedName name="_xlnm.Print_Area" localSheetId="12">'P4. Breakout Blank'!$B$8:$AA$72</definedName>
    <definedName name="_xlnm.Print_Area" localSheetId="13">Q!$B$5:$AA$61</definedName>
    <definedName name="_xlnm.Print_Area" localSheetId="14">'R'!$B$5:$AA$61</definedName>
    <definedName name="_xlnm.Print_Area" localSheetId="15">S!$B$5:$AA$61</definedName>
    <definedName name="_xlnm.Print_Area" localSheetId="16">T!$B$5:$AA$61</definedName>
    <definedName name="_xlnm.Print_Area" localSheetId="24">Talent_Template!$B$8:$AA$63</definedName>
    <definedName name="_xlnm.Print_Area" localSheetId="17">VW!$B$5:$AA$59</definedName>
    <definedName name="_xlnm.Print_Area" localSheetId="18">X!$B$6:$AA$95</definedName>
    <definedName name="PROD_Ins_Bot">Cover!$AW$56</definedName>
    <definedName name="PROD_PFee_Bot">Cover!$AT$56</definedName>
    <definedName name="PRODFee">Cover!$Z$57</definedName>
    <definedName name="PRODFee_Subject">Cover!$AM$47:$AM$55</definedName>
    <definedName name="ProdIns">Cover!$Z$56</definedName>
    <definedName name="ProdIns_Subject">Cover!$AN$47:$AN$55</definedName>
    <definedName name="PSec_IncTotal">Cover!$AI$79:$AI$82</definedName>
    <definedName name="Psec_Remove">Cover!$AU$78:$AU$82</definedName>
    <definedName name="PTop">Cover!$C$78</definedName>
    <definedName name="PTop_Hide">Cover!$B$77</definedName>
    <definedName name="PW_BTL">Cover!$AY$71</definedName>
    <definedName name="Q_MU">Q!$AJ$7</definedName>
    <definedName name="Q_ROW">Cover!$B$61</definedName>
    <definedName name="Q_TX">Q!$AR$7</definedName>
    <definedName name="R_MU">'R'!$AJ$7</definedName>
    <definedName name="R_ROW">Cover!$B$62</definedName>
    <definedName name="R_TX">'R'!$AR$7</definedName>
    <definedName name="RemSec">X!$H$2</definedName>
    <definedName name="S_MU">S!$AJ$7</definedName>
    <definedName name="S_ROW">Cover!$B$63</definedName>
    <definedName name="S_TX">S!$AR$7</definedName>
    <definedName name="SecA_Fringe">A!$W$64</definedName>
    <definedName name="SecB_Fringe">B!$W$64</definedName>
    <definedName name="SecG_Fringe">FGH!$W$48</definedName>
    <definedName name="SecXProdFeeRow">Cover!$B$69</definedName>
    <definedName name="SubTotal_A">A!$W$63</definedName>
    <definedName name="SubTotal_B">B!$W$63</definedName>
    <definedName name="SubTotal_G">FGH!$W$47</definedName>
    <definedName name="T_MU">T!$AJ$7</definedName>
    <definedName name="T_ROW">Cover!$B$64</definedName>
    <definedName name="T_TX">T!$AR$7</definedName>
    <definedName name="Tax_Q">Q!$AV$61</definedName>
    <definedName name="Tax_R">'R'!$AV$61</definedName>
    <definedName name="Tax_S">S!$AV$61</definedName>
    <definedName name="Tax_T">T!$AV$61</definedName>
    <definedName name="Tax_V">VW!$AV$41</definedName>
    <definedName name="thisSheetFringes" localSheetId="23">Labor_Template!$AP$11</definedName>
    <definedName name="thisSheetFringes" localSheetId="10">'P2. Breakout Labor'!$AP$11</definedName>
    <definedName name="thisSheetFringes" localSheetId="11">'P3. Breakout Talent'!$AP$11</definedName>
    <definedName name="thisSheetFringes" localSheetId="24">Talent_Template!$AP$11</definedName>
    <definedName name="thisSheetHandling" localSheetId="25">Blank_Template!$AR$71</definedName>
    <definedName name="thisSheetHandling" localSheetId="27">Expenses_Template!$AR$71</definedName>
    <definedName name="thisSheetHandling" localSheetId="22">P_Template!$AR$62</definedName>
    <definedName name="thisSheetHandling" localSheetId="12">'P4. Breakout Blank'!$AR$71</definedName>
    <definedName name="thisSheetHandling">'P1. Breakout Expenses'!$AR$71</definedName>
    <definedName name="thisSheetP1_Handling" localSheetId="11">'P3. Breakout Talent'!$AJ$48</definedName>
    <definedName name="thisSheetP1_Handling" localSheetId="24">Talent_Template!$AJ$48</definedName>
    <definedName name="thisSheetP2_Handling" localSheetId="11">'P3. Breakout Talent'!$AM$48</definedName>
    <definedName name="thisSheetP2_Handling" localSheetId="24">Talent_Template!$AM$48</definedName>
    <definedName name="ThisSheetState" localSheetId="23">Labor_Template!$AR$11</definedName>
    <definedName name="ThisSheetState" localSheetId="10">'P2. Breakout Labor'!$AR$11</definedName>
    <definedName name="ThisSheetState" localSheetId="11">'P3. Breakout Talent'!$AR$11</definedName>
    <definedName name="ThisSheetState" localSheetId="24">Talent_Template!$AR$11</definedName>
    <definedName name="thsSheetHandling">'P1. Breakout Expenses'!$AR$71</definedName>
    <definedName name="TOP_AtoK">Cover!$B$47</definedName>
    <definedName name="TopPostSummary">Cover!$B$60</definedName>
    <definedName name="TopProdSummary">Cover!$B$35</definedName>
    <definedName name="Total_10000">X!$X$16</definedName>
    <definedName name="Total_10001">X!$X$27</definedName>
    <definedName name="Total_10002">X!$X$38</definedName>
    <definedName name="Total_10003">X!$X$49</definedName>
    <definedName name="Total_10004">X!$X$60</definedName>
    <definedName name="Total_10005">X!$X$71</definedName>
    <definedName name="Total_10006">X!$X$82</definedName>
    <definedName name="Total_10007">X!$X$93</definedName>
    <definedName name="Total_10008">X!#REF!</definedName>
    <definedName name="Total_10009">X!#REF!</definedName>
    <definedName name="Total_10010">X!#REF!</definedName>
    <definedName name="Total_A">A!$W$65</definedName>
    <definedName name="Total_B">B!$W$65</definedName>
    <definedName name="Total_C">CDE!$W$23</definedName>
    <definedName name="Total_D">CDE!$W$53</definedName>
    <definedName name="Total_E">CDE!$W$68</definedName>
    <definedName name="Total_F">FGH!$W$29</definedName>
    <definedName name="Total_G">FGH!$W$49</definedName>
    <definedName name="Total_H">FGH!$W$65</definedName>
    <definedName name="Total_I">IJKL!$W$28</definedName>
    <definedName name="Total_J">IJKL!$W$38</definedName>
    <definedName name="Total_K">IJKL!$W$52</definedName>
    <definedName name="Total_L">IJKL!$W$63</definedName>
    <definedName name="Total_M">MN!$W$53</definedName>
    <definedName name="Total_N">MN!$W$65</definedName>
    <definedName name="Total_O">O!$W$137</definedName>
    <definedName name="Total_Q">Q!$W$61</definedName>
    <definedName name="Total_R">'R'!$W$61</definedName>
    <definedName name="Total_S">S!$W$61</definedName>
    <definedName name="Total_T">T!$W$61</definedName>
    <definedName name="Total_V">VW!$W$41</definedName>
    <definedName name="Total_W">VW!$W$59</definedName>
    <definedName name="Total_X">X!$X$95</definedName>
    <definedName name="TotalProdPost">Cover!$Z$75</definedName>
    <definedName name="V_MU">VW!$AJ$7</definedName>
    <definedName name="V_ROW">Cover!$B$65</definedName>
    <definedName name="V_TX">VW!$AR$7</definedName>
    <definedName name="Variance_P" localSheetId="25">Blank_Template!$AF$72</definedName>
    <definedName name="Variance_P" localSheetId="27">Expenses_Template!$AF$72</definedName>
    <definedName name="Variance_P" localSheetId="23">Labor_Template!$AF$63</definedName>
    <definedName name="Variance_P" localSheetId="22">P_Template!$AF$63</definedName>
    <definedName name="Variance_P" localSheetId="9">'P1. Breakout Expenses'!$AF$63</definedName>
    <definedName name="Variance_P" localSheetId="10">'P2. Breakout Labor'!$AF$63</definedName>
    <definedName name="Variance_P" localSheetId="11">'P3. Breakout Talent'!$AF$63</definedName>
    <definedName name="Variance_P" localSheetId="12">'P4. Breakout Blank'!$AF$72</definedName>
    <definedName name="Variance_P" localSheetId="24">Talent_Template!$AF$63</definedName>
    <definedName name="W_ROW">Cover!$B$66</definedName>
    <definedName name="X_10000Aft">X!$B$16</definedName>
    <definedName name="X_10000Bef">X!$B$11</definedName>
    <definedName name="X_10001Bef">X!$B$22</definedName>
    <definedName name="X_10002Bef">X!$B$33</definedName>
    <definedName name="X_10003Bef">X!$B$44</definedName>
    <definedName name="X_10004Bef">X!$B$55</definedName>
    <definedName name="X_10005Bef">X!$B$66</definedName>
    <definedName name="X_10006Bef">X!$B$77</definedName>
    <definedName name="X_10007Bef">X!$B$88</definedName>
    <definedName name="X_10008Bef">X!#REF!</definedName>
    <definedName name="X_10009Bef">X!#REF!</definedName>
    <definedName name="X_10010Bef">X!#REF!</definedName>
    <definedName name="X_ROW">Cover!$B$67</definedName>
    <definedName name="XProdFee">Cover!$Z$69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L11" i="9" l="1"/>
  <c r="AL12" i="9"/>
  <c r="AL11" i="96"/>
  <c r="AT11" i="96" s="1"/>
  <c r="AL12" i="96"/>
  <c r="AL13" i="96"/>
  <c r="AT13" i="96" s="1"/>
  <c r="AL11" i="77"/>
  <c r="AL12" i="77"/>
  <c r="W12" i="77"/>
  <c r="W13" i="77"/>
  <c r="W14" i="77"/>
  <c r="W15" i="77"/>
  <c r="W16" i="77"/>
  <c r="W17" i="77"/>
  <c r="W18" i="77"/>
  <c r="W19" i="77"/>
  <c r="W20" i="77"/>
  <c r="W21" i="77"/>
  <c r="W22" i="77"/>
  <c r="W23" i="77"/>
  <c r="W24" i="77"/>
  <c r="W25" i="77"/>
  <c r="W26" i="77"/>
  <c r="W27" i="77"/>
  <c r="W28" i="77"/>
  <c r="W29" i="77"/>
  <c r="W30" i="77"/>
  <c r="W31" i="77"/>
  <c r="W32" i="77"/>
  <c r="W33" i="77"/>
  <c r="W34" i="77"/>
  <c r="W35" i="77"/>
  <c r="W36" i="77"/>
  <c r="W37" i="77"/>
  <c r="W38" i="77"/>
  <c r="W11" i="77"/>
  <c r="W12" i="96"/>
  <c r="W13" i="96"/>
  <c r="W14" i="96"/>
  <c r="W15" i="96"/>
  <c r="AF15" i="96" s="1"/>
  <c r="W16" i="96"/>
  <c r="W17" i="96"/>
  <c r="W18" i="96"/>
  <c r="W19" i="96"/>
  <c r="AF19" i="96" s="1"/>
  <c r="W20" i="96"/>
  <c r="AF20" i="96" s="1"/>
  <c r="W21" i="96"/>
  <c r="W22" i="96"/>
  <c r="W23" i="96"/>
  <c r="W24" i="96"/>
  <c r="W25" i="96"/>
  <c r="AF25" i="96" s="1"/>
  <c r="W26" i="96"/>
  <c r="W27" i="96"/>
  <c r="W28" i="96"/>
  <c r="AF28" i="96" s="1"/>
  <c r="W29" i="96"/>
  <c r="AF29" i="96" s="1"/>
  <c r="W30" i="96"/>
  <c r="W31" i="96"/>
  <c r="W32" i="96"/>
  <c r="W33" i="96"/>
  <c r="W34" i="96"/>
  <c r="W35" i="96"/>
  <c r="W36" i="96"/>
  <c r="W37" i="96"/>
  <c r="AF37" i="96" s="1"/>
  <c r="W38" i="96"/>
  <c r="AF38" i="96" s="1"/>
  <c r="W11" i="96"/>
  <c r="W14" i="9"/>
  <c r="W15" i="9"/>
  <c r="W16" i="9"/>
  <c r="W17" i="9"/>
  <c r="W18" i="9"/>
  <c r="W19" i="9"/>
  <c r="W20" i="9"/>
  <c r="W21" i="9"/>
  <c r="W22" i="9"/>
  <c r="W23" i="9"/>
  <c r="W24" i="9"/>
  <c r="W25" i="9"/>
  <c r="W26" i="9"/>
  <c r="W27" i="9"/>
  <c r="W28" i="9"/>
  <c r="W29" i="9"/>
  <c r="W30" i="9"/>
  <c r="W31" i="9"/>
  <c r="W32" i="9"/>
  <c r="W33" i="9"/>
  <c r="W34" i="9"/>
  <c r="W35" i="9"/>
  <c r="W36" i="9"/>
  <c r="W37" i="9"/>
  <c r="W38" i="9"/>
  <c r="W39" i="9"/>
  <c r="W40" i="9"/>
  <c r="W41" i="9"/>
  <c r="W42" i="9"/>
  <c r="W11" i="9"/>
  <c r="W12" i="9"/>
  <c r="W13" i="9"/>
  <c r="C119" i="92"/>
  <c r="C118" i="92"/>
  <c r="AE55" i="23"/>
  <c r="Z82" i="23"/>
  <c r="E82" i="23"/>
  <c r="C82" i="23"/>
  <c r="O72" i="97"/>
  <c r="AJ71" i="97"/>
  <c r="W71" i="97"/>
  <c r="W72" i="97" s="1"/>
  <c r="O71" i="97"/>
  <c r="AF70" i="97"/>
  <c r="AB70" i="97"/>
  <c r="W70" i="97"/>
  <c r="O70" i="97"/>
  <c r="AF69" i="97"/>
  <c r="AF68" i="97"/>
  <c r="AF67" i="97"/>
  <c r="AF66" i="97"/>
  <c r="AF65" i="97"/>
  <c r="AF64" i="97"/>
  <c r="AF63" i="97"/>
  <c r="AF62" i="97"/>
  <c r="AF61" i="97"/>
  <c r="AF60" i="97"/>
  <c r="AF59" i="97"/>
  <c r="AF58" i="97"/>
  <c r="AF57" i="97"/>
  <c r="AF56" i="97"/>
  <c r="AF55" i="97"/>
  <c r="AF54" i="97"/>
  <c r="AF53" i="97"/>
  <c r="AF52" i="97"/>
  <c r="AF51" i="97"/>
  <c r="AF50" i="97"/>
  <c r="AF49" i="97"/>
  <c r="AF48" i="97"/>
  <c r="AF47" i="97"/>
  <c r="AF46" i="97"/>
  <c r="AF45" i="97"/>
  <c r="AF44" i="97"/>
  <c r="AF43" i="97"/>
  <c r="AF42" i="97"/>
  <c r="AF41" i="97"/>
  <c r="AF40" i="97"/>
  <c r="AF39" i="97"/>
  <c r="AF38" i="97"/>
  <c r="AF37" i="97"/>
  <c r="AF36" i="97"/>
  <c r="AF35" i="97"/>
  <c r="AF34" i="97"/>
  <c r="AF33" i="97"/>
  <c r="AF32" i="97"/>
  <c r="AF31" i="97"/>
  <c r="AF30" i="97"/>
  <c r="AF29" i="97"/>
  <c r="AF28" i="97"/>
  <c r="AF27" i="97"/>
  <c r="AF26" i="97"/>
  <c r="AF25" i="97"/>
  <c r="AF24" i="97"/>
  <c r="AF23" i="97"/>
  <c r="AF22" i="97"/>
  <c r="AF21" i="97"/>
  <c r="AF20" i="97"/>
  <c r="AF19" i="97"/>
  <c r="AF18" i="97"/>
  <c r="AF17" i="97"/>
  <c r="AF16" i="97"/>
  <c r="AF15" i="97"/>
  <c r="AF14" i="97"/>
  <c r="AF13" i="97"/>
  <c r="AF12" i="97"/>
  <c r="AF11" i="97"/>
  <c r="C11" i="97"/>
  <c r="C12" i="97" s="1"/>
  <c r="C13" i="97" s="1"/>
  <c r="C14" i="97" s="1"/>
  <c r="C15" i="97" s="1"/>
  <c r="C16" i="97" s="1"/>
  <c r="C17" i="97" s="1"/>
  <c r="C18" i="97" s="1"/>
  <c r="C19" i="97" s="1"/>
  <c r="C20" i="97" s="1"/>
  <c r="C21" i="97" s="1"/>
  <c r="C22" i="97" s="1"/>
  <c r="C23" i="97" s="1"/>
  <c r="C24" i="97" s="1"/>
  <c r="C25" i="97" s="1"/>
  <c r="C26" i="97" s="1"/>
  <c r="C27" i="97" s="1"/>
  <c r="C28" i="97" s="1"/>
  <c r="C29" i="97" s="1"/>
  <c r="C30" i="97" s="1"/>
  <c r="C31" i="97" s="1"/>
  <c r="C32" i="97" s="1"/>
  <c r="C33" i="97" s="1"/>
  <c r="C34" i="97" s="1"/>
  <c r="C35" i="97" s="1"/>
  <c r="C36" i="97" s="1"/>
  <c r="C37" i="97" s="1"/>
  <c r="C38" i="97" s="1"/>
  <c r="C39" i="97" s="1"/>
  <c r="C40" i="97" s="1"/>
  <c r="C41" i="97" s="1"/>
  <c r="C42" i="97" s="1"/>
  <c r="C43" i="97" s="1"/>
  <c r="C44" i="97" s="1"/>
  <c r="C45" i="97" s="1"/>
  <c r="C46" i="97" s="1"/>
  <c r="C47" i="97" s="1"/>
  <c r="C48" i="97" s="1"/>
  <c r="C49" i="97" s="1"/>
  <c r="C50" i="97" s="1"/>
  <c r="C51" i="97" s="1"/>
  <c r="C52" i="97" s="1"/>
  <c r="C53" i="97" s="1"/>
  <c r="C54" i="97" s="1"/>
  <c r="C55" i="97" s="1"/>
  <c r="C56" i="97" s="1"/>
  <c r="C57" i="97" s="1"/>
  <c r="C58" i="97" s="1"/>
  <c r="C59" i="97" s="1"/>
  <c r="C60" i="97" s="1"/>
  <c r="C61" i="97" s="1"/>
  <c r="C62" i="97" s="1"/>
  <c r="C63" i="97" s="1"/>
  <c r="C64" i="97" s="1"/>
  <c r="C65" i="97" s="1"/>
  <c r="C66" i="97" s="1"/>
  <c r="C67" i="97" s="1"/>
  <c r="C68" i="97" s="1"/>
  <c r="C69" i="97" s="1"/>
  <c r="AF10" i="97"/>
  <c r="AW55" i="23"/>
  <c r="AT55" i="23"/>
  <c r="Z55" i="23"/>
  <c r="N55" i="23"/>
  <c r="E55" i="23"/>
  <c r="C55" i="23"/>
  <c r="AR82" i="23"/>
  <c r="AJ82" i="23"/>
  <c r="AV82" i="23"/>
  <c r="AE54" i="23"/>
  <c r="E81" i="23"/>
  <c r="AJ81" i="23" s="1"/>
  <c r="C81" i="23"/>
  <c r="AV81" i="23" s="1"/>
  <c r="AB59" i="96"/>
  <c r="AF58" i="96"/>
  <c r="W58" i="96"/>
  <c r="W57" i="96"/>
  <c r="AF57" i="96" s="1"/>
  <c r="W56" i="96"/>
  <c r="AF56" i="96" s="1"/>
  <c r="W55" i="96"/>
  <c r="W59" i="96" s="1"/>
  <c r="AF54" i="96"/>
  <c r="W54" i="96"/>
  <c r="W53" i="96"/>
  <c r="AF53" i="96" s="1"/>
  <c r="D51" i="96"/>
  <c r="O60" i="96" s="1"/>
  <c r="O49" i="96"/>
  <c r="O48" i="96"/>
  <c r="AM47" i="96"/>
  <c r="AJ47" i="96"/>
  <c r="W47" i="96"/>
  <c r="AF47" i="96" s="1"/>
  <c r="AF46" i="96"/>
  <c r="W46" i="96"/>
  <c r="W45" i="96"/>
  <c r="AF45" i="96" s="1"/>
  <c r="O40" i="96"/>
  <c r="AB39" i="96"/>
  <c r="O39" i="96"/>
  <c r="AL38" i="96"/>
  <c r="AN38" i="96" s="1"/>
  <c r="AV38" i="96" s="1"/>
  <c r="AL37" i="96"/>
  <c r="AT37" i="96" s="1"/>
  <c r="AL36" i="96"/>
  <c r="AT36" i="96" s="1"/>
  <c r="AF36" i="96"/>
  <c r="AL35" i="96"/>
  <c r="AT35" i="96" s="1"/>
  <c r="AF35" i="96"/>
  <c r="AL34" i="96"/>
  <c r="AT34" i="96" s="1"/>
  <c r="AF34" i="96"/>
  <c r="AL33" i="96"/>
  <c r="AT33" i="96" s="1"/>
  <c r="AF33" i="96"/>
  <c r="AL32" i="96"/>
  <c r="AN32" i="96" s="1"/>
  <c r="AV32" i="96" s="1"/>
  <c r="AF32" i="96"/>
  <c r="AL31" i="96"/>
  <c r="AT31" i="96" s="1"/>
  <c r="AF31" i="96"/>
  <c r="AL30" i="96"/>
  <c r="AN30" i="96" s="1"/>
  <c r="AV30" i="96" s="1"/>
  <c r="AF30" i="96"/>
  <c r="AL29" i="96"/>
  <c r="AT29" i="96" s="1"/>
  <c r="AL28" i="96"/>
  <c r="AN28" i="96" s="1"/>
  <c r="AV28" i="96" s="1"/>
  <c r="AL27" i="96"/>
  <c r="AT27" i="96" s="1"/>
  <c r="AF27" i="96"/>
  <c r="AL26" i="96"/>
  <c r="AT26" i="96" s="1"/>
  <c r="AF26" i="96"/>
  <c r="AL25" i="96"/>
  <c r="AN25" i="96" s="1"/>
  <c r="AV25" i="96" s="1"/>
  <c r="AL24" i="96"/>
  <c r="AN24" i="96" s="1"/>
  <c r="AV24" i="96" s="1"/>
  <c r="AF24" i="96"/>
  <c r="AL23" i="96"/>
  <c r="AN23" i="96" s="1"/>
  <c r="AV23" i="96" s="1"/>
  <c r="AF23" i="96"/>
  <c r="AL22" i="96"/>
  <c r="AN22" i="96" s="1"/>
  <c r="AV22" i="96" s="1"/>
  <c r="AF22" i="96"/>
  <c r="AL21" i="96"/>
  <c r="AT21" i="96" s="1"/>
  <c r="AF21" i="96"/>
  <c r="AL20" i="96"/>
  <c r="AN20" i="96" s="1"/>
  <c r="AV20" i="96" s="1"/>
  <c r="AL19" i="96"/>
  <c r="AT19" i="96" s="1"/>
  <c r="AL18" i="96"/>
  <c r="AN18" i="96" s="1"/>
  <c r="AV18" i="96" s="1"/>
  <c r="AF18" i="96"/>
  <c r="AL17" i="96"/>
  <c r="AT17" i="96" s="1"/>
  <c r="AF17" i="96"/>
  <c r="AL16" i="96"/>
  <c r="AT16" i="96" s="1"/>
  <c r="AF16" i="96"/>
  <c r="AL15" i="96"/>
  <c r="AT15" i="96" s="1"/>
  <c r="AL14" i="96"/>
  <c r="AT14" i="96" s="1"/>
  <c r="AF14" i="96"/>
  <c r="AF13" i="96"/>
  <c r="C13" i="96"/>
  <c r="C14" i="96" s="1"/>
  <c r="C15" i="96" s="1"/>
  <c r="C16" i="96" s="1"/>
  <c r="C17" i="96" s="1"/>
  <c r="C18" i="96" s="1"/>
  <c r="C19" i="96" s="1"/>
  <c r="C20" i="96" s="1"/>
  <c r="C21" i="96" s="1"/>
  <c r="C22" i="96" s="1"/>
  <c r="C23" i="96" s="1"/>
  <c r="C24" i="96" s="1"/>
  <c r="C25" i="96" s="1"/>
  <c r="C26" i="96" s="1"/>
  <c r="C27" i="96" s="1"/>
  <c r="C28" i="96" s="1"/>
  <c r="C29" i="96" s="1"/>
  <c r="C30" i="96" s="1"/>
  <c r="C31" i="96" s="1"/>
  <c r="C32" i="96" s="1"/>
  <c r="C33" i="96" s="1"/>
  <c r="C34" i="96" s="1"/>
  <c r="C35" i="96" s="1"/>
  <c r="C36" i="96" s="1"/>
  <c r="C37" i="96" s="1"/>
  <c r="C38" i="96" s="1"/>
  <c r="C43" i="96" s="1"/>
  <c r="C44" i="96" s="1"/>
  <c r="C45" i="96" s="1"/>
  <c r="C46" i="96" s="1"/>
  <c r="C47" i="96" s="1"/>
  <c r="C53" i="96" s="1"/>
  <c r="C54" i="96" s="1"/>
  <c r="C55" i="96" s="1"/>
  <c r="C56" i="96" s="1"/>
  <c r="C57" i="96" s="1"/>
  <c r="C58" i="96" s="1"/>
  <c r="AN12" i="96"/>
  <c r="AV12" i="96" s="1"/>
  <c r="AF12" i="96"/>
  <c r="C12" i="96"/>
  <c r="AF11" i="96"/>
  <c r="AW54" i="23"/>
  <c r="AT54" i="23"/>
  <c r="Z54" i="23"/>
  <c r="N54" i="23"/>
  <c r="E54" i="23"/>
  <c r="C54" i="23"/>
  <c r="AR81" i="23"/>
  <c r="E79" i="23"/>
  <c r="B692" i="92"/>
  <c r="C692" i="92"/>
  <c r="D692" i="92"/>
  <c r="E692" i="92"/>
  <c r="F692" i="92"/>
  <c r="B693" i="92"/>
  <c r="C693" i="92"/>
  <c r="D693" i="92"/>
  <c r="E693" i="92"/>
  <c r="F693" i="92"/>
  <c r="B694" i="92"/>
  <c r="C694" i="92"/>
  <c r="D694" i="92"/>
  <c r="E694" i="92"/>
  <c r="F694" i="92"/>
  <c r="B695" i="92"/>
  <c r="C695" i="92"/>
  <c r="D695" i="92"/>
  <c r="E695" i="92"/>
  <c r="F695" i="92"/>
  <c r="B696" i="92"/>
  <c r="C696" i="92"/>
  <c r="D696" i="92"/>
  <c r="E696" i="92"/>
  <c r="F696" i="92"/>
  <c r="B697" i="92"/>
  <c r="C697" i="92"/>
  <c r="D697" i="92"/>
  <c r="E697" i="92"/>
  <c r="F697" i="92"/>
  <c r="B698" i="92"/>
  <c r="C698" i="92"/>
  <c r="D698" i="92"/>
  <c r="E698" i="92"/>
  <c r="F698" i="92"/>
  <c r="B699" i="92"/>
  <c r="C699" i="92"/>
  <c r="D699" i="92"/>
  <c r="E699" i="92"/>
  <c r="F699" i="92"/>
  <c r="B700" i="92"/>
  <c r="C700" i="92"/>
  <c r="D700" i="92"/>
  <c r="E700" i="92"/>
  <c r="F700" i="92"/>
  <c r="B701" i="92"/>
  <c r="C701" i="92"/>
  <c r="D701" i="92"/>
  <c r="E701" i="92"/>
  <c r="F701" i="92"/>
  <c r="B702" i="92"/>
  <c r="C702" i="92"/>
  <c r="D702" i="92"/>
  <c r="E702" i="92"/>
  <c r="F702" i="92"/>
  <c r="B703" i="92"/>
  <c r="C703" i="92"/>
  <c r="D703" i="92"/>
  <c r="E703" i="92"/>
  <c r="F703" i="92"/>
  <c r="B704" i="92"/>
  <c r="C704" i="92"/>
  <c r="D704" i="92"/>
  <c r="E704" i="92"/>
  <c r="F704" i="92"/>
  <c r="B705" i="92"/>
  <c r="C705" i="92"/>
  <c r="D705" i="92"/>
  <c r="E705" i="92"/>
  <c r="F705" i="92"/>
  <c r="B706" i="92"/>
  <c r="C706" i="92"/>
  <c r="D706" i="92"/>
  <c r="E706" i="92"/>
  <c r="F706" i="92"/>
  <c r="B707" i="92"/>
  <c r="C707" i="92"/>
  <c r="D707" i="92"/>
  <c r="E707" i="92"/>
  <c r="F707" i="92"/>
  <c r="B708" i="92"/>
  <c r="C708" i="92"/>
  <c r="D708" i="92"/>
  <c r="E708" i="92"/>
  <c r="F708" i="92"/>
  <c r="B709" i="92"/>
  <c r="C709" i="92"/>
  <c r="D709" i="92"/>
  <c r="E709" i="92"/>
  <c r="F709" i="92"/>
  <c r="B710" i="92"/>
  <c r="C710" i="92"/>
  <c r="D710" i="92"/>
  <c r="E710" i="92"/>
  <c r="F710" i="92"/>
  <c r="B711" i="92"/>
  <c r="C711" i="92"/>
  <c r="D711" i="92"/>
  <c r="E711" i="92"/>
  <c r="F711" i="92"/>
  <c r="B712" i="92"/>
  <c r="C712" i="92"/>
  <c r="D712" i="92"/>
  <c r="E712" i="92"/>
  <c r="F712" i="92"/>
  <c r="B713" i="92"/>
  <c r="C713" i="92"/>
  <c r="D713" i="92"/>
  <c r="E713" i="92"/>
  <c r="F713" i="92"/>
  <c r="B714" i="92"/>
  <c r="C714" i="92"/>
  <c r="D714" i="92"/>
  <c r="E714" i="92"/>
  <c r="F714" i="92"/>
  <c r="B715" i="92"/>
  <c r="C715" i="92"/>
  <c r="D715" i="92"/>
  <c r="E715" i="92"/>
  <c r="F715" i="92"/>
  <c r="B716" i="92"/>
  <c r="C716" i="92"/>
  <c r="D716" i="92"/>
  <c r="E716" i="92"/>
  <c r="F716" i="92"/>
  <c r="B717" i="92"/>
  <c r="C717" i="92"/>
  <c r="D717" i="92"/>
  <c r="E717" i="92"/>
  <c r="F717" i="92"/>
  <c r="B718" i="92"/>
  <c r="C718" i="92"/>
  <c r="D718" i="92"/>
  <c r="E718" i="92"/>
  <c r="F718" i="92"/>
  <c r="B719" i="92"/>
  <c r="C719" i="92"/>
  <c r="D719" i="92"/>
  <c r="E719" i="92"/>
  <c r="F719" i="92"/>
  <c r="B720" i="92"/>
  <c r="C720" i="92"/>
  <c r="D720" i="92"/>
  <c r="E720" i="92"/>
  <c r="F720" i="92"/>
  <c r="B721" i="92"/>
  <c r="C721" i="92"/>
  <c r="D721" i="92"/>
  <c r="E721" i="92"/>
  <c r="F721" i="92"/>
  <c r="B722" i="92"/>
  <c r="C722" i="92"/>
  <c r="D722" i="92"/>
  <c r="E722" i="92"/>
  <c r="F722" i="92"/>
  <c r="B723" i="92"/>
  <c r="C723" i="92"/>
  <c r="D723" i="92"/>
  <c r="E723" i="92"/>
  <c r="F723" i="92"/>
  <c r="B724" i="92"/>
  <c r="C724" i="92"/>
  <c r="D724" i="92"/>
  <c r="E724" i="92"/>
  <c r="F724" i="92"/>
  <c r="F725" i="92"/>
  <c r="B728" i="92"/>
  <c r="C728" i="92"/>
  <c r="D728" i="92"/>
  <c r="E728" i="92"/>
  <c r="F728" i="92"/>
  <c r="B729" i="92"/>
  <c r="C729" i="92"/>
  <c r="D729" i="92"/>
  <c r="E729" i="92"/>
  <c r="F729" i="92"/>
  <c r="B730" i="92"/>
  <c r="C730" i="92"/>
  <c r="D730" i="92"/>
  <c r="E730" i="92"/>
  <c r="F730" i="92"/>
  <c r="B731" i="92"/>
  <c r="C731" i="92"/>
  <c r="D731" i="92"/>
  <c r="E731" i="92"/>
  <c r="F731" i="92"/>
  <c r="B732" i="92"/>
  <c r="C732" i="92"/>
  <c r="D732" i="92"/>
  <c r="E732" i="92"/>
  <c r="F732" i="92"/>
  <c r="B733" i="92"/>
  <c r="C733" i="92"/>
  <c r="D733" i="92"/>
  <c r="E733" i="92"/>
  <c r="F733" i="92"/>
  <c r="B734" i="92"/>
  <c r="C734" i="92"/>
  <c r="D734" i="92"/>
  <c r="E734" i="92"/>
  <c r="F734" i="92"/>
  <c r="B735" i="92"/>
  <c r="C735" i="92"/>
  <c r="D735" i="92"/>
  <c r="E735" i="92"/>
  <c r="F735" i="92"/>
  <c r="B736" i="92"/>
  <c r="C736" i="92"/>
  <c r="D736" i="92"/>
  <c r="E736" i="92"/>
  <c r="F736" i="92"/>
  <c r="B737" i="92"/>
  <c r="C737" i="92"/>
  <c r="D737" i="92"/>
  <c r="E737" i="92"/>
  <c r="F737" i="92"/>
  <c r="B738" i="92"/>
  <c r="C738" i="92"/>
  <c r="D738" i="92"/>
  <c r="E738" i="92"/>
  <c r="F738" i="92"/>
  <c r="B739" i="92"/>
  <c r="C739" i="92"/>
  <c r="D739" i="92"/>
  <c r="E739" i="92"/>
  <c r="F739" i="92"/>
  <c r="B740" i="92"/>
  <c r="C740" i="92"/>
  <c r="D740" i="92"/>
  <c r="E740" i="92"/>
  <c r="F740" i="92"/>
  <c r="B741" i="92"/>
  <c r="C741" i="92"/>
  <c r="D741" i="92"/>
  <c r="E741" i="92"/>
  <c r="F741" i="92"/>
  <c r="F742" i="92"/>
  <c r="F691" i="92"/>
  <c r="E691" i="92"/>
  <c r="D691" i="92"/>
  <c r="C691" i="92"/>
  <c r="B691" i="92"/>
  <c r="B635" i="92"/>
  <c r="C635" i="92"/>
  <c r="D635" i="92"/>
  <c r="E635" i="92"/>
  <c r="F635" i="92"/>
  <c r="B636" i="92"/>
  <c r="C636" i="92"/>
  <c r="D636" i="92"/>
  <c r="E636" i="92"/>
  <c r="F636" i="92"/>
  <c r="B637" i="92"/>
  <c r="C637" i="92"/>
  <c r="D637" i="92"/>
  <c r="E637" i="92"/>
  <c r="F637" i="92"/>
  <c r="B638" i="92"/>
  <c r="C638" i="92"/>
  <c r="D638" i="92"/>
  <c r="E638" i="92"/>
  <c r="F638" i="92"/>
  <c r="B639" i="92"/>
  <c r="C639" i="92"/>
  <c r="D639" i="92"/>
  <c r="E639" i="92"/>
  <c r="F639" i="92"/>
  <c r="B640" i="92"/>
  <c r="C640" i="92"/>
  <c r="D640" i="92"/>
  <c r="E640" i="92"/>
  <c r="F640" i="92"/>
  <c r="B641" i="92"/>
  <c r="C641" i="92"/>
  <c r="D641" i="92"/>
  <c r="E641" i="92"/>
  <c r="F641" i="92"/>
  <c r="B642" i="92"/>
  <c r="C642" i="92"/>
  <c r="D642" i="92"/>
  <c r="E642" i="92"/>
  <c r="F642" i="92"/>
  <c r="B643" i="92"/>
  <c r="C643" i="92"/>
  <c r="D643" i="92"/>
  <c r="E643" i="92"/>
  <c r="F643" i="92"/>
  <c r="B644" i="92"/>
  <c r="C644" i="92"/>
  <c r="D644" i="92"/>
  <c r="E644" i="92"/>
  <c r="F644" i="92"/>
  <c r="B645" i="92"/>
  <c r="C645" i="92"/>
  <c r="D645" i="92"/>
  <c r="E645" i="92"/>
  <c r="F645" i="92"/>
  <c r="B646" i="92"/>
  <c r="C646" i="92"/>
  <c r="D646" i="92"/>
  <c r="E646" i="92"/>
  <c r="F646" i="92"/>
  <c r="B647" i="92"/>
  <c r="C647" i="92"/>
  <c r="D647" i="92"/>
  <c r="E647" i="92"/>
  <c r="F647" i="92"/>
  <c r="B648" i="92"/>
  <c r="C648" i="92"/>
  <c r="D648" i="92"/>
  <c r="E648" i="92"/>
  <c r="F648" i="92"/>
  <c r="B649" i="92"/>
  <c r="C649" i="92"/>
  <c r="D649" i="92"/>
  <c r="E649" i="92"/>
  <c r="F649" i="92"/>
  <c r="B650" i="92"/>
  <c r="C650" i="92"/>
  <c r="D650" i="92"/>
  <c r="E650" i="92"/>
  <c r="F650" i="92"/>
  <c r="B651" i="92"/>
  <c r="C651" i="92"/>
  <c r="D651" i="92"/>
  <c r="E651" i="92"/>
  <c r="F651" i="92"/>
  <c r="B652" i="92"/>
  <c r="C652" i="92"/>
  <c r="D652" i="92"/>
  <c r="E652" i="92"/>
  <c r="F652" i="92"/>
  <c r="B653" i="92"/>
  <c r="C653" i="92"/>
  <c r="D653" i="92"/>
  <c r="E653" i="92"/>
  <c r="F653" i="92"/>
  <c r="B654" i="92"/>
  <c r="C654" i="92"/>
  <c r="D654" i="92"/>
  <c r="E654" i="92"/>
  <c r="F654" i="92"/>
  <c r="B655" i="92"/>
  <c r="C655" i="92"/>
  <c r="D655" i="92"/>
  <c r="E655" i="92"/>
  <c r="F655" i="92"/>
  <c r="B656" i="92"/>
  <c r="C656" i="92"/>
  <c r="D656" i="92"/>
  <c r="E656" i="92"/>
  <c r="F656" i="92"/>
  <c r="B657" i="92"/>
  <c r="C657" i="92"/>
  <c r="D657" i="92"/>
  <c r="E657" i="92"/>
  <c r="F657" i="92"/>
  <c r="B658" i="92"/>
  <c r="C658" i="92"/>
  <c r="D658" i="92"/>
  <c r="E658" i="92"/>
  <c r="F658" i="92"/>
  <c r="B659" i="92"/>
  <c r="C659" i="92"/>
  <c r="D659" i="92"/>
  <c r="E659" i="92"/>
  <c r="F659" i="92"/>
  <c r="B660" i="92"/>
  <c r="C660" i="92"/>
  <c r="D660" i="92"/>
  <c r="E660" i="92"/>
  <c r="F660" i="92"/>
  <c r="B661" i="92"/>
  <c r="C661" i="92"/>
  <c r="D661" i="92"/>
  <c r="E661" i="92"/>
  <c r="F661" i="92"/>
  <c r="B662" i="92"/>
  <c r="C662" i="92"/>
  <c r="D662" i="92"/>
  <c r="E662" i="92"/>
  <c r="F662" i="92"/>
  <c r="B663" i="92"/>
  <c r="C663" i="92"/>
  <c r="D663" i="92"/>
  <c r="E663" i="92"/>
  <c r="F663" i="92"/>
  <c r="B664" i="92"/>
  <c r="C664" i="92"/>
  <c r="D664" i="92"/>
  <c r="E664" i="92"/>
  <c r="F664" i="92"/>
  <c r="B665" i="92"/>
  <c r="C665" i="92"/>
  <c r="D665" i="92"/>
  <c r="E665" i="92"/>
  <c r="F665" i="92"/>
  <c r="B666" i="92"/>
  <c r="C666" i="92"/>
  <c r="D666" i="92"/>
  <c r="E666" i="92"/>
  <c r="F666" i="92"/>
  <c r="B667" i="92"/>
  <c r="C667" i="92"/>
  <c r="D667" i="92"/>
  <c r="E667" i="92"/>
  <c r="F667" i="92"/>
  <c r="B668" i="92"/>
  <c r="C668" i="92"/>
  <c r="D668" i="92"/>
  <c r="E668" i="92"/>
  <c r="F668" i="92"/>
  <c r="B669" i="92"/>
  <c r="C669" i="92"/>
  <c r="D669" i="92"/>
  <c r="E669" i="92"/>
  <c r="F669" i="92"/>
  <c r="B670" i="92"/>
  <c r="C670" i="92"/>
  <c r="D670" i="92"/>
  <c r="E670" i="92"/>
  <c r="F670" i="92"/>
  <c r="B671" i="92"/>
  <c r="C671" i="92"/>
  <c r="D671" i="92"/>
  <c r="E671" i="92"/>
  <c r="F671" i="92"/>
  <c r="B672" i="92"/>
  <c r="C672" i="92"/>
  <c r="D672" i="92"/>
  <c r="E672" i="92"/>
  <c r="F672" i="92"/>
  <c r="B673" i="92"/>
  <c r="C673" i="92"/>
  <c r="D673" i="92"/>
  <c r="E673" i="92"/>
  <c r="F673" i="92"/>
  <c r="B674" i="92"/>
  <c r="C674" i="92"/>
  <c r="D674" i="92"/>
  <c r="E674" i="92"/>
  <c r="F674" i="92"/>
  <c r="B675" i="92"/>
  <c r="C675" i="92"/>
  <c r="D675" i="92"/>
  <c r="E675" i="92"/>
  <c r="F675" i="92"/>
  <c r="B676" i="92"/>
  <c r="C676" i="92"/>
  <c r="D676" i="92"/>
  <c r="E676" i="92"/>
  <c r="F676" i="92"/>
  <c r="B677" i="92"/>
  <c r="C677" i="92"/>
  <c r="D677" i="92"/>
  <c r="E677" i="92"/>
  <c r="F677" i="92"/>
  <c r="B678" i="92"/>
  <c r="C678" i="92"/>
  <c r="D678" i="92"/>
  <c r="E678" i="92"/>
  <c r="F678" i="92"/>
  <c r="B679" i="92"/>
  <c r="C679" i="92"/>
  <c r="D679" i="92"/>
  <c r="E679" i="92"/>
  <c r="F679" i="92"/>
  <c r="B680" i="92"/>
  <c r="C680" i="92"/>
  <c r="D680" i="92"/>
  <c r="E680" i="92"/>
  <c r="F680" i="92"/>
  <c r="B681" i="92"/>
  <c r="C681" i="92"/>
  <c r="D681" i="92"/>
  <c r="E681" i="92"/>
  <c r="F681" i="92"/>
  <c r="B682" i="92"/>
  <c r="C682" i="92"/>
  <c r="D682" i="92"/>
  <c r="E682" i="92"/>
  <c r="F682" i="92"/>
  <c r="B683" i="92"/>
  <c r="C683" i="92"/>
  <c r="D683" i="92"/>
  <c r="E683" i="92"/>
  <c r="F683" i="92"/>
  <c r="B684" i="92"/>
  <c r="C684" i="92"/>
  <c r="D684" i="92"/>
  <c r="E684" i="92"/>
  <c r="F684" i="92"/>
  <c r="B685" i="92"/>
  <c r="C685" i="92"/>
  <c r="D685" i="92"/>
  <c r="E685" i="92"/>
  <c r="F685" i="92"/>
  <c r="B686" i="92"/>
  <c r="C686" i="92"/>
  <c r="D686" i="92"/>
  <c r="E686" i="92"/>
  <c r="F686" i="92"/>
  <c r="B687" i="92"/>
  <c r="C687" i="92"/>
  <c r="D687" i="92"/>
  <c r="E687" i="92"/>
  <c r="F687" i="92"/>
  <c r="F688" i="92"/>
  <c r="F634" i="92"/>
  <c r="E634" i="92"/>
  <c r="D634" i="92"/>
  <c r="C634" i="92"/>
  <c r="B634" i="92"/>
  <c r="B630" i="92"/>
  <c r="C630" i="92"/>
  <c r="D630" i="92"/>
  <c r="E630" i="92"/>
  <c r="F630" i="92"/>
  <c r="F631" i="92"/>
  <c r="B578" i="92"/>
  <c r="C578" i="92"/>
  <c r="D578" i="92"/>
  <c r="E578" i="92"/>
  <c r="F578" i="92"/>
  <c r="B579" i="92"/>
  <c r="C579" i="92"/>
  <c r="D579" i="92"/>
  <c r="E579" i="92"/>
  <c r="F579" i="92"/>
  <c r="B580" i="92"/>
  <c r="C580" i="92"/>
  <c r="D580" i="92"/>
  <c r="E580" i="92"/>
  <c r="F580" i="92"/>
  <c r="B581" i="92"/>
  <c r="C581" i="92"/>
  <c r="D581" i="92"/>
  <c r="E581" i="92"/>
  <c r="F581" i="92"/>
  <c r="B582" i="92"/>
  <c r="C582" i="92"/>
  <c r="D582" i="92"/>
  <c r="E582" i="92"/>
  <c r="F582" i="92"/>
  <c r="B583" i="92"/>
  <c r="C583" i="92"/>
  <c r="D583" i="92"/>
  <c r="E583" i="92"/>
  <c r="F583" i="92"/>
  <c r="B584" i="92"/>
  <c r="C584" i="92"/>
  <c r="D584" i="92"/>
  <c r="E584" i="92"/>
  <c r="F584" i="92"/>
  <c r="B585" i="92"/>
  <c r="C585" i="92"/>
  <c r="D585" i="92"/>
  <c r="E585" i="92"/>
  <c r="F585" i="92"/>
  <c r="B586" i="92"/>
  <c r="C586" i="92"/>
  <c r="D586" i="92"/>
  <c r="E586" i="92"/>
  <c r="F586" i="92"/>
  <c r="B587" i="92"/>
  <c r="C587" i="92"/>
  <c r="D587" i="92"/>
  <c r="E587" i="92"/>
  <c r="F587" i="92"/>
  <c r="B588" i="92"/>
  <c r="C588" i="92"/>
  <c r="D588" i="92"/>
  <c r="E588" i="92"/>
  <c r="F588" i="92"/>
  <c r="B589" i="92"/>
  <c r="C589" i="92"/>
  <c r="D589" i="92"/>
  <c r="E589" i="92"/>
  <c r="F589" i="92"/>
  <c r="B590" i="92"/>
  <c r="C590" i="92"/>
  <c r="D590" i="92"/>
  <c r="E590" i="92"/>
  <c r="F590" i="92"/>
  <c r="B591" i="92"/>
  <c r="C591" i="92"/>
  <c r="D591" i="92"/>
  <c r="E591" i="92"/>
  <c r="F591" i="92"/>
  <c r="B592" i="92"/>
  <c r="C592" i="92"/>
  <c r="D592" i="92"/>
  <c r="E592" i="92"/>
  <c r="F592" i="92"/>
  <c r="B593" i="92"/>
  <c r="C593" i="92"/>
  <c r="D593" i="92"/>
  <c r="E593" i="92"/>
  <c r="F593" i="92"/>
  <c r="B594" i="92"/>
  <c r="C594" i="92"/>
  <c r="D594" i="92"/>
  <c r="E594" i="92"/>
  <c r="F594" i="92"/>
  <c r="B595" i="92"/>
  <c r="C595" i="92"/>
  <c r="D595" i="92"/>
  <c r="E595" i="92"/>
  <c r="F595" i="92"/>
  <c r="B596" i="92"/>
  <c r="C596" i="92"/>
  <c r="D596" i="92"/>
  <c r="E596" i="92"/>
  <c r="F596" i="92"/>
  <c r="B597" i="92"/>
  <c r="C597" i="92"/>
  <c r="D597" i="92"/>
  <c r="E597" i="92"/>
  <c r="F597" i="92"/>
  <c r="B598" i="92"/>
  <c r="C598" i="92"/>
  <c r="D598" i="92"/>
  <c r="E598" i="92"/>
  <c r="F598" i="92"/>
  <c r="B599" i="92"/>
  <c r="C599" i="92"/>
  <c r="D599" i="92"/>
  <c r="E599" i="92"/>
  <c r="F599" i="92"/>
  <c r="B600" i="92"/>
  <c r="C600" i="92"/>
  <c r="D600" i="92"/>
  <c r="E600" i="92"/>
  <c r="F600" i="92"/>
  <c r="B601" i="92"/>
  <c r="C601" i="92"/>
  <c r="D601" i="92"/>
  <c r="E601" i="92"/>
  <c r="F601" i="92"/>
  <c r="B602" i="92"/>
  <c r="C602" i="92"/>
  <c r="D602" i="92"/>
  <c r="E602" i="92"/>
  <c r="F602" i="92"/>
  <c r="B603" i="92"/>
  <c r="C603" i="92"/>
  <c r="D603" i="92"/>
  <c r="E603" i="92"/>
  <c r="F603" i="92"/>
  <c r="B604" i="92"/>
  <c r="C604" i="92"/>
  <c r="D604" i="92"/>
  <c r="E604" i="92"/>
  <c r="F604" i="92"/>
  <c r="B605" i="92"/>
  <c r="C605" i="92"/>
  <c r="D605" i="92"/>
  <c r="E605" i="92"/>
  <c r="F605" i="92"/>
  <c r="B606" i="92"/>
  <c r="C606" i="92"/>
  <c r="D606" i="92"/>
  <c r="E606" i="92"/>
  <c r="F606" i="92"/>
  <c r="B607" i="92"/>
  <c r="C607" i="92"/>
  <c r="D607" i="92"/>
  <c r="E607" i="92"/>
  <c r="F607" i="92"/>
  <c r="B608" i="92"/>
  <c r="C608" i="92"/>
  <c r="D608" i="92"/>
  <c r="E608" i="92"/>
  <c r="F608" i="92"/>
  <c r="B609" i="92"/>
  <c r="C609" i="92"/>
  <c r="D609" i="92"/>
  <c r="E609" i="92"/>
  <c r="F609" i="92"/>
  <c r="B610" i="92"/>
  <c r="C610" i="92"/>
  <c r="D610" i="92"/>
  <c r="E610" i="92"/>
  <c r="F610" i="92"/>
  <c r="B611" i="92"/>
  <c r="C611" i="92"/>
  <c r="D611" i="92"/>
  <c r="E611" i="92"/>
  <c r="F611" i="92"/>
  <c r="B612" i="92"/>
  <c r="C612" i="92"/>
  <c r="D612" i="92"/>
  <c r="E612" i="92"/>
  <c r="F612" i="92"/>
  <c r="B613" i="92"/>
  <c r="C613" i="92"/>
  <c r="D613" i="92"/>
  <c r="E613" i="92"/>
  <c r="F613" i="92"/>
  <c r="B614" i="92"/>
  <c r="C614" i="92"/>
  <c r="D614" i="92"/>
  <c r="E614" i="92"/>
  <c r="F614" i="92"/>
  <c r="B615" i="92"/>
  <c r="C615" i="92"/>
  <c r="D615" i="92"/>
  <c r="E615" i="92"/>
  <c r="F615" i="92"/>
  <c r="B616" i="92"/>
  <c r="C616" i="92"/>
  <c r="D616" i="92"/>
  <c r="E616" i="92"/>
  <c r="F616" i="92"/>
  <c r="B617" i="92"/>
  <c r="C617" i="92"/>
  <c r="D617" i="92"/>
  <c r="E617" i="92"/>
  <c r="F617" i="92"/>
  <c r="B618" i="92"/>
  <c r="C618" i="92"/>
  <c r="D618" i="92"/>
  <c r="E618" i="92"/>
  <c r="F618" i="92"/>
  <c r="B619" i="92"/>
  <c r="C619" i="92"/>
  <c r="D619" i="92"/>
  <c r="E619" i="92"/>
  <c r="F619" i="92"/>
  <c r="B620" i="92"/>
  <c r="C620" i="92"/>
  <c r="D620" i="92"/>
  <c r="E620" i="92"/>
  <c r="F620" i="92"/>
  <c r="B621" i="92"/>
  <c r="C621" i="92"/>
  <c r="D621" i="92"/>
  <c r="E621" i="92"/>
  <c r="F621" i="92"/>
  <c r="B622" i="92"/>
  <c r="C622" i="92"/>
  <c r="D622" i="92"/>
  <c r="E622" i="92"/>
  <c r="F622" i="92"/>
  <c r="B623" i="92"/>
  <c r="C623" i="92"/>
  <c r="D623" i="92"/>
  <c r="E623" i="92"/>
  <c r="F623" i="92"/>
  <c r="B624" i="92"/>
  <c r="C624" i="92"/>
  <c r="D624" i="92"/>
  <c r="E624" i="92"/>
  <c r="F624" i="92"/>
  <c r="B625" i="92"/>
  <c r="C625" i="92"/>
  <c r="D625" i="92"/>
  <c r="E625" i="92"/>
  <c r="F625" i="92"/>
  <c r="B626" i="92"/>
  <c r="C626" i="92"/>
  <c r="D626" i="92"/>
  <c r="E626" i="92"/>
  <c r="F626" i="92"/>
  <c r="B627" i="92"/>
  <c r="C627" i="92"/>
  <c r="D627" i="92"/>
  <c r="E627" i="92"/>
  <c r="F627" i="92"/>
  <c r="B628" i="92"/>
  <c r="C628" i="92"/>
  <c r="D628" i="92"/>
  <c r="E628" i="92"/>
  <c r="F628" i="92"/>
  <c r="B629" i="92"/>
  <c r="C629" i="92"/>
  <c r="D629" i="92"/>
  <c r="E629" i="92"/>
  <c r="F629" i="92"/>
  <c r="F577" i="92"/>
  <c r="E577" i="92"/>
  <c r="D577" i="92"/>
  <c r="C577" i="92"/>
  <c r="B577" i="92"/>
  <c r="E574" i="92"/>
  <c r="B521" i="92"/>
  <c r="C521" i="92"/>
  <c r="D521" i="92"/>
  <c r="E521" i="92"/>
  <c r="F521" i="92"/>
  <c r="B522" i="92"/>
  <c r="C522" i="92"/>
  <c r="D522" i="92"/>
  <c r="E522" i="92"/>
  <c r="F522" i="92"/>
  <c r="B523" i="92"/>
  <c r="C523" i="92"/>
  <c r="D523" i="92"/>
  <c r="E523" i="92"/>
  <c r="F523" i="92"/>
  <c r="B524" i="92"/>
  <c r="C524" i="92"/>
  <c r="D524" i="92"/>
  <c r="E524" i="92"/>
  <c r="F524" i="92"/>
  <c r="B525" i="92"/>
  <c r="C525" i="92"/>
  <c r="D525" i="92"/>
  <c r="E525" i="92"/>
  <c r="F525" i="92"/>
  <c r="B526" i="92"/>
  <c r="C526" i="92"/>
  <c r="D526" i="92"/>
  <c r="E526" i="92"/>
  <c r="F526" i="92"/>
  <c r="B527" i="92"/>
  <c r="C527" i="92"/>
  <c r="D527" i="92"/>
  <c r="E527" i="92"/>
  <c r="F527" i="92"/>
  <c r="B528" i="92"/>
  <c r="C528" i="92"/>
  <c r="D528" i="92"/>
  <c r="E528" i="92"/>
  <c r="F528" i="92"/>
  <c r="B529" i="92"/>
  <c r="C529" i="92"/>
  <c r="D529" i="92"/>
  <c r="E529" i="92"/>
  <c r="F529" i="92"/>
  <c r="B530" i="92"/>
  <c r="C530" i="92"/>
  <c r="D530" i="92"/>
  <c r="E530" i="92"/>
  <c r="F530" i="92"/>
  <c r="B531" i="92"/>
  <c r="C531" i="92"/>
  <c r="D531" i="92"/>
  <c r="E531" i="92"/>
  <c r="F531" i="92"/>
  <c r="B532" i="92"/>
  <c r="C532" i="92"/>
  <c r="D532" i="92"/>
  <c r="E532" i="92"/>
  <c r="F532" i="92"/>
  <c r="B533" i="92"/>
  <c r="C533" i="92"/>
  <c r="D533" i="92"/>
  <c r="E533" i="92"/>
  <c r="F533" i="92"/>
  <c r="B534" i="92"/>
  <c r="C534" i="92"/>
  <c r="D534" i="92"/>
  <c r="E534" i="92"/>
  <c r="F534" i="92"/>
  <c r="B535" i="92"/>
  <c r="C535" i="92"/>
  <c r="D535" i="92"/>
  <c r="E535" i="92"/>
  <c r="F535" i="92"/>
  <c r="B536" i="92"/>
  <c r="C536" i="92"/>
  <c r="D536" i="92"/>
  <c r="E536" i="92"/>
  <c r="F536" i="92"/>
  <c r="B537" i="92"/>
  <c r="C537" i="92"/>
  <c r="D537" i="92"/>
  <c r="E537" i="92"/>
  <c r="F537" i="92"/>
  <c r="B538" i="92"/>
  <c r="C538" i="92"/>
  <c r="D538" i="92"/>
  <c r="E538" i="92"/>
  <c r="F538" i="92"/>
  <c r="B539" i="92"/>
  <c r="C539" i="92"/>
  <c r="D539" i="92"/>
  <c r="E539" i="92"/>
  <c r="F539" i="92"/>
  <c r="B540" i="92"/>
  <c r="C540" i="92"/>
  <c r="D540" i="92"/>
  <c r="E540" i="92"/>
  <c r="F540" i="92"/>
  <c r="B541" i="92"/>
  <c r="C541" i="92"/>
  <c r="D541" i="92"/>
  <c r="E541" i="92"/>
  <c r="F541" i="92"/>
  <c r="B542" i="92"/>
  <c r="C542" i="92"/>
  <c r="D542" i="92"/>
  <c r="E542" i="92"/>
  <c r="F542" i="92"/>
  <c r="B543" i="92"/>
  <c r="C543" i="92"/>
  <c r="D543" i="92"/>
  <c r="E543" i="92"/>
  <c r="F543" i="92"/>
  <c r="B544" i="92"/>
  <c r="C544" i="92"/>
  <c r="D544" i="92"/>
  <c r="E544" i="92"/>
  <c r="F544" i="92"/>
  <c r="B545" i="92"/>
  <c r="C545" i="92"/>
  <c r="D545" i="92"/>
  <c r="E545" i="92"/>
  <c r="F545" i="92"/>
  <c r="B546" i="92"/>
  <c r="C546" i="92"/>
  <c r="D546" i="92"/>
  <c r="E546" i="92"/>
  <c r="F546" i="92"/>
  <c r="B547" i="92"/>
  <c r="C547" i="92"/>
  <c r="D547" i="92"/>
  <c r="E547" i="92"/>
  <c r="F547" i="92"/>
  <c r="B548" i="92"/>
  <c r="C548" i="92"/>
  <c r="D548" i="92"/>
  <c r="E548" i="92"/>
  <c r="F548" i="92"/>
  <c r="B549" i="92"/>
  <c r="C549" i="92"/>
  <c r="D549" i="92"/>
  <c r="E549" i="92"/>
  <c r="F549" i="92"/>
  <c r="B550" i="92"/>
  <c r="C550" i="92"/>
  <c r="D550" i="92"/>
  <c r="E550" i="92"/>
  <c r="F550" i="92"/>
  <c r="B551" i="92"/>
  <c r="C551" i="92"/>
  <c r="D551" i="92"/>
  <c r="E551" i="92"/>
  <c r="F551" i="92"/>
  <c r="B552" i="92"/>
  <c r="C552" i="92"/>
  <c r="D552" i="92"/>
  <c r="E552" i="92"/>
  <c r="F552" i="92"/>
  <c r="B553" i="92"/>
  <c r="C553" i="92"/>
  <c r="D553" i="92"/>
  <c r="E553" i="92"/>
  <c r="F553" i="92"/>
  <c r="B554" i="92"/>
  <c r="C554" i="92"/>
  <c r="D554" i="92"/>
  <c r="E554" i="92"/>
  <c r="F554" i="92"/>
  <c r="B555" i="92"/>
  <c r="C555" i="92"/>
  <c r="D555" i="92"/>
  <c r="E555" i="92"/>
  <c r="F555" i="92"/>
  <c r="B556" i="92"/>
  <c r="C556" i="92"/>
  <c r="D556" i="92"/>
  <c r="E556" i="92"/>
  <c r="F556" i="92"/>
  <c r="B557" i="92"/>
  <c r="C557" i="92"/>
  <c r="D557" i="92"/>
  <c r="E557" i="92"/>
  <c r="F557" i="92"/>
  <c r="B558" i="92"/>
  <c r="C558" i="92"/>
  <c r="D558" i="92"/>
  <c r="E558" i="92"/>
  <c r="F558" i="92"/>
  <c r="B559" i="92"/>
  <c r="C559" i="92"/>
  <c r="D559" i="92"/>
  <c r="E559" i="92"/>
  <c r="F559" i="92"/>
  <c r="B560" i="92"/>
  <c r="C560" i="92"/>
  <c r="D560" i="92"/>
  <c r="E560" i="92"/>
  <c r="F560" i="92"/>
  <c r="B561" i="92"/>
  <c r="C561" i="92"/>
  <c r="D561" i="92"/>
  <c r="E561" i="92"/>
  <c r="F561" i="92"/>
  <c r="B562" i="92"/>
  <c r="C562" i="92"/>
  <c r="D562" i="92"/>
  <c r="E562" i="92"/>
  <c r="F562" i="92"/>
  <c r="B563" i="92"/>
  <c r="C563" i="92"/>
  <c r="D563" i="92"/>
  <c r="E563" i="92"/>
  <c r="F563" i="92"/>
  <c r="B564" i="92"/>
  <c r="C564" i="92"/>
  <c r="D564" i="92"/>
  <c r="E564" i="92"/>
  <c r="F564" i="92"/>
  <c r="B565" i="92"/>
  <c r="C565" i="92"/>
  <c r="D565" i="92"/>
  <c r="E565" i="92"/>
  <c r="F565" i="92"/>
  <c r="B566" i="92"/>
  <c r="C566" i="92"/>
  <c r="D566" i="92"/>
  <c r="E566" i="92"/>
  <c r="F566" i="92"/>
  <c r="B567" i="92"/>
  <c r="C567" i="92"/>
  <c r="D567" i="92"/>
  <c r="E567" i="92"/>
  <c r="F567" i="92"/>
  <c r="B568" i="92"/>
  <c r="C568" i="92"/>
  <c r="D568" i="92"/>
  <c r="E568" i="92"/>
  <c r="F568" i="92"/>
  <c r="B569" i="92"/>
  <c r="C569" i="92"/>
  <c r="D569" i="92"/>
  <c r="E569" i="92"/>
  <c r="F569" i="92"/>
  <c r="B570" i="92"/>
  <c r="C570" i="92"/>
  <c r="D570" i="92"/>
  <c r="E570" i="92"/>
  <c r="F570" i="92"/>
  <c r="B571" i="92"/>
  <c r="C571" i="92"/>
  <c r="D571" i="92"/>
  <c r="E571" i="92"/>
  <c r="F571" i="92"/>
  <c r="B572" i="92"/>
  <c r="C572" i="92"/>
  <c r="D572" i="92"/>
  <c r="E572" i="92"/>
  <c r="F572" i="92"/>
  <c r="B573" i="92"/>
  <c r="C573" i="92"/>
  <c r="D573" i="92"/>
  <c r="E573" i="92"/>
  <c r="F573" i="92"/>
  <c r="F574" i="92"/>
  <c r="F520" i="92"/>
  <c r="E520" i="92"/>
  <c r="D520" i="92"/>
  <c r="C520" i="92"/>
  <c r="B520" i="92"/>
  <c r="B491" i="92"/>
  <c r="C491" i="92"/>
  <c r="D491" i="92"/>
  <c r="E491" i="92"/>
  <c r="F491" i="92"/>
  <c r="B492" i="92"/>
  <c r="C492" i="92"/>
  <c r="D492" i="92"/>
  <c r="E492" i="92"/>
  <c r="F492" i="92"/>
  <c r="B493" i="92"/>
  <c r="C493" i="92"/>
  <c r="D493" i="92"/>
  <c r="E493" i="92"/>
  <c r="F493" i="92"/>
  <c r="B494" i="92"/>
  <c r="C494" i="92"/>
  <c r="D494" i="92"/>
  <c r="E494" i="92"/>
  <c r="F494" i="92"/>
  <c r="B495" i="92"/>
  <c r="C495" i="92"/>
  <c r="D495" i="92"/>
  <c r="E495" i="92"/>
  <c r="F495" i="92"/>
  <c r="B496" i="92"/>
  <c r="C496" i="92"/>
  <c r="D496" i="92"/>
  <c r="E496" i="92"/>
  <c r="F496" i="92"/>
  <c r="B497" i="92"/>
  <c r="C497" i="92"/>
  <c r="D497" i="92"/>
  <c r="E497" i="92"/>
  <c r="F497" i="92"/>
  <c r="B498" i="92"/>
  <c r="C498" i="92"/>
  <c r="D498" i="92"/>
  <c r="E498" i="92"/>
  <c r="F498" i="92"/>
  <c r="B499" i="92"/>
  <c r="C499" i="92"/>
  <c r="D499" i="92"/>
  <c r="E499" i="92"/>
  <c r="F499" i="92"/>
  <c r="B500" i="92"/>
  <c r="C500" i="92"/>
  <c r="D500" i="92"/>
  <c r="E500" i="92"/>
  <c r="F500" i="92"/>
  <c r="B501" i="92"/>
  <c r="C501" i="92"/>
  <c r="D501" i="92"/>
  <c r="E501" i="92"/>
  <c r="F501" i="92"/>
  <c r="B502" i="92"/>
  <c r="C502" i="92"/>
  <c r="D502" i="92"/>
  <c r="E502" i="92"/>
  <c r="F502" i="92"/>
  <c r="B503" i="92"/>
  <c r="C503" i="92"/>
  <c r="D503" i="92"/>
  <c r="E503" i="92"/>
  <c r="F503" i="92"/>
  <c r="B504" i="92"/>
  <c r="C504" i="92"/>
  <c r="D504" i="92"/>
  <c r="E504" i="92"/>
  <c r="F504" i="92"/>
  <c r="B505" i="92"/>
  <c r="C505" i="92"/>
  <c r="D505" i="92"/>
  <c r="E505" i="92"/>
  <c r="F505" i="92"/>
  <c r="B506" i="92"/>
  <c r="C506" i="92"/>
  <c r="D506" i="92"/>
  <c r="E506" i="92"/>
  <c r="F506" i="92"/>
  <c r="B507" i="92"/>
  <c r="C507" i="92"/>
  <c r="D507" i="92"/>
  <c r="E507" i="92"/>
  <c r="F507" i="92"/>
  <c r="B508" i="92"/>
  <c r="C508" i="92"/>
  <c r="D508" i="92"/>
  <c r="E508" i="92"/>
  <c r="F508" i="92"/>
  <c r="B509" i="92"/>
  <c r="C509" i="92"/>
  <c r="D509" i="92"/>
  <c r="E509" i="92"/>
  <c r="F509" i="92"/>
  <c r="B510" i="92"/>
  <c r="C510" i="92"/>
  <c r="D510" i="92"/>
  <c r="E510" i="92"/>
  <c r="F510" i="92"/>
  <c r="B511" i="92"/>
  <c r="C511" i="92"/>
  <c r="D511" i="92"/>
  <c r="E511" i="92"/>
  <c r="F511" i="92"/>
  <c r="B512" i="92"/>
  <c r="C512" i="92"/>
  <c r="D512" i="92"/>
  <c r="E512" i="92"/>
  <c r="F512" i="92"/>
  <c r="B513" i="92"/>
  <c r="C513" i="92"/>
  <c r="D513" i="92"/>
  <c r="E513" i="92"/>
  <c r="F513" i="92"/>
  <c r="B514" i="92"/>
  <c r="C514" i="92"/>
  <c r="D514" i="92"/>
  <c r="E514" i="92"/>
  <c r="F514" i="92"/>
  <c r="B515" i="92"/>
  <c r="C515" i="92"/>
  <c r="D515" i="92"/>
  <c r="E515" i="92"/>
  <c r="F515" i="92"/>
  <c r="B516" i="92"/>
  <c r="C516" i="92"/>
  <c r="D516" i="92"/>
  <c r="E516" i="92"/>
  <c r="F516" i="92"/>
  <c r="F517" i="92"/>
  <c r="B464" i="92"/>
  <c r="C464" i="92"/>
  <c r="D464" i="92"/>
  <c r="E464" i="92"/>
  <c r="F464" i="92"/>
  <c r="B465" i="92"/>
  <c r="C465" i="92"/>
  <c r="D465" i="92"/>
  <c r="E465" i="92"/>
  <c r="F465" i="92"/>
  <c r="B466" i="92"/>
  <c r="C466" i="92"/>
  <c r="D466" i="92"/>
  <c r="E466" i="92"/>
  <c r="F466" i="92"/>
  <c r="B467" i="92"/>
  <c r="C467" i="92"/>
  <c r="D467" i="92"/>
  <c r="E467" i="92"/>
  <c r="F467" i="92"/>
  <c r="B468" i="92"/>
  <c r="C468" i="92"/>
  <c r="D468" i="92"/>
  <c r="E468" i="92"/>
  <c r="F468" i="92"/>
  <c r="B469" i="92"/>
  <c r="C469" i="92"/>
  <c r="D469" i="92"/>
  <c r="E469" i="92"/>
  <c r="F469" i="92"/>
  <c r="B470" i="92"/>
  <c r="C470" i="92"/>
  <c r="D470" i="92"/>
  <c r="E470" i="92"/>
  <c r="F470" i="92"/>
  <c r="B471" i="92"/>
  <c r="C471" i="92"/>
  <c r="D471" i="92"/>
  <c r="E471" i="92"/>
  <c r="F471" i="92"/>
  <c r="B472" i="92"/>
  <c r="C472" i="92"/>
  <c r="D472" i="92"/>
  <c r="E472" i="92"/>
  <c r="F472" i="92"/>
  <c r="B473" i="92"/>
  <c r="C473" i="92"/>
  <c r="D473" i="92"/>
  <c r="E473" i="92"/>
  <c r="F473" i="92"/>
  <c r="B474" i="92"/>
  <c r="C474" i="92"/>
  <c r="D474" i="92"/>
  <c r="E474" i="92"/>
  <c r="F474" i="92"/>
  <c r="B475" i="92"/>
  <c r="C475" i="92"/>
  <c r="D475" i="92"/>
  <c r="E475" i="92"/>
  <c r="F475" i="92"/>
  <c r="B476" i="92"/>
  <c r="C476" i="92"/>
  <c r="D476" i="92"/>
  <c r="E476" i="92"/>
  <c r="F476" i="92"/>
  <c r="B477" i="92"/>
  <c r="C477" i="92"/>
  <c r="D477" i="92"/>
  <c r="E477" i="92"/>
  <c r="F477" i="92"/>
  <c r="B478" i="92"/>
  <c r="C478" i="92"/>
  <c r="D478" i="92"/>
  <c r="E478" i="92"/>
  <c r="F478" i="92"/>
  <c r="B479" i="92"/>
  <c r="C479" i="92"/>
  <c r="D479" i="92"/>
  <c r="E479" i="92"/>
  <c r="F479" i="92"/>
  <c r="B480" i="92"/>
  <c r="C480" i="92"/>
  <c r="D480" i="92"/>
  <c r="E480" i="92"/>
  <c r="F480" i="92"/>
  <c r="B481" i="92"/>
  <c r="C481" i="92"/>
  <c r="D481" i="92"/>
  <c r="E481" i="92"/>
  <c r="F481" i="92"/>
  <c r="B482" i="92"/>
  <c r="C482" i="92"/>
  <c r="D482" i="92"/>
  <c r="E482" i="92"/>
  <c r="F482" i="92"/>
  <c r="B483" i="92"/>
  <c r="C483" i="92"/>
  <c r="D483" i="92"/>
  <c r="E483" i="92"/>
  <c r="F483" i="92"/>
  <c r="B484" i="92"/>
  <c r="C484" i="92"/>
  <c r="D484" i="92"/>
  <c r="E484" i="92"/>
  <c r="F484" i="92"/>
  <c r="B485" i="92"/>
  <c r="C485" i="92"/>
  <c r="D485" i="92"/>
  <c r="E485" i="92"/>
  <c r="F485" i="92"/>
  <c r="B486" i="92"/>
  <c r="C486" i="92"/>
  <c r="D486" i="92"/>
  <c r="E486" i="92"/>
  <c r="F486" i="92"/>
  <c r="B487" i="92"/>
  <c r="C487" i="92"/>
  <c r="D487" i="92"/>
  <c r="E487" i="92"/>
  <c r="F487" i="92"/>
  <c r="B488" i="92"/>
  <c r="C488" i="92"/>
  <c r="D488" i="92"/>
  <c r="E488" i="92"/>
  <c r="F488" i="92"/>
  <c r="B489" i="92"/>
  <c r="C489" i="92"/>
  <c r="D489" i="92"/>
  <c r="E489" i="92"/>
  <c r="F489" i="92"/>
  <c r="B490" i="92"/>
  <c r="C490" i="92"/>
  <c r="D490" i="92"/>
  <c r="E490" i="92"/>
  <c r="F490" i="92"/>
  <c r="F463" i="92"/>
  <c r="E463" i="92"/>
  <c r="D463" i="92"/>
  <c r="C463" i="92"/>
  <c r="B463" i="92"/>
  <c r="AE53" i="23"/>
  <c r="E80" i="23"/>
  <c r="N53" i="23" s="1"/>
  <c r="C80" i="23"/>
  <c r="C53" i="23" s="1"/>
  <c r="O63" i="94"/>
  <c r="O62" i="94"/>
  <c r="AB61" i="94"/>
  <c r="AB63" i="94" s="1"/>
  <c r="O61" i="94"/>
  <c r="AL60" i="94"/>
  <c r="AT60" i="94" s="1"/>
  <c r="W60" i="94"/>
  <c r="AF60" i="94" s="1"/>
  <c r="AT59" i="94"/>
  <c r="AL59" i="94"/>
  <c r="AN59" i="94" s="1"/>
  <c r="AV59" i="94" s="1"/>
  <c r="W59" i="94"/>
  <c r="AF59" i="94" s="1"/>
  <c r="AL58" i="94"/>
  <c r="AT58" i="94" s="1"/>
  <c r="AF58" i="94"/>
  <c r="W58" i="94"/>
  <c r="AL57" i="94"/>
  <c r="AN57" i="94" s="1"/>
  <c r="AV57" i="94" s="1"/>
  <c r="W57" i="94"/>
  <c r="AF57" i="94" s="1"/>
  <c r="AL56" i="94"/>
  <c r="AT56" i="94" s="1"/>
  <c r="W56" i="94"/>
  <c r="AF56" i="94" s="1"/>
  <c r="AL55" i="94"/>
  <c r="AN55" i="94" s="1"/>
  <c r="AV55" i="94" s="1"/>
  <c r="AF55" i="94"/>
  <c r="W55" i="94"/>
  <c r="AL54" i="94"/>
  <c r="AT54" i="94" s="1"/>
  <c r="AF54" i="94"/>
  <c r="W54" i="94"/>
  <c r="AL53" i="94"/>
  <c r="AT53" i="94" s="1"/>
  <c r="W53" i="94"/>
  <c r="AF53" i="94" s="1"/>
  <c r="AV52" i="94"/>
  <c r="AN52" i="94"/>
  <c r="AL52" i="94"/>
  <c r="AT52" i="94" s="1"/>
  <c r="W52" i="94"/>
  <c r="AF52" i="94" s="1"/>
  <c r="AL51" i="94"/>
  <c r="AT51" i="94" s="1"/>
  <c r="W51" i="94"/>
  <c r="AF51" i="94" s="1"/>
  <c r="AL50" i="94"/>
  <c r="AT50" i="94" s="1"/>
  <c r="W50" i="94"/>
  <c r="AF50" i="94" s="1"/>
  <c r="AL49" i="94"/>
  <c r="AT49" i="94" s="1"/>
  <c r="W49" i="94"/>
  <c r="AF49" i="94" s="1"/>
  <c r="AN48" i="94"/>
  <c r="AV48" i="94" s="1"/>
  <c r="AL48" i="94"/>
  <c r="AT48" i="94" s="1"/>
  <c r="AF48" i="94"/>
  <c r="W48" i="94"/>
  <c r="AL47" i="94"/>
  <c r="AN47" i="94" s="1"/>
  <c r="AV47" i="94" s="1"/>
  <c r="W47" i="94"/>
  <c r="AF47" i="94" s="1"/>
  <c r="AL46" i="94"/>
  <c r="AT46" i="94" s="1"/>
  <c r="W46" i="94"/>
  <c r="AF46" i="94" s="1"/>
  <c r="AT45" i="94"/>
  <c r="AL45" i="94"/>
  <c r="AN45" i="94" s="1"/>
  <c r="AV45" i="94" s="1"/>
  <c r="AF45" i="94"/>
  <c r="W45" i="94"/>
  <c r="AL44" i="94"/>
  <c r="AT44" i="94" s="1"/>
  <c r="AF44" i="94"/>
  <c r="W44" i="94"/>
  <c r="AL43" i="94"/>
  <c r="AT43" i="94" s="1"/>
  <c r="W43" i="94"/>
  <c r="AF43" i="94" s="1"/>
  <c r="AT42" i="94"/>
  <c r="AL42" i="94"/>
  <c r="AN42" i="94" s="1"/>
  <c r="AV42" i="94" s="1"/>
  <c r="W42" i="94"/>
  <c r="AF42" i="94" s="1"/>
  <c r="AL41" i="94"/>
  <c r="AN41" i="94" s="1"/>
  <c r="AV41" i="94" s="1"/>
  <c r="W41" i="94"/>
  <c r="AF41" i="94" s="1"/>
  <c r="AL40" i="94"/>
  <c r="AN40" i="94" s="1"/>
  <c r="AV40" i="94" s="1"/>
  <c r="W40" i="94"/>
  <c r="AF40" i="94" s="1"/>
  <c r="AV39" i="94"/>
  <c r="AT39" i="94"/>
  <c r="AN39" i="94"/>
  <c r="AL39" i="94"/>
  <c r="W39" i="94"/>
  <c r="AF39" i="94" s="1"/>
  <c r="AL38" i="94"/>
  <c r="AN38" i="94" s="1"/>
  <c r="AV38" i="94" s="1"/>
  <c r="AF38" i="94"/>
  <c r="W38" i="94"/>
  <c r="AL37" i="94"/>
  <c r="AT37" i="94" s="1"/>
  <c r="W37" i="94"/>
  <c r="AF37" i="94" s="1"/>
  <c r="AL36" i="94"/>
  <c r="AT36" i="94" s="1"/>
  <c r="W36" i="94"/>
  <c r="AF36" i="94" s="1"/>
  <c r="AT35" i="94"/>
  <c r="AL35" i="94"/>
  <c r="AN35" i="94" s="1"/>
  <c r="AV35" i="94" s="1"/>
  <c r="AF35" i="94"/>
  <c r="W35" i="94"/>
  <c r="AL34" i="94"/>
  <c r="AT34" i="94" s="1"/>
  <c r="AF34" i="94"/>
  <c r="W34" i="94"/>
  <c r="AL33" i="94"/>
  <c r="AT33" i="94" s="1"/>
  <c r="W33" i="94"/>
  <c r="AF33" i="94" s="1"/>
  <c r="AL32" i="94"/>
  <c r="AT32" i="94" s="1"/>
  <c r="W32" i="94"/>
  <c r="AF32" i="94" s="1"/>
  <c r="AL31" i="94"/>
  <c r="AN31" i="94" s="1"/>
  <c r="AV31" i="94" s="1"/>
  <c r="W31" i="94"/>
  <c r="AF31" i="94" s="1"/>
  <c r="AL30" i="94"/>
  <c r="AT30" i="94" s="1"/>
  <c r="W30" i="94"/>
  <c r="AF30" i="94" s="1"/>
  <c r="AL29" i="94"/>
  <c r="AT29" i="94" s="1"/>
  <c r="W29" i="94"/>
  <c r="AF29" i="94" s="1"/>
  <c r="AL28" i="94"/>
  <c r="AN28" i="94" s="1"/>
  <c r="AV28" i="94" s="1"/>
  <c r="AF28" i="94"/>
  <c r="W28" i="94"/>
  <c r="AL27" i="94"/>
  <c r="AN27" i="94" s="1"/>
  <c r="AV27" i="94" s="1"/>
  <c r="W27" i="94"/>
  <c r="AF27" i="94" s="1"/>
  <c r="AL26" i="94"/>
  <c r="AT26" i="94" s="1"/>
  <c r="AF26" i="94"/>
  <c r="W26" i="94"/>
  <c r="AL25" i="94"/>
  <c r="AN25" i="94" s="1"/>
  <c r="AV25" i="94" s="1"/>
  <c r="AF25" i="94"/>
  <c r="W25" i="94"/>
  <c r="AL24" i="94"/>
  <c r="AT24" i="94" s="1"/>
  <c r="AF24" i="94"/>
  <c r="W24" i="94"/>
  <c r="AL23" i="94"/>
  <c r="AN23" i="94" s="1"/>
  <c r="AV23" i="94" s="1"/>
  <c r="W23" i="94"/>
  <c r="AF23" i="94" s="1"/>
  <c r="AL22" i="94"/>
  <c r="AT22" i="94" s="1"/>
  <c r="W22" i="94"/>
  <c r="AF22" i="94" s="1"/>
  <c r="AL21" i="94"/>
  <c r="AT21" i="94" s="1"/>
  <c r="W21" i="94"/>
  <c r="AF21" i="94" s="1"/>
  <c r="AL20" i="94"/>
  <c r="AT20" i="94" s="1"/>
  <c r="W20" i="94"/>
  <c r="AF20" i="94" s="1"/>
  <c r="AL19" i="94"/>
  <c r="AN19" i="94" s="1"/>
  <c r="AV19" i="94" s="1"/>
  <c r="W19" i="94"/>
  <c r="AF19" i="94" s="1"/>
  <c r="AT18" i="94"/>
  <c r="AL18" i="94"/>
  <c r="AN18" i="94" s="1"/>
  <c r="AV18" i="94" s="1"/>
  <c r="AF18" i="94"/>
  <c r="W18" i="94"/>
  <c r="AL17" i="94"/>
  <c r="AT17" i="94" s="1"/>
  <c r="W17" i="94"/>
  <c r="AF17" i="94" s="1"/>
  <c r="AL16" i="94"/>
  <c r="AT16" i="94" s="1"/>
  <c r="W16" i="94"/>
  <c r="AF16" i="94" s="1"/>
  <c r="AL15" i="94"/>
  <c r="AN15" i="94" s="1"/>
  <c r="AV15" i="94" s="1"/>
  <c r="AF15" i="94"/>
  <c r="W15" i="94"/>
  <c r="AL14" i="94"/>
  <c r="AT14" i="94" s="1"/>
  <c r="AF14" i="94"/>
  <c r="W14" i="94"/>
  <c r="AL13" i="94"/>
  <c r="AN13" i="94" s="1"/>
  <c r="AV13" i="94" s="1"/>
  <c r="W13" i="94"/>
  <c r="AF13" i="94" s="1"/>
  <c r="C13" i="94"/>
  <c r="C14" i="94" s="1"/>
  <c r="C15" i="94" s="1"/>
  <c r="C16" i="94" s="1"/>
  <c r="C17" i="94" s="1"/>
  <c r="C18" i="94" s="1"/>
  <c r="C19" i="94" s="1"/>
  <c r="C20" i="94" s="1"/>
  <c r="C21" i="94" s="1"/>
  <c r="C22" i="94" s="1"/>
  <c r="C23" i="94" s="1"/>
  <c r="C24" i="94" s="1"/>
  <c r="C25" i="94" s="1"/>
  <c r="C26" i="94" s="1"/>
  <c r="C27" i="94" s="1"/>
  <c r="C28" i="94" s="1"/>
  <c r="C29" i="94" s="1"/>
  <c r="C30" i="94" s="1"/>
  <c r="C31" i="94" s="1"/>
  <c r="C32" i="94" s="1"/>
  <c r="C33" i="94" s="1"/>
  <c r="C34" i="94" s="1"/>
  <c r="C35" i="94" s="1"/>
  <c r="C36" i="94" s="1"/>
  <c r="C37" i="94" s="1"/>
  <c r="C38" i="94" s="1"/>
  <c r="C39" i="94" s="1"/>
  <c r="C40" i="94" s="1"/>
  <c r="C41" i="94" s="1"/>
  <c r="C42" i="94" s="1"/>
  <c r="C43" i="94" s="1"/>
  <c r="C44" i="94" s="1"/>
  <c r="C45" i="94" s="1"/>
  <c r="C46" i="94" s="1"/>
  <c r="C47" i="94" s="1"/>
  <c r="C48" i="94" s="1"/>
  <c r="C49" i="94" s="1"/>
  <c r="C50" i="94" s="1"/>
  <c r="C51" i="94" s="1"/>
  <c r="C52" i="94" s="1"/>
  <c r="C53" i="94" s="1"/>
  <c r="C54" i="94" s="1"/>
  <c r="C55" i="94" s="1"/>
  <c r="C56" i="94" s="1"/>
  <c r="C57" i="94" s="1"/>
  <c r="C58" i="94" s="1"/>
  <c r="C59" i="94" s="1"/>
  <c r="C60" i="94" s="1"/>
  <c r="AV12" i="94"/>
  <c r="AT12" i="94"/>
  <c r="AN12" i="94"/>
  <c r="AL12" i="94"/>
  <c r="W12" i="94"/>
  <c r="AF12" i="94" s="1"/>
  <c r="C12" i="94"/>
  <c r="AL11" i="94"/>
  <c r="AT11" i="94" s="1"/>
  <c r="W11" i="94"/>
  <c r="AF11" i="94" s="1"/>
  <c r="AW53" i="23"/>
  <c r="AT53" i="23"/>
  <c r="K3" i="92" a="1"/>
  <c r="K4" i="92" a="1"/>
  <c r="AT25" i="96" l="1"/>
  <c r="AN31" i="96"/>
  <c r="AV31" i="96" s="1"/>
  <c r="AN13" i="96"/>
  <c r="AV13" i="96" s="1"/>
  <c r="AT28" i="96"/>
  <c r="AT22" i="96"/>
  <c r="K4" i="92"/>
  <c r="K3" i="92"/>
  <c r="AN11" i="96"/>
  <c r="AV11" i="96" s="1"/>
  <c r="AN22" i="94"/>
  <c r="AV22" i="94" s="1"/>
  <c r="AT28" i="94"/>
  <c r="AT19" i="94"/>
  <c r="AN32" i="94"/>
  <c r="AV32" i="94" s="1"/>
  <c r="AT38" i="94"/>
  <c r="AN58" i="94"/>
  <c r="AV58" i="94" s="1"/>
  <c r="AN29" i="94"/>
  <c r="AV29" i="94" s="1"/>
  <c r="AT15" i="94"/>
  <c r="AT25" i="94"/>
  <c r="AN14" i="94"/>
  <c r="AV14" i="94" s="1"/>
  <c r="AT55" i="94"/>
  <c r="AO55" i="23"/>
  <c r="AI55" i="23"/>
  <c r="AN15" i="96"/>
  <c r="AV15" i="96" s="1"/>
  <c r="AT23" i="96"/>
  <c r="AT30" i="96"/>
  <c r="AN35" i="96"/>
  <c r="AV35" i="96" s="1"/>
  <c r="AT32" i="96"/>
  <c r="AT18" i="96"/>
  <c r="W39" i="96"/>
  <c r="W44" i="96" s="1"/>
  <c r="AF44" i="96" s="1"/>
  <c r="AN21" i="96"/>
  <c r="AV21" i="96" s="1"/>
  <c r="AN33" i="96"/>
  <c r="AV33" i="96" s="1"/>
  <c r="AT20" i="96"/>
  <c r="AB71" i="97"/>
  <c r="AT12" i="96"/>
  <c r="AN19" i="96"/>
  <c r="AV19" i="96" s="1"/>
  <c r="AT38" i="96"/>
  <c r="AI54" i="23"/>
  <c r="AO54" i="23"/>
  <c r="AJ80" i="23"/>
  <c r="W60" i="96"/>
  <c r="AB60" i="96" s="1"/>
  <c r="AF60" i="96" s="1"/>
  <c r="AF59" i="96"/>
  <c r="AN34" i="96"/>
  <c r="AV34" i="96" s="1"/>
  <c r="O61" i="96"/>
  <c r="AN14" i="96"/>
  <c r="AV14" i="96" s="1"/>
  <c r="AN17" i="96"/>
  <c r="AV17" i="96" s="1"/>
  <c r="AT24" i="96"/>
  <c r="AN27" i="96"/>
  <c r="AV27" i="96" s="1"/>
  <c r="AN37" i="96"/>
  <c r="AV37" i="96" s="1"/>
  <c r="AF55" i="96"/>
  <c r="O59" i="96"/>
  <c r="AB61" i="96"/>
  <c r="AN16" i="96"/>
  <c r="AV16" i="96" s="1"/>
  <c r="AN26" i="96"/>
  <c r="AV26" i="96" s="1"/>
  <c r="AN36" i="96"/>
  <c r="AV36" i="96" s="1"/>
  <c r="AN29" i="96"/>
  <c r="AV29" i="96" s="1"/>
  <c r="AV80" i="23"/>
  <c r="E53" i="23"/>
  <c r="AO53" i="23" s="1"/>
  <c r="AN49" i="94"/>
  <c r="AV49" i="94" s="1"/>
  <c r="AT31" i="94"/>
  <c r="AN44" i="94"/>
  <c r="AV44" i="94" s="1"/>
  <c r="AN54" i="94"/>
  <c r="AV54" i="94" s="1"/>
  <c r="W61" i="94"/>
  <c r="AN30" i="94"/>
  <c r="AV30" i="94" s="1"/>
  <c r="AT47" i="94"/>
  <c r="AT57" i="94"/>
  <c r="AN60" i="94"/>
  <c r="AV60" i="94" s="1"/>
  <c r="AN53" i="94"/>
  <c r="AV53" i="94" s="1"/>
  <c r="AN11" i="94"/>
  <c r="AV11" i="94" s="1"/>
  <c r="AN34" i="94"/>
  <c r="AV34" i="94" s="1"/>
  <c r="AT41" i="94"/>
  <c r="AN37" i="94"/>
  <c r="AV37" i="94" s="1"/>
  <c r="AN20" i="94"/>
  <c r="AV20" i="94" s="1"/>
  <c r="AT27" i="94"/>
  <c r="AN50" i="94"/>
  <c r="AV50" i="94" s="1"/>
  <c r="AN33" i="94"/>
  <c r="AV33" i="94" s="1"/>
  <c r="AT40" i="94"/>
  <c r="AN43" i="94"/>
  <c r="AV43" i="94" s="1"/>
  <c r="AT13" i="94"/>
  <c r="AN16" i="94"/>
  <c r="AV16" i="94" s="1"/>
  <c r="AT23" i="94"/>
  <c r="AN26" i="94"/>
  <c r="AV26" i="94" s="1"/>
  <c r="AN36" i="94"/>
  <c r="AV36" i="94" s="1"/>
  <c r="AN46" i="94"/>
  <c r="AV46" i="94" s="1"/>
  <c r="AN56" i="94"/>
  <c r="AV56" i="94" s="1"/>
  <c r="AN21" i="94"/>
  <c r="AV21" i="94" s="1"/>
  <c r="AN51" i="94"/>
  <c r="AV51" i="94" s="1"/>
  <c r="AN24" i="94"/>
  <c r="AV24" i="94" s="1"/>
  <c r="AN17" i="94"/>
  <c r="AV17" i="94" s="1"/>
  <c r="W40" i="96" l="1"/>
  <c r="AF40" i="96" s="1"/>
  <c r="W43" i="96"/>
  <c r="AF43" i="96" s="1"/>
  <c r="AF39" i="96"/>
  <c r="AB72" i="97"/>
  <c r="AF72" i="97" s="1"/>
  <c r="AF71" i="97"/>
  <c r="W61" i="96"/>
  <c r="W62" i="94"/>
  <c r="AF61" i="94"/>
  <c r="W48" i="96" l="1"/>
  <c r="W49" i="96" s="1"/>
  <c r="W63" i="96" s="1"/>
  <c r="Z81" i="23" s="1"/>
  <c r="AF61" i="96"/>
  <c r="AF62" i="94"/>
  <c r="W63" i="94"/>
  <c r="AB48" i="96" l="1"/>
  <c r="AB49" i="96"/>
  <c r="AF48" i="96"/>
  <c r="AF63" i="94"/>
  <c r="Z80" i="23"/>
  <c r="AF49" i="96" l="1"/>
  <c r="AB63" i="96"/>
  <c r="AF63" i="96" s="1"/>
  <c r="Z53" i="23"/>
  <c r="AR80" i="23"/>
  <c r="S1" i="92"/>
  <c r="Q1" i="92"/>
  <c r="L2" i="92" a="1"/>
  <c r="BD78" i="23"/>
  <c r="K2" i="92" a="1"/>
  <c r="K2" i="92" l="1"/>
  <c r="L2" i="92"/>
  <c r="AI53" i="23"/>
  <c r="R2" i="92"/>
  <c r="C79" i="23"/>
  <c r="AJ79" i="23"/>
  <c r="A453" i="92"/>
  <c r="B453" i="92"/>
  <c r="C453" i="92"/>
  <c r="D453" i="92"/>
  <c r="E453" i="92"/>
  <c r="F453" i="92"/>
  <c r="A454" i="92"/>
  <c r="B454" i="92"/>
  <c r="C454" i="92"/>
  <c r="D454" i="92"/>
  <c r="E454" i="92"/>
  <c r="F454" i="92"/>
  <c r="A455" i="92"/>
  <c r="B455" i="92"/>
  <c r="C455" i="92"/>
  <c r="D455" i="92"/>
  <c r="E455" i="92"/>
  <c r="F455" i="92"/>
  <c r="A456" i="92"/>
  <c r="B456" i="92"/>
  <c r="C456" i="92"/>
  <c r="D456" i="92"/>
  <c r="E456" i="92"/>
  <c r="F456" i="92"/>
  <c r="A457" i="92"/>
  <c r="B457" i="92"/>
  <c r="C457" i="92"/>
  <c r="D457" i="92"/>
  <c r="E457" i="92"/>
  <c r="F457" i="92"/>
  <c r="F458" i="92"/>
  <c r="F459" i="92"/>
  <c r="F460" i="92"/>
  <c r="A400" i="92"/>
  <c r="B400" i="92"/>
  <c r="C400" i="92"/>
  <c r="D400" i="92"/>
  <c r="E400" i="92"/>
  <c r="F400" i="92"/>
  <c r="A401" i="92"/>
  <c r="B401" i="92"/>
  <c r="C401" i="92"/>
  <c r="D401" i="92"/>
  <c r="E401" i="92"/>
  <c r="F401" i="92"/>
  <c r="A402" i="92"/>
  <c r="B402" i="92"/>
  <c r="C402" i="92"/>
  <c r="D402" i="92"/>
  <c r="E402" i="92"/>
  <c r="F402" i="92"/>
  <c r="A403" i="92"/>
  <c r="B403" i="92"/>
  <c r="C403" i="92"/>
  <c r="D403" i="92"/>
  <c r="E403" i="92"/>
  <c r="F403" i="92"/>
  <c r="A404" i="92"/>
  <c r="B404" i="92"/>
  <c r="C404" i="92"/>
  <c r="D404" i="92"/>
  <c r="E404" i="92"/>
  <c r="F404" i="92"/>
  <c r="A405" i="92"/>
  <c r="B405" i="92"/>
  <c r="C405" i="92"/>
  <c r="D405" i="92"/>
  <c r="E405" i="92"/>
  <c r="F405" i="92"/>
  <c r="A406" i="92"/>
  <c r="B406" i="92"/>
  <c r="C406" i="92"/>
  <c r="D406" i="92"/>
  <c r="E406" i="92"/>
  <c r="F406" i="92"/>
  <c r="A407" i="92"/>
  <c r="B407" i="92"/>
  <c r="C407" i="92"/>
  <c r="D407" i="92"/>
  <c r="E407" i="92"/>
  <c r="F407" i="92"/>
  <c r="A408" i="92"/>
  <c r="B408" i="92"/>
  <c r="C408" i="92"/>
  <c r="D408" i="92"/>
  <c r="E408" i="92"/>
  <c r="F408" i="92"/>
  <c r="A409" i="92"/>
  <c r="B409" i="92"/>
  <c r="C409" i="92"/>
  <c r="D409" i="92"/>
  <c r="E409" i="92"/>
  <c r="F409" i="92"/>
  <c r="A410" i="92"/>
  <c r="B410" i="92"/>
  <c r="C410" i="92"/>
  <c r="D410" i="92"/>
  <c r="E410" i="92"/>
  <c r="F410" i="92"/>
  <c r="A411" i="92"/>
  <c r="B411" i="92"/>
  <c r="C411" i="92"/>
  <c r="D411" i="92"/>
  <c r="E411" i="92"/>
  <c r="F411" i="92"/>
  <c r="A412" i="92"/>
  <c r="B412" i="92"/>
  <c r="C412" i="92"/>
  <c r="D412" i="92"/>
  <c r="E412" i="92"/>
  <c r="F412" i="92"/>
  <c r="A413" i="92"/>
  <c r="B413" i="92"/>
  <c r="C413" i="92"/>
  <c r="D413" i="92"/>
  <c r="E413" i="92"/>
  <c r="F413" i="92"/>
  <c r="A414" i="92"/>
  <c r="B414" i="92"/>
  <c r="C414" i="92"/>
  <c r="D414" i="92"/>
  <c r="E414" i="92"/>
  <c r="F414" i="92"/>
  <c r="A415" i="92"/>
  <c r="B415" i="92"/>
  <c r="C415" i="92"/>
  <c r="D415" i="92"/>
  <c r="E415" i="92"/>
  <c r="F415" i="92"/>
  <c r="A416" i="92"/>
  <c r="B416" i="92"/>
  <c r="C416" i="92"/>
  <c r="D416" i="92"/>
  <c r="E416" i="92"/>
  <c r="F416" i="92"/>
  <c r="A417" i="92"/>
  <c r="B417" i="92"/>
  <c r="C417" i="92"/>
  <c r="D417" i="92"/>
  <c r="E417" i="92"/>
  <c r="F417" i="92"/>
  <c r="A418" i="92"/>
  <c r="B418" i="92"/>
  <c r="C418" i="92"/>
  <c r="D418" i="92"/>
  <c r="E418" i="92"/>
  <c r="F418" i="92"/>
  <c r="A419" i="92"/>
  <c r="B419" i="92"/>
  <c r="C419" i="92"/>
  <c r="D419" i="92"/>
  <c r="E419" i="92"/>
  <c r="F419" i="92"/>
  <c r="A420" i="92"/>
  <c r="B420" i="92"/>
  <c r="C420" i="92"/>
  <c r="D420" i="92"/>
  <c r="E420" i="92"/>
  <c r="F420" i="92"/>
  <c r="A421" i="92"/>
  <c r="B421" i="92"/>
  <c r="C421" i="92"/>
  <c r="D421" i="92"/>
  <c r="E421" i="92"/>
  <c r="F421" i="92"/>
  <c r="A422" i="92"/>
  <c r="B422" i="92"/>
  <c r="C422" i="92"/>
  <c r="D422" i="92"/>
  <c r="E422" i="92"/>
  <c r="F422" i="92"/>
  <c r="A423" i="92"/>
  <c r="B423" i="92"/>
  <c r="C423" i="92"/>
  <c r="D423" i="92"/>
  <c r="E423" i="92"/>
  <c r="F423" i="92"/>
  <c r="A424" i="92"/>
  <c r="B424" i="92"/>
  <c r="C424" i="92"/>
  <c r="D424" i="92"/>
  <c r="E424" i="92"/>
  <c r="F424" i="92"/>
  <c r="A425" i="92"/>
  <c r="B425" i="92"/>
  <c r="C425" i="92"/>
  <c r="D425" i="92"/>
  <c r="E425" i="92"/>
  <c r="F425" i="92"/>
  <c r="A426" i="92"/>
  <c r="B426" i="92"/>
  <c r="C426" i="92"/>
  <c r="D426" i="92"/>
  <c r="E426" i="92"/>
  <c r="F426" i="92"/>
  <c r="A427" i="92"/>
  <c r="B427" i="92"/>
  <c r="C427" i="92"/>
  <c r="D427" i="92"/>
  <c r="E427" i="92"/>
  <c r="F427" i="92"/>
  <c r="A428" i="92"/>
  <c r="B428" i="92"/>
  <c r="C428" i="92"/>
  <c r="D428" i="92"/>
  <c r="E428" i="92"/>
  <c r="F428" i="92"/>
  <c r="A429" i="92"/>
  <c r="B429" i="92"/>
  <c r="C429" i="92"/>
  <c r="D429" i="92"/>
  <c r="E429" i="92"/>
  <c r="F429" i="92"/>
  <c r="A430" i="92"/>
  <c r="B430" i="92"/>
  <c r="C430" i="92"/>
  <c r="D430" i="92"/>
  <c r="E430" i="92"/>
  <c r="F430" i="92"/>
  <c r="A431" i="92"/>
  <c r="B431" i="92"/>
  <c r="C431" i="92"/>
  <c r="D431" i="92"/>
  <c r="E431" i="92"/>
  <c r="F431" i="92"/>
  <c r="A432" i="92"/>
  <c r="B432" i="92"/>
  <c r="C432" i="92"/>
  <c r="D432" i="92"/>
  <c r="E432" i="92"/>
  <c r="F432" i="92"/>
  <c r="A433" i="92"/>
  <c r="B433" i="92"/>
  <c r="C433" i="92"/>
  <c r="D433" i="92"/>
  <c r="E433" i="92"/>
  <c r="F433" i="92"/>
  <c r="A434" i="92"/>
  <c r="B434" i="92"/>
  <c r="C434" i="92"/>
  <c r="D434" i="92"/>
  <c r="E434" i="92"/>
  <c r="F434" i="92"/>
  <c r="A435" i="92"/>
  <c r="B435" i="92"/>
  <c r="C435" i="92"/>
  <c r="D435" i="92"/>
  <c r="E435" i="92"/>
  <c r="F435" i="92"/>
  <c r="A436" i="92"/>
  <c r="B436" i="92"/>
  <c r="C436" i="92"/>
  <c r="D436" i="92"/>
  <c r="E436" i="92"/>
  <c r="F436" i="92"/>
  <c r="A437" i="92"/>
  <c r="B437" i="92"/>
  <c r="C437" i="92"/>
  <c r="D437" i="92"/>
  <c r="E437" i="92"/>
  <c r="F437" i="92"/>
  <c r="A438" i="92"/>
  <c r="B438" i="92"/>
  <c r="C438" i="92"/>
  <c r="D438" i="92"/>
  <c r="E438" i="92"/>
  <c r="F438" i="92"/>
  <c r="A439" i="92"/>
  <c r="B439" i="92"/>
  <c r="C439" i="92"/>
  <c r="D439" i="92"/>
  <c r="E439" i="92"/>
  <c r="F439" i="92"/>
  <c r="A440" i="92"/>
  <c r="B440" i="92"/>
  <c r="C440" i="92"/>
  <c r="D440" i="92"/>
  <c r="E440" i="92"/>
  <c r="F440" i="92"/>
  <c r="A441" i="92"/>
  <c r="B441" i="92"/>
  <c r="C441" i="92"/>
  <c r="D441" i="92"/>
  <c r="E441" i="92"/>
  <c r="F441" i="92"/>
  <c r="A442" i="92"/>
  <c r="B442" i="92"/>
  <c r="C442" i="92"/>
  <c r="D442" i="92"/>
  <c r="E442" i="92"/>
  <c r="F442" i="92"/>
  <c r="A443" i="92"/>
  <c r="B443" i="92"/>
  <c r="C443" i="92"/>
  <c r="D443" i="92"/>
  <c r="E443" i="92"/>
  <c r="F443" i="92"/>
  <c r="A444" i="92"/>
  <c r="B444" i="92"/>
  <c r="C444" i="92"/>
  <c r="D444" i="92"/>
  <c r="E444" i="92"/>
  <c r="F444" i="92"/>
  <c r="A445" i="92"/>
  <c r="B445" i="92"/>
  <c r="C445" i="92"/>
  <c r="D445" i="92"/>
  <c r="E445" i="92"/>
  <c r="F445" i="92"/>
  <c r="A446" i="92"/>
  <c r="B446" i="92"/>
  <c r="C446" i="92"/>
  <c r="D446" i="92"/>
  <c r="E446" i="92"/>
  <c r="F446" i="92"/>
  <c r="A447" i="92"/>
  <c r="B447" i="92"/>
  <c r="C447" i="92"/>
  <c r="D447" i="92"/>
  <c r="E447" i="92"/>
  <c r="F447" i="92"/>
  <c r="A448" i="92"/>
  <c r="B448" i="92"/>
  <c r="C448" i="92"/>
  <c r="D448" i="92"/>
  <c r="E448" i="92"/>
  <c r="F448" i="92"/>
  <c r="A449" i="92"/>
  <c r="B449" i="92"/>
  <c r="C449" i="92"/>
  <c r="D449" i="92"/>
  <c r="E449" i="92"/>
  <c r="F449" i="92"/>
  <c r="A450" i="92"/>
  <c r="B450" i="92"/>
  <c r="C450" i="92"/>
  <c r="D450" i="92"/>
  <c r="E450" i="92"/>
  <c r="F450" i="92"/>
  <c r="A451" i="92"/>
  <c r="B451" i="92"/>
  <c r="C451" i="92"/>
  <c r="D451" i="92"/>
  <c r="E451" i="92"/>
  <c r="F451" i="92"/>
  <c r="A452" i="92"/>
  <c r="B452" i="92"/>
  <c r="C452" i="92"/>
  <c r="D452" i="92"/>
  <c r="E452" i="92"/>
  <c r="F452" i="92"/>
  <c r="A336" i="92"/>
  <c r="B336" i="92"/>
  <c r="C336" i="92"/>
  <c r="D336" i="92"/>
  <c r="E336" i="92"/>
  <c r="F336" i="92"/>
  <c r="A337" i="92"/>
  <c r="B337" i="92"/>
  <c r="C337" i="92"/>
  <c r="D337" i="92"/>
  <c r="E337" i="92"/>
  <c r="F337" i="92"/>
  <c r="A338" i="92"/>
  <c r="B338" i="92"/>
  <c r="C338" i="92"/>
  <c r="D338" i="92"/>
  <c r="E338" i="92"/>
  <c r="F338" i="92"/>
  <c r="A339" i="92"/>
  <c r="B339" i="92"/>
  <c r="C339" i="92"/>
  <c r="D339" i="92"/>
  <c r="E339" i="92"/>
  <c r="F339" i="92"/>
  <c r="A340" i="92"/>
  <c r="B340" i="92"/>
  <c r="C340" i="92"/>
  <c r="D340" i="92"/>
  <c r="E340" i="92"/>
  <c r="F340" i="92"/>
  <c r="A341" i="92"/>
  <c r="B341" i="92"/>
  <c r="C341" i="92"/>
  <c r="D341" i="92"/>
  <c r="E341" i="92"/>
  <c r="F341" i="92"/>
  <c r="A342" i="92"/>
  <c r="B342" i="92"/>
  <c r="C342" i="92"/>
  <c r="D342" i="92"/>
  <c r="E342" i="92"/>
  <c r="F342" i="92"/>
  <c r="A343" i="92"/>
  <c r="B343" i="92"/>
  <c r="C343" i="92"/>
  <c r="D343" i="92"/>
  <c r="E343" i="92"/>
  <c r="F343" i="92"/>
  <c r="A344" i="92"/>
  <c r="B344" i="92"/>
  <c r="C344" i="92"/>
  <c r="D344" i="92"/>
  <c r="E344" i="92"/>
  <c r="F344" i="92"/>
  <c r="A345" i="92"/>
  <c r="B345" i="92"/>
  <c r="C345" i="92"/>
  <c r="D345" i="92"/>
  <c r="E345" i="92"/>
  <c r="F345" i="92"/>
  <c r="A346" i="92"/>
  <c r="B346" i="92"/>
  <c r="C346" i="92"/>
  <c r="D346" i="92"/>
  <c r="E346" i="92"/>
  <c r="F346" i="92"/>
  <c r="A347" i="92"/>
  <c r="B347" i="92"/>
  <c r="C347" i="92"/>
  <c r="D347" i="92"/>
  <c r="E347" i="92"/>
  <c r="F347" i="92"/>
  <c r="A348" i="92"/>
  <c r="B348" i="92"/>
  <c r="C348" i="92"/>
  <c r="D348" i="92"/>
  <c r="E348" i="92"/>
  <c r="F348" i="92"/>
  <c r="A349" i="92"/>
  <c r="B349" i="92"/>
  <c r="C349" i="92"/>
  <c r="D349" i="92"/>
  <c r="E349" i="92"/>
  <c r="F349" i="92"/>
  <c r="A350" i="92"/>
  <c r="B350" i="92"/>
  <c r="C350" i="92"/>
  <c r="D350" i="92"/>
  <c r="E350" i="92"/>
  <c r="F350" i="92"/>
  <c r="A351" i="92"/>
  <c r="B351" i="92"/>
  <c r="C351" i="92"/>
  <c r="D351" i="92"/>
  <c r="E351" i="92"/>
  <c r="F351" i="92"/>
  <c r="A352" i="92"/>
  <c r="B352" i="92"/>
  <c r="C352" i="92"/>
  <c r="D352" i="92"/>
  <c r="E352" i="92"/>
  <c r="F352" i="92"/>
  <c r="A353" i="92"/>
  <c r="B353" i="92"/>
  <c r="C353" i="92"/>
  <c r="D353" i="92"/>
  <c r="E353" i="92"/>
  <c r="F353" i="92"/>
  <c r="A354" i="92"/>
  <c r="B354" i="92"/>
  <c r="C354" i="92"/>
  <c r="D354" i="92"/>
  <c r="E354" i="92"/>
  <c r="F354" i="92"/>
  <c r="A355" i="92"/>
  <c r="B355" i="92"/>
  <c r="C355" i="92"/>
  <c r="D355" i="92"/>
  <c r="E355" i="92"/>
  <c r="F355" i="92"/>
  <c r="A356" i="92"/>
  <c r="B356" i="92"/>
  <c r="C356" i="92"/>
  <c r="D356" i="92"/>
  <c r="E356" i="92"/>
  <c r="F356" i="92"/>
  <c r="A357" i="92"/>
  <c r="B357" i="92"/>
  <c r="C357" i="92"/>
  <c r="D357" i="92"/>
  <c r="E357" i="92"/>
  <c r="F357" i="92"/>
  <c r="A358" i="92"/>
  <c r="B358" i="92"/>
  <c r="C358" i="92"/>
  <c r="D358" i="92"/>
  <c r="E358" i="92"/>
  <c r="F358" i="92"/>
  <c r="A359" i="92"/>
  <c r="B359" i="92"/>
  <c r="C359" i="92"/>
  <c r="D359" i="92"/>
  <c r="E359" i="92"/>
  <c r="F359" i="92"/>
  <c r="A360" i="92"/>
  <c r="B360" i="92"/>
  <c r="C360" i="92"/>
  <c r="D360" i="92"/>
  <c r="E360" i="92"/>
  <c r="F360" i="92"/>
  <c r="A361" i="92"/>
  <c r="B361" i="92"/>
  <c r="C361" i="92"/>
  <c r="D361" i="92"/>
  <c r="E361" i="92"/>
  <c r="F361" i="92"/>
  <c r="A362" i="92"/>
  <c r="B362" i="92"/>
  <c r="C362" i="92"/>
  <c r="D362" i="92"/>
  <c r="E362" i="92"/>
  <c r="F362" i="92"/>
  <c r="A363" i="92"/>
  <c r="B363" i="92"/>
  <c r="C363" i="92"/>
  <c r="D363" i="92"/>
  <c r="E363" i="92"/>
  <c r="F363" i="92"/>
  <c r="A364" i="92"/>
  <c r="B364" i="92"/>
  <c r="C364" i="92"/>
  <c r="D364" i="92"/>
  <c r="E364" i="92"/>
  <c r="F364" i="92"/>
  <c r="A365" i="92"/>
  <c r="B365" i="92"/>
  <c r="C365" i="92"/>
  <c r="D365" i="92"/>
  <c r="E365" i="92"/>
  <c r="F365" i="92"/>
  <c r="A366" i="92"/>
  <c r="B366" i="92"/>
  <c r="C366" i="92"/>
  <c r="D366" i="92"/>
  <c r="E366" i="92"/>
  <c r="F366" i="92"/>
  <c r="A367" i="92"/>
  <c r="B367" i="92"/>
  <c r="C367" i="92"/>
  <c r="D367" i="92"/>
  <c r="E367" i="92"/>
  <c r="F367" i="92"/>
  <c r="A368" i="92"/>
  <c r="B368" i="92"/>
  <c r="C368" i="92"/>
  <c r="D368" i="92"/>
  <c r="E368" i="92"/>
  <c r="F368" i="92"/>
  <c r="A369" i="92"/>
  <c r="B369" i="92"/>
  <c r="C369" i="92"/>
  <c r="D369" i="92"/>
  <c r="E369" i="92"/>
  <c r="F369" i="92"/>
  <c r="A370" i="92"/>
  <c r="B370" i="92"/>
  <c r="C370" i="92"/>
  <c r="D370" i="92"/>
  <c r="E370" i="92"/>
  <c r="F370" i="92"/>
  <c r="A371" i="92"/>
  <c r="B371" i="92"/>
  <c r="C371" i="92"/>
  <c r="D371" i="92"/>
  <c r="E371" i="92"/>
  <c r="F371" i="92"/>
  <c r="A372" i="92"/>
  <c r="B372" i="92"/>
  <c r="C372" i="92"/>
  <c r="D372" i="92"/>
  <c r="E372" i="92"/>
  <c r="F372" i="92"/>
  <c r="A373" i="92"/>
  <c r="B373" i="92"/>
  <c r="C373" i="92"/>
  <c r="D373" i="92"/>
  <c r="E373" i="92"/>
  <c r="F373" i="92"/>
  <c r="A374" i="92"/>
  <c r="B374" i="92"/>
  <c r="C374" i="92"/>
  <c r="D374" i="92"/>
  <c r="E374" i="92"/>
  <c r="F374" i="92"/>
  <c r="A375" i="92"/>
  <c r="B375" i="92"/>
  <c r="C375" i="92"/>
  <c r="D375" i="92"/>
  <c r="E375" i="92"/>
  <c r="F375" i="92"/>
  <c r="A376" i="92"/>
  <c r="B376" i="92"/>
  <c r="C376" i="92"/>
  <c r="D376" i="92"/>
  <c r="E376" i="92"/>
  <c r="F376" i="92"/>
  <c r="A377" i="92"/>
  <c r="B377" i="92"/>
  <c r="C377" i="92"/>
  <c r="D377" i="92"/>
  <c r="E377" i="92"/>
  <c r="F377" i="92"/>
  <c r="A378" i="92"/>
  <c r="B378" i="92"/>
  <c r="C378" i="92"/>
  <c r="D378" i="92"/>
  <c r="E378" i="92"/>
  <c r="F378" i="92"/>
  <c r="A379" i="92"/>
  <c r="B379" i="92"/>
  <c r="C379" i="92"/>
  <c r="D379" i="92"/>
  <c r="E379" i="92"/>
  <c r="F379" i="92"/>
  <c r="A380" i="92"/>
  <c r="B380" i="92"/>
  <c r="C380" i="92"/>
  <c r="D380" i="92"/>
  <c r="E380" i="92"/>
  <c r="F380" i="92"/>
  <c r="A381" i="92"/>
  <c r="B381" i="92"/>
  <c r="C381" i="92"/>
  <c r="D381" i="92"/>
  <c r="E381" i="92"/>
  <c r="F381" i="92"/>
  <c r="A382" i="92"/>
  <c r="B382" i="92"/>
  <c r="C382" i="92"/>
  <c r="D382" i="92"/>
  <c r="E382" i="92"/>
  <c r="F382" i="92"/>
  <c r="A383" i="92"/>
  <c r="B383" i="92"/>
  <c r="C383" i="92"/>
  <c r="D383" i="92"/>
  <c r="E383" i="92"/>
  <c r="F383" i="92"/>
  <c r="A384" i="92"/>
  <c r="B384" i="92"/>
  <c r="C384" i="92"/>
  <c r="D384" i="92"/>
  <c r="E384" i="92"/>
  <c r="F384" i="92"/>
  <c r="A385" i="92"/>
  <c r="B385" i="92"/>
  <c r="C385" i="92"/>
  <c r="D385" i="92"/>
  <c r="E385" i="92"/>
  <c r="F385" i="92"/>
  <c r="A386" i="92"/>
  <c r="B386" i="92"/>
  <c r="C386" i="92"/>
  <c r="D386" i="92"/>
  <c r="E386" i="92"/>
  <c r="F386" i="92"/>
  <c r="A387" i="92"/>
  <c r="B387" i="92"/>
  <c r="C387" i="92"/>
  <c r="D387" i="92"/>
  <c r="E387" i="92"/>
  <c r="F387" i="92"/>
  <c r="A388" i="92"/>
  <c r="B388" i="92"/>
  <c r="C388" i="92"/>
  <c r="D388" i="92"/>
  <c r="E388" i="92"/>
  <c r="F388" i="92"/>
  <c r="A389" i="92"/>
  <c r="B389" i="92"/>
  <c r="C389" i="92"/>
  <c r="D389" i="92"/>
  <c r="E389" i="92"/>
  <c r="F389" i="92"/>
  <c r="A390" i="92"/>
  <c r="B390" i="92"/>
  <c r="C390" i="92"/>
  <c r="D390" i="92"/>
  <c r="E390" i="92"/>
  <c r="F390" i="92"/>
  <c r="A391" i="92"/>
  <c r="B391" i="92"/>
  <c r="C391" i="92"/>
  <c r="D391" i="92"/>
  <c r="E391" i="92"/>
  <c r="F391" i="92"/>
  <c r="A392" i="92"/>
  <c r="B392" i="92"/>
  <c r="C392" i="92"/>
  <c r="D392" i="92"/>
  <c r="E392" i="92"/>
  <c r="F392" i="92"/>
  <c r="A393" i="92"/>
  <c r="B393" i="92"/>
  <c r="C393" i="92"/>
  <c r="D393" i="92"/>
  <c r="E393" i="92"/>
  <c r="F393" i="92"/>
  <c r="A394" i="92"/>
  <c r="B394" i="92"/>
  <c r="C394" i="92"/>
  <c r="D394" i="92"/>
  <c r="E394" i="92"/>
  <c r="F394" i="92"/>
  <c r="A395" i="92"/>
  <c r="B395" i="92"/>
  <c r="C395" i="92"/>
  <c r="D395" i="92"/>
  <c r="E395" i="92"/>
  <c r="F395" i="92"/>
  <c r="A396" i="92"/>
  <c r="B396" i="92"/>
  <c r="C396" i="92"/>
  <c r="D396" i="92"/>
  <c r="E396" i="92"/>
  <c r="F396" i="92"/>
  <c r="A397" i="92"/>
  <c r="B397" i="92"/>
  <c r="C397" i="92"/>
  <c r="D397" i="92"/>
  <c r="E397" i="92"/>
  <c r="F397" i="92"/>
  <c r="A398" i="92"/>
  <c r="B398" i="92"/>
  <c r="C398" i="92"/>
  <c r="D398" i="92"/>
  <c r="E398" i="92"/>
  <c r="F398" i="92"/>
  <c r="A399" i="92"/>
  <c r="B399" i="92"/>
  <c r="C399" i="92"/>
  <c r="D399" i="92"/>
  <c r="E399" i="92"/>
  <c r="F399" i="92"/>
  <c r="F335" i="92"/>
  <c r="E335" i="92"/>
  <c r="D335" i="92"/>
  <c r="C335" i="92"/>
  <c r="B335" i="92"/>
  <c r="A335" i="92"/>
  <c r="A282" i="92"/>
  <c r="B282" i="92"/>
  <c r="C282" i="92"/>
  <c r="D282" i="92"/>
  <c r="E282" i="92"/>
  <c r="F282" i="92"/>
  <c r="A283" i="92"/>
  <c r="B283" i="92"/>
  <c r="C283" i="92"/>
  <c r="D283" i="92"/>
  <c r="E283" i="92"/>
  <c r="F283" i="92"/>
  <c r="A284" i="92"/>
  <c r="B284" i="92"/>
  <c r="C284" i="92"/>
  <c r="D284" i="92"/>
  <c r="E284" i="92"/>
  <c r="F284" i="92"/>
  <c r="A285" i="92"/>
  <c r="B285" i="92"/>
  <c r="C285" i="92"/>
  <c r="D285" i="92"/>
  <c r="E285" i="92"/>
  <c r="F285" i="92"/>
  <c r="A286" i="92"/>
  <c r="B286" i="92"/>
  <c r="C286" i="92"/>
  <c r="D286" i="92"/>
  <c r="E286" i="92"/>
  <c r="F286" i="92"/>
  <c r="A287" i="92"/>
  <c r="B287" i="92"/>
  <c r="C287" i="92"/>
  <c r="D287" i="92"/>
  <c r="E287" i="92"/>
  <c r="F287" i="92"/>
  <c r="A288" i="92"/>
  <c r="B288" i="92"/>
  <c r="C288" i="92"/>
  <c r="D288" i="92"/>
  <c r="E288" i="92"/>
  <c r="F288" i="92"/>
  <c r="A289" i="92"/>
  <c r="B289" i="92"/>
  <c r="C289" i="92"/>
  <c r="D289" i="92"/>
  <c r="E289" i="92"/>
  <c r="F289" i="92"/>
  <c r="A290" i="92"/>
  <c r="B290" i="92"/>
  <c r="C290" i="92"/>
  <c r="D290" i="92"/>
  <c r="E290" i="92"/>
  <c r="F290" i="92"/>
  <c r="A291" i="92"/>
  <c r="B291" i="92"/>
  <c r="C291" i="92"/>
  <c r="D291" i="92"/>
  <c r="E291" i="92"/>
  <c r="F291" i="92"/>
  <c r="A292" i="92"/>
  <c r="B292" i="92"/>
  <c r="C292" i="92"/>
  <c r="D292" i="92"/>
  <c r="E292" i="92"/>
  <c r="F292" i="92"/>
  <c r="A293" i="92"/>
  <c r="B293" i="92"/>
  <c r="C293" i="92"/>
  <c r="D293" i="92"/>
  <c r="E293" i="92"/>
  <c r="F293" i="92"/>
  <c r="A294" i="92"/>
  <c r="B294" i="92"/>
  <c r="C294" i="92"/>
  <c r="D294" i="92"/>
  <c r="E294" i="92"/>
  <c r="F294" i="92"/>
  <c r="A295" i="92"/>
  <c r="B295" i="92"/>
  <c r="C295" i="92"/>
  <c r="D295" i="92"/>
  <c r="E295" i="92"/>
  <c r="F295" i="92"/>
  <c r="A296" i="92"/>
  <c r="B296" i="92"/>
  <c r="C296" i="92"/>
  <c r="D296" i="92"/>
  <c r="E296" i="92"/>
  <c r="F296" i="92"/>
  <c r="A297" i="92"/>
  <c r="B297" i="92"/>
  <c r="C297" i="92"/>
  <c r="D297" i="92"/>
  <c r="E297" i="92"/>
  <c r="F297" i="92"/>
  <c r="A298" i="92"/>
  <c r="B298" i="92"/>
  <c r="C298" i="92"/>
  <c r="D298" i="92"/>
  <c r="E298" i="92"/>
  <c r="F298" i="92"/>
  <c r="A299" i="92"/>
  <c r="B299" i="92"/>
  <c r="C299" i="92"/>
  <c r="D299" i="92"/>
  <c r="E299" i="92"/>
  <c r="F299" i="92"/>
  <c r="A300" i="92"/>
  <c r="B300" i="92"/>
  <c r="C300" i="92"/>
  <c r="D300" i="92"/>
  <c r="E300" i="92"/>
  <c r="F300" i="92"/>
  <c r="A301" i="92"/>
  <c r="B301" i="92"/>
  <c r="C301" i="92"/>
  <c r="D301" i="92"/>
  <c r="E301" i="92"/>
  <c r="F301" i="92"/>
  <c r="A302" i="92"/>
  <c r="B302" i="92"/>
  <c r="C302" i="92"/>
  <c r="D302" i="92"/>
  <c r="E302" i="92"/>
  <c r="F302" i="92"/>
  <c r="A303" i="92"/>
  <c r="B303" i="92"/>
  <c r="C303" i="92"/>
  <c r="D303" i="92"/>
  <c r="E303" i="92"/>
  <c r="F303" i="92"/>
  <c r="A304" i="92"/>
  <c r="B304" i="92"/>
  <c r="C304" i="92"/>
  <c r="D304" i="92"/>
  <c r="E304" i="92"/>
  <c r="F304" i="92"/>
  <c r="A305" i="92"/>
  <c r="B305" i="92"/>
  <c r="C305" i="92"/>
  <c r="D305" i="92"/>
  <c r="E305" i="92"/>
  <c r="F305" i="92"/>
  <c r="A306" i="92"/>
  <c r="B306" i="92"/>
  <c r="C306" i="92"/>
  <c r="D306" i="92"/>
  <c r="E306" i="92"/>
  <c r="F306" i="92"/>
  <c r="A307" i="92"/>
  <c r="B307" i="92"/>
  <c r="C307" i="92"/>
  <c r="D307" i="92"/>
  <c r="E307" i="92"/>
  <c r="F307" i="92"/>
  <c r="A308" i="92"/>
  <c r="B308" i="92"/>
  <c r="C308" i="92"/>
  <c r="D308" i="92"/>
  <c r="E308" i="92"/>
  <c r="F308" i="92"/>
  <c r="A309" i="92"/>
  <c r="B309" i="92"/>
  <c r="C309" i="92"/>
  <c r="D309" i="92"/>
  <c r="E309" i="92"/>
  <c r="F309" i="92"/>
  <c r="A310" i="92"/>
  <c r="B310" i="92"/>
  <c r="C310" i="92"/>
  <c r="D310" i="92"/>
  <c r="E310" i="92"/>
  <c r="F310" i="92"/>
  <c r="A311" i="92"/>
  <c r="B311" i="92"/>
  <c r="C311" i="92"/>
  <c r="D311" i="92"/>
  <c r="E311" i="92"/>
  <c r="F311" i="92"/>
  <c r="A312" i="92"/>
  <c r="B312" i="92"/>
  <c r="C312" i="92"/>
  <c r="D312" i="92"/>
  <c r="E312" i="92"/>
  <c r="F312" i="92"/>
  <c r="F318" i="92"/>
  <c r="A313" i="92"/>
  <c r="B313" i="92"/>
  <c r="C313" i="92"/>
  <c r="D313" i="92"/>
  <c r="E313" i="92"/>
  <c r="F313" i="92"/>
  <c r="A314" i="92"/>
  <c r="B314" i="92"/>
  <c r="C314" i="92"/>
  <c r="D314" i="92"/>
  <c r="E314" i="92"/>
  <c r="F314" i="92"/>
  <c r="A315" i="92"/>
  <c r="B315" i="92"/>
  <c r="C315" i="92"/>
  <c r="D315" i="92"/>
  <c r="E315" i="92"/>
  <c r="F315" i="92"/>
  <c r="A316" i="92"/>
  <c r="B316" i="92"/>
  <c r="C316" i="92"/>
  <c r="D316" i="92"/>
  <c r="E316" i="92"/>
  <c r="F316" i="92"/>
  <c r="A317" i="92"/>
  <c r="B317" i="92"/>
  <c r="C317" i="92"/>
  <c r="D317" i="92"/>
  <c r="E317" i="92"/>
  <c r="F317" i="92"/>
  <c r="F319" i="92"/>
  <c r="F320" i="92"/>
  <c r="A324" i="92"/>
  <c r="B324" i="92"/>
  <c r="C324" i="92"/>
  <c r="D324" i="92"/>
  <c r="E324" i="92"/>
  <c r="F324" i="92"/>
  <c r="A325" i="92"/>
  <c r="B325" i="92"/>
  <c r="C325" i="92"/>
  <c r="D325" i="92"/>
  <c r="E325" i="92"/>
  <c r="F325" i="92"/>
  <c r="A326" i="92"/>
  <c r="B326" i="92"/>
  <c r="C326" i="92"/>
  <c r="D326" i="92"/>
  <c r="E326" i="92"/>
  <c r="F326" i="92"/>
  <c r="A327" i="92"/>
  <c r="B327" i="92"/>
  <c r="C327" i="92"/>
  <c r="D327" i="92"/>
  <c r="E327" i="92"/>
  <c r="F327" i="92"/>
  <c r="A328" i="92"/>
  <c r="B328" i="92"/>
  <c r="C328" i="92"/>
  <c r="D328" i="92"/>
  <c r="E328" i="92"/>
  <c r="F328" i="92"/>
  <c r="A329" i="92"/>
  <c r="B329" i="92"/>
  <c r="C329" i="92"/>
  <c r="D329" i="92"/>
  <c r="E329" i="92"/>
  <c r="F329" i="92"/>
  <c r="F330" i="92"/>
  <c r="F331" i="92"/>
  <c r="F332" i="92"/>
  <c r="F281" i="92"/>
  <c r="E281" i="92"/>
  <c r="D281" i="92"/>
  <c r="C281" i="92"/>
  <c r="B281" i="92"/>
  <c r="A281" i="92"/>
  <c r="A242" i="92"/>
  <c r="B242" i="92"/>
  <c r="C242" i="92"/>
  <c r="D242" i="92"/>
  <c r="E242" i="92"/>
  <c r="A226" i="92"/>
  <c r="B226" i="92"/>
  <c r="C226" i="92"/>
  <c r="D226" i="92"/>
  <c r="E226" i="92"/>
  <c r="F226" i="92"/>
  <c r="A227" i="92"/>
  <c r="B227" i="92"/>
  <c r="C227" i="92"/>
  <c r="D227" i="92"/>
  <c r="E227" i="92"/>
  <c r="F227" i="92"/>
  <c r="A228" i="92"/>
  <c r="B228" i="92"/>
  <c r="C228" i="92"/>
  <c r="D228" i="92"/>
  <c r="E228" i="92"/>
  <c r="F228" i="92"/>
  <c r="A229" i="92"/>
  <c r="B229" i="92"/>
  <c r="C229" i="92"/>
  <c r="D229" i="92"/>
  <c r="E229" i="92"/>
  <c r="F229" i="92"/>
  <c r="A230" i="92"/>
  <c r="B230" i="92"/>
  <c r="C230" i="92"/>
  <c r="D230" i="92"/>
  <c r="E230" i="92"/>
  <c r="F230" i="92"/>
  <c r="A231" i="92"/>
  <c r="B231" i="92"/>
  <c r="C231" i="92"/>
  <c r="D231" i="92"/>
  <c r="E231" i="92"/>
  <c r="F231" i="92"/>
  <c r="A232" i="92"/>
  <c r="B232" i="92"/>
  <c r="C232" i="92"/>
  <c r="D232" i="92"/>
  <c r="E232" i="92"/>
  <c r="F232" i="92"/>
  <c r="A233" i="92"/>
  <c r="B233" i="92"/>
  <c r="C233" i="92"/>
  <c r="D233" i="92"/>
  <c r="E233" i="92"/>
  <c r="F233" i="92"/>
  <c r="A234" i="92"/>
  <c r="B234" i="92"/>
  <c r="C234" i="92"/>
  <c r="D234" i="92"/>
  <c r="E234" i="92"/>
  <c r="F234" i="92"/>
  <c r="A235" i="92"/>
  <c r="B235" i="92"/>
  <c r="C235" i="92"/>
  <c r="D235" i="92"/>
  <c r="E235" i="92"/>
  <c r="F235" i="92"/>
  <c r="A236" i="92"/>
  <c r="B236" i="92"/>
  <c r="C236" i="92"/>
  <c r="D236" i="92"/>
  <c r="E236" i="92"/>
  <c r="F236" i="92"/>
  <c r="A237" i="92"/>
  <c r="B237" i="92"/>
  <c r="C237" i="92"/>
  <c r="D237" i="92"/>
  <c r="E237" i="92"/>
  <c r="F237" i="92"/>
  <c r="A238" i="92"/>
  <c r="B238" i="92"/>
  <c r="C238" i="92"/>
  <c r="D238" i="92"/>
  <c r="E238" i="92"/>
  <c r="F238" i="92"/>
  <c r="A239" i="92"/>
  <c r="B239" i="92"/>
  <c r="C239" i="92"/>
  <c r="D239" i="92"/>
  <c r="E239" i="92"/>
  <c r="F239" i="92"/>
  <c r="A240" i="92"/>
  <c r="B240" i="92"/>
  <c r="C240" i="92"/>
  <c r="D240" i="92"/>
  <c r="E240" i="92"/>
  <c r="F240" i="92"/>
  <c r="A241" i="92"/>
  <c r="B241" i="92"/>
  <c r="C241" i="92"/>
  <c r="D241" i="92"/>
  <c r="E241" i="92"/>
  <c r="F241" i="92"/>
  <c r="F242" i="92"/>
  <c r="F243" i="92"/>
  <c r="A247" i="92"/>
  <c r="B247" i="92"/>
  <c r="C247" i="92"/>
  <c r="D247" i="92"/>
  <c r="E247" i="92"/>
  <c r="F247" i="92"/>
  <c r="A248" i="92"/>
  <c r="B248" i="92"/>
  <c r="C248" i="92"/>
  <c r="D248" i="92"/>
  <c r="E248" i="92"/>
  <c r="F248" i="92"/>
  <c r="A249" i="92"/>
  <c r="B249" i="92"/>
  <c r="C249" i="92"/>
  <c r="D249" i="92"/>
  <c r="E249" i="92"/>
  <c r="F249" i="92"/>
  <c r="A250" i="92"/>
  <c r="B250" i="92"/>
  <c r="C250" i="92"/>
  <c r="D250" i="92"/>
  <c r="E250" i="92"/>
  <c r="F250" i="92"/>
  <c r="A251" i="92"/>
  <c r="B251" i="92"/>
  <c r="C251" i="92"/>
  <c r="D251" i="92"/>
  <c r="E251" i="92"/>
  <c r="F251" i="92"/>
  <c r="A252" i="92"/>
  <c r="B252" i="92"/>
  <c r="C252" i="92"/>
  <c r="D252" i="92"/>
  <c r="E252" i="92"/>
  <c r="F252" i="92"/>
  <c r="F253" i="92"/>
  <c r="A257" i="92"/>
  <c r="B257" i="92"/>
  <c r="C257" i="92"/>
  <c r="D257" i="92"/>
  <c r="E257" i="92"/>
  <c r="F257" i="92"/>
  <c r="A258" i="92"/>
  <c r="B258" i="92"/>
  <c r="C258" i="92"/>
  <c r="D258" i="92"/>
  <c r="E258" i="92"/>
  <c r="F258" i="92"/>
  <c r="A259" i="92"/>
  <c r="B259" i="92"/>
  <c r="C259" i="92"/>
  <c r="D259" i="92"/>
  <c r="E259" i="92"/>
  <c r="F259" i="92"/>
  <c r="A260" i="92"/>
  <c r="B260" i="92"/>
  <c r="C260" i="92"/>
  <c r="D260" i="92"/>
  <c r="E260" i="92"/>
  <c r="F260" i="92"/>
  <c r="A261" i="92"/>
  <c r="B261" i="92"/>
  <c r="C261" i="92"/>
  <c r="D261" i="92"/>
  <c r="E261" i="92"/>
  <c r="F261" i="92"/>
  <c r="A262" i="92"/>
  <c r="B262" i="92"/>
  <c r="C262" i="92"/>
  <c r="D262" i="92"/>
  <c r="E262" i="92"/>
  <c r="F262" i="92"/>
  <c r="A263" i="92"/>
  <c r="B263" i="92"/>
  <c r="C263" i="92"/>
  <c r="D263" i="92"/>
  <c r="E263" i="92"/>
  <c r="F263" i="92"/>
  <c r="A264" i="92"/>
  <c r="B264" i="92"/>
  <c r="C264" i="92"/>
  <c r="D264" i="92"/>
  <c r="E264" i="92"/>
  <c r="F264" i="92"/>
  <c r="A265" i="92"/>
  <c r="B265" i="92"/>
  <c r="C265" i="92"/>
  <c r="D265" i="92"/>
  <c r="E265" i="92"/>
  <c r="F265" i="92"/>
  <c r="A266" i="92"/>
  <c r="B266" i="92"/>
  <c r="C266" i="92"/>
  <c r="D266" i="92"/>
  <c r="E266" i="92"/>
  <c r="F266" i="92"/>
  <c r="F267" i="92"/>
  <c r="A271" i="92"/>
  <c r="B271" i="92"/>
  <c r="C271" i="92"/>
  <c r="D271" i="92"/>
  <c r="E271" i="92"/>
  <c r="F271" i="92"/>
  <c r="A272" i="92"/>
  <c r="B272" i="92"/>
  <c r="C272" i="92"/>
  <c r="D272" i="92"/>
  <c r="E272" i="92"/>
  <c r="F272" i="92"/>
  <c r="A273" i="92"/>
  <c r="B273" i="92"/>
  <c r="C273" i="92"/>
  <c r="D273" i="92"/>
  <c r="E273" i="92"/>
  <c r="F273" i="92"/>
  <c r="A274" i="92"/>
  <c r="B274" i="92"/>
  <c r="C274" i="92"/>
  <c r="D274" i="92"/>
  <c r="E274" i="92"/>
  <c r="F274" i="92"/>
  <c r="A275" i="92"/>
  <c r="B275" i="92"/>
  <c r="C275" i="92"/>
  <c r="D275" i="92"/>
  <c r="E275" i="92"/>
  <c r="F275" i="92"/>
  <c r="A276" i="92"/>
  <c r="B276" i="92"/>
  <c r="C276" i="92"/>
  <c r="D276" i="92"/>
  <c r="E276" i="92"/>
  <c r="F276" i="92"/>
  <c r="A277" i="92"/>
  <c r="B277" i="92"/>
  <c r="C277" i="92"/>
  <c r="D277" i="92"/>
  <c r="E277" i="92"/>
  <c r="F277" i="92"/>
  <c r="F278" i="92"/>
  <c r="F225" i="92"/>
  <c r="E225" i="92"/>
  <c r="D225" i="92"/>
  <c r="C225" i="92"/>
  <c r="B225" i="92"/>
  <c r="A225" i="92"/>
  <c r="A212" i="92"/>
  <c r="B212" i="92"/>
  <c r="C212" i="92"/>
  <c r="D212" i="92"/>
  <c r="E212" i="92"/>
  <c r="F212" i="92"/>
  <c r="A213" i="92"/>
  <c r="B213" i="92"/>
  <c r="C213" i="92"/>
  <c r="D213" i="92"/>
  <c r="E213" i="92"/>
  <c r="F213" i="92"/>
  <c r="A214" i="92"/>
  <c r="B214" i="92"/>
  <c r="C214" i="92"/>
  <c r="D214" i="92"/>
  <c r="E214" i="92"/>
  <c r="F214" i="92"/>
  <c r="A215" i="92"/>
  <c r="B215" i="92"/>
  <c r="C215" i="92"/>
  <c r="D215" i="92"/>
  <c r="E215" i="92"/>
  <c r="F215" i="92"/>
  <c r="A216" i="92"/>
  <c r="B216" i="92"/>
  <c r="C216" i="92"/>
  <c r="D216" i="92"/>
  <c r="E216" i="92"/>
  <c r="F216" i="92"/>
  <c r="A217" i="92"/>
  <c r="B217" i="92"/>
  <c r="C217" i="92"/>
  <c r="D217" i="92"/>
  <c r="E217" i="92"/>
  <c r="F217" i="92"/>
  <c r="A218" i="92"/>
  <c r="B218" i="92"/>
  <c r="C218" i="92"/>
  <c r="D218" i="92"/>
  <c r="E218" i="92"/>
  <c r="F218" i="92"/>
  <c r="A219" i="92"/>
  <c r="B219" i="92"/>
  <c r="C219" i="92"/>
  <c r="D219" i="92"/>
  <c r="E219" i="92"/>
  <c r="F219" i="92"/>
  <c r="A220" i="92"/>
  <c r="B220" i="92"/>
  <c r="C220" i="92"/>
  <c r="D220" i="92"/>
  <c r="E220" i="92"/>
  <c r="F220" i="92"/>
  <c r="A221" i="92"/>
  <c r="B221" i="92"/>
  <c r="C221" i="92"/>
  <c r="D221" i="92"/>
  <c r="E221" i="92"/>
  <c r="F221" i="92"/>
  <c r="F222" i="92"/>
  <c r="A173" i="92"/>
  <c r="B173" i="92"/>
  <c r="C173" i="92"/>
  <c r="D173" i="92"/>
  <c r="E173" i="92"/>
  <c r="F173" i="92"/>
  <c r="A174" i="92"/>
  <c r="B174" i="92"/>
  <c r="C174" i="92"/>
  <c r="D174" i="92"/>
  <c r="E174" i="92"/>
  <c r="F174" i="92"/>
  <c r="A175" i="92"/>
  <c r="B175" i="92"/>
  <c r="C175" i="92"/>
  <c r="D175" i="92"/>
  <c r="E175" i="92"/>
  <c r="F175" i="92"/>
  <c r="A176" i="92"/>
  <c r="B176" i="92"/>
  <c r="C176" i="92"/>
  <c r="D176" i="92"/>
  <c r="E176" i="92"/>
  <c r="F176" i="92"/>
  <c r="A177" i="92"/>
  <c r="B177" i="92"/>
  <c r="C177" i="92"/>
  <c r="D177" i="92"/>
  <c r="E177" i="92"/>
  <c r="F177" i="92"/>
  <c r="A178" i="92"/>
  <c r="B178" i="92"/>
  <c r="C178" i="92"/>
  <c r="D178" i="92"/>
  <c r="E178" i="92"/>
  <c r="F178" i="92"/>
  <c r="A179" i="92"/>
  <c r="B179" i="92"/>
  <c r="C179" i="92"/>
  <c r="D179" i="92"/>
  <c r="E179" i="92"/>
  <c r="F179" i="92"/>
  <c r="A180" i="92"/>
  <c r="B180" i="92"/>
  <c r="C180" i="92"/>
  <c r="D180" i="92"/>
  <c r="E180" i="92"/>
  <c r="F180" i="92"/>
  <c r="A181" i="92"/>
  <c r="B181" i="92"/>
  <c r="C181" i="92"/>
  <c r="D181" i="92"/>
  <c r="E181" i="92"/>
  <c r="F181" i="92"/>
  <c r="A182" i="92"/>
  <c r="B182" i="92"/>
  <c r="C182" i="92"/>
  <c r="D182" i="92"/>
  <c r="E182" i="92"/>
  <c r="F182" i="92"/>
  <c r="A183" i="92"/>
  <c r="B183" i="92"/>
  <c r="C183" i="92"/>
  <c r="D183" i="92"/>
  <c r="E183" i="92"/>
  <c r="F183" i="92"/>
  <c r="A184" i="92"/>
  <c r="B184" i="92"/>
  <c r="C184" i="92"/>
  <c r="D184" i="92"/>
  <c r="E184" i="92"/>
  <c r="F184" i="92"/>
  <c r="A185" i="92"/>
  <c r="B185" i="92"/>
  <c r="C185" i="92"/>
  <c r="D185" i="92"/>
  <c r="E185" i="92"/>
  <c r="F185" i="92"/>
  <c r="A186" i="92"/>
  <c r="B186" i="92"/>
  <c r="C186" i="92"/>
  <c r="D186" i="92"/>
  <c r="E186" i="92"/>
  <c r="F186" i="92"/>
  <c r="A187" i="92"/>
  <c r="B187" i="92"/>
  <c r="C187" i="92"/>
  <c r="D187" i="92"/>
  <c r="E187" i="92"/>
  <c r="F187" i="92"/>
  <c r="A188" i="92"/>
  <c r="B188" i="92"/>
  <c r="C188" i="92"/>
  <c r="D188" i="92"/>
  <c r="E188" i="92"/>
  <c r="F188" i="92"/>
  <c r="F189" i="92"/>
  <c r="A192" i="92"/>
  <c r="B192" i="92"/>
  <c r="C192" i="92"/>
  <c r="D192" i="92"/>
  <c r="E192" i="92"/>
  <c r="F192" i="92"/>
  <c r="A193" i="92"/>
  <c r="B193" i="92"/>
  <c r="C193" i="92"/>
  <c r="D193" i="92"/>
  <c r="E193" i="92"/>
  <c r="F193" i="92"/>
  <c r="A194" i="92"/>
  <c r="B194" i="92"/>
  <c r="C194" i="92"/>
  <c r="D194" i="92"/>
  <c r="E194" i="92"/>
  <c r="F194" i="92"/>
  <c r="A195" i="92"/>
  <c r="B195" i="92"/>
  <c r="C195" i="92"/>
  <c r="D195" i="92"/>
  <c r="E195" i="92"/>
  <c r="F195" i="92"/>
  <c r="A196" i="92"/>
  <c r="B196" i="92"/>
  <c r="C196" i="92"/>
  <c r="D196" i="92"/>
  <c r="E196" i="92"/>
  <c r="F196" i="92"/>
  <c r="A197" i="92"/>
  <c r="B197" i="92"/>
  <c r="C197" i="92"/>
  <c r="D197" i="92"/>
  <c r="E197" i="92"/>
  <c r="F197" i="92"/>
  <c r="A198" i="92"/>
  <c r="B198" i="92"/>
  <c r="C198" i="92"/>
  <c r="D198" i="92"/>
  <c r="E198" i="92"/>
  <c r="F198" i="92"/>
  <c r="A199" i="92"/>
  <c r="B199" i="92"/>
  <c r="C199" i="92"/>
  <c r="D199" i="92"/>
  <c r="E199" i="92"/>
  <c r="F199" i="92"/>
  <c r="A200" i="92"/>
  <c r="B200" i="92"/>
  <c r="C200" i="92"/>
  <c r="D200" i="92"/>
  <c r="E200" i="92"/>
  <c r="F200" i="92"/>
  <c r="A201" i="92"/>
  <c r="B201" i="92"/>
  <c r="C201" i="92"/>
  <c r="D201" i="92"/>
  <c r="E201" i="92"/>
  <c r="F201" i="92"/>
  <c r="A202" i="92"/>
  <c r="B202" i="92"/>
  <c r="C202" i="92"/>
  <c r="D202" i="92"/>
  <c r="E202" i="92"/>
  <c r="F202" i="92"/>
  <c r="A203" i="92"/>
  <c r="B203" i="92"/>
  <c r="C203" i="92"/>
  <c r="D203" i="92"/>
  <c r="E203" i="92"/>
  <c r="F203" i="92"/>
  <c r="A204" i="92"/>
  <c r="B204" i="92"/>
  <c r="C204" i="92"/>
  <c r="D204" i="92"/>
  <c r="E204" i="92"/>
  <c r="F204" i="92"/>
  <c r="F205" i="92"/>
  <c r="F206" i="92"/>
  <c r="F207" i="92"/>
  <c r="A210" i="92"/>
  <c r="B210" i="92"/>
  <c r="C210" i="92"/>
  <c r="D210" i="92"/>
  <c r="E210" i="92"/>
  <c r="F210" i="92"/>
  <c r="A211" i="92"/>
  <c r="B211" i="92"/>
  <c r="C211" i="92"/>
  <c r="D211" i="92"/>
  <c r="E211" i="92"/>
  <c r="F211" i="92"/>
  <c r="F172" i="92"/>
  <c r="E172" i="92"/>
  <c r="D172" i="92"/>
  <c r="C172" i="92"/>
  <c r="B172" i="92"/>
  <c r="A172" i="92"/>
  <c r="A131" i="92"/>
  <c r="B131" i="92"/>
  <c r="C131" i="92"/>
  <c r="D131" i="92"/>
  <c r="E131" i="92"/>
  <c r="F131" i="92"/>
  <c r="A132" i="92"/>
  <c r="B132" i="92"/>
  <c r="C132" i="92"/>
  <c r="D132" i="92"/>
  <c r="E132" i="92"/>
  <c r="F132" i="92"/>
  <c r="A133" i="92"/>
  <c r="B133" i="92"/>
  <c r="C133" i="92"/>
  <c r="D133" i="92"/>
  <c r="E133" i="92"/>
  <c r="F133" i="92"/>
  <c r="A134" i="92"/>
  <c r="B134" i="92"/>
  <c r="C134" i="92"/>
  <c r="D134" i="92"/>
  <c r="E134" i="92"/>
  <c r="F134" i="92"/>
  <c r="A135" i="92"/>
  <c r="B135" i="92"/>
  <c r="C135" i="92"/>
  <c r="D135" i="92"/>
  <c r="E135" i="92"/>
  <c r="F135" i="92"/>
  <c r="A136" i="92"/>
  <c r="B136" i="92"/>
  <c r="C136" i="92"/>
  <c r="D136" i="92"/>
  <c r="E136" i="92"/>
  <c r="F136" i="92"/>
  <c r="A137" i="92"/>
  <c r="B137" i="92"/>
  <c r="C137" i="92"/>
  <c r="D137" i="92"/>
  <c r="E137" i="92"/>
  <c r="F137" i="92"/>
  <c r="A138" i="92"/>
  <c r="B138" i="92"/>
  <c r="C138" i="92"/>
  <c r="D138" i="92"/>
  <c r="E138" i="92"/>
  <c r="F138" i="92"/>
  <c r="A139" i="92"/>
  <c r="B139" i="92"/>
  <c r="C139" i="92"/>
  <c r="D139" i="92"/>
  <c r="E139" i="92"/>
  <c r="F139" i="92"/>
  <c r="A140" i="92"/>
  <c r="B140" i="92"/>
  <c r="C140" i="92"/>
  <c r="D140" i="92"/>
  <c r="E140" i="92"/>
  <c r="F140" i="92"/>
  <c r="A141" i="92"/>
  <c r="B141" i="92"/>
  <c r="C141" i="92"/>
  <c r="D141" i="92"/>
  <c r="E141" i="92"/>
  <c r="F141" i="92"/>
  <c r="A142" i="92"/>
  <c r="B142" i="92"/>
  <c r="C142" i="92"/>
  <c r="D142" i="92"/>
  <c r="E142" i="92"/>
  <c r="F142" i="92"/>
  <c r="A143" i="92"/>
  <c r="B143" i="92"/>
  <c r="C143" i="92"/>
  <c r="D143" i="92"/>
  <c r="E143" i="92"/>
  <c r="F143" i="92"/>
  <c r="A144" i="92"/>
  <c r="B144" i="92"/>
  <c r="C144" i="92"/>
  <c r="D144" i="92"/>
  <c r="E144" i="92"/>
  <c r="F144" i="92"/>
  <c r="A145" i="92"/>
  <c r="B145" i="92"/>
  <c r="C145" i="92"/>
  <c r="D145" i="92"/>
  <c r="E145" i="92"/>
  <c r="F145" i="92"/>
  <c r="A146" i="92"/>
  <c r="B146" i="92"/>
  <c r="C146" i="92"/>
  <c r="D146" i="92"/>
  <c r="E146" i="92"/>
  <c r="F146" i="92"/>
  <c r="A147" i="92"/>
  <c r="B147" i="92"/>
  <c r="C147" i="92"/>
  <c r="D147" i="92"/>
  <c r="E147" i="92"/>
  <c r="F147" i="92"/>
  <c r="A148" i="92"/>
  <c r="B148" i="92"/>
  <c r="C148" i="92"/>
  <c r="D148" i="92"/>
  <c r="E148" i="92"/>
  <c r="F148" i="92"/>
  <c r="A149" i="92"/>
  <c r="B149" i="92"/>
  <c r="C149" i="92"/>
  <c r="D149" i="92"/>
  <c r="E149" i="92"/>
  <c r="F149" i="92"/>
  <c r="A150" i="92"/>
  <c r="B150" i="92"/>
  <c r="C150" i="92"/>
  <c r="D150" i="92"/>
  <c r="E150" i="92"/>
  <c r="F150" i="92"/>
  <c r="A151" i="92"/>
  <c r="B151" i="92"/>
  <c r="C151" i="92"/>
  <c r="D151" i="92"/>
  <c r="E151" i="92"/>
  <c r="F151" i="92"/>
  <c r="A152" i="92"/>
  <c r="B152" i="92"/>
  <c r="C152" i="92"/>
  <c r="D152" i="92"/>
  <c r="E152" i="92"/>
  <c r="F152" i="92"/>
  <c r="A153" i="92"/>
  <c r="B153" i="92"/>
  <c r="C153" i="92"/>
  <c r="D153" i="92"/>
  <c r="E153" i="92"/>
  <c r="F153" i="92"/>
  <c r="F154" i="92"/>
  <c r="A158" i="92"/>
  <c r="B158" i="92"/>
  <c r="C158" i="92"/>
  <c r="D158" i="92"/>
  <c r="E158" i="92"/>
  <c r="F158" i="92"/>
  <c r="A159" i="92"/>
  <c r="B159" i="92"/>
  <c r="C159" i="92"/>
  <c r="D159" i="92"/>
  <c r="E159" i="92"/>
  <c r="F159" i="92"/>
  <c r="A160" i="92"/>
  <c r="B160" i="92"/>
  <c r="C160" i="92"/>
  <c r="D160" i="92"/>
  <c r="E160" i="92"/>
  <c r="F160" i="92"/>
  <c r="A161" i="92"/>
  <c r="B161" i="92"/>
  <c r="C161" i="92"/>
  <c r="D161" i="92"/>
  <c r="E161" i="92"/>
  <c r="F161" i="92"/>
  <c r="A162" i="92"/>
  <c r="B162" i="92"/>
  <c r="C162" i="92"/>
  <c r="D162" i="92"/>
  <c r="E162" i="92"/>
  <c r="F162" i="92"/>
  <c r="A163" i="92"/>
  <c r="B163" i="92"/>
  <c r="C163" i="92"/>
  <c r="D163" i="92"/>
  <c r="E163" i="92"/>
  <c r="F163" i="92"/>
  <c r="A164" i="92"/>
  <c r="B164" i="92"/>
  <c r="C164" i="92"/>
  <c r="D164" i="92"/>
  <c r="E164" i="92"/>
  <c r="F164" i="92"/>
  <c r="A165" i="92"/>
  <c r="B165" i="92"/>
  <c r="C165" i="92"/>
  <c r="D165" i="92"/>
  <c r="E165" i="92"/>
  <c r="F165" i="92"/>
  <c r="A166" i="92"/>
  <c r="B166" i="92"/>
  <c r="C166" i="92"/>
  <c r="D166" i="92"/>
  <c r="E166" i="92"/>
  <c r="F166" i="92"/>
  <c r="A167" i="92"/>
  <c r="B167" i="92"/>
  <c r="C167" i="92"/>
  <c r="D167" i="92"/>
  <c r="E167" i="92"/>
  <c r="F167" i="92"/>
  <c r="A168" i="92"/>
  <c r="B168" i="92"/>
  <c r="C168" i="92"/>
  <c r="D168" i="92"/>
  <c r="E168" i="92"/>
  <c r="F168" i="92"/>
  <c r="F169" i="92"/>
  <c r="A112" i="92"/>
  <c r="B112" i="92"/>
  <c r="C112" i="92"/>
  <c r="D112" i="92"/>
  <c r="E112" i="92"/>
  <c r="F112" i="92"/>
  <c r="A113" i="92"/>
  <c r="B113" i="92"/>
  <c r="C113" i="92"/>
  <c r="D113" i="92"/>
  <c r="E113" i="92"/>
  <c r="F113" i="92"/>
  <c r="A114" i="92"/>
  <c r="B114" i="92"/>
  <c r="C114" i="92"/>
  <c r="D114" i="92"/>
  <c r="E114" i="92"/>
  <c r="F114" i="92"/>
  <c r="A115" i="92"/>
  <c r="B115" i="92"/>
  <c r="C115" i="92"/>
  <c r="D115" i="92"/>
  <c r="E115" i="92"/>
  <c r="F115" i="92"/>
  <c r="A116" i="92"/>
  <c r="B116" i="92"/>
  <c r="C116" i="92"/>
  <c r="D116" i="92"/>
  <c r="E116" i="92"/>
  <c r="F116" i="92"/>
  <c r="A117" i="92"/>
  <c r="B117" i="92"/>
  <c r="C117" i="92"/>
  <c r="D117" i="92"/>
  <c r="E117" i="92"/>
  <c r="F117" i="92"/>
  <c r="A118" i="92"/>
  <c r="B118" i="92"/>
  <c r="D118" i="92"/>
  <c r="E118" i="92"/>
  <c r="F118" i="92"/>
  <c r="A119" i="92"/>
  <c r="B119" i="92"/>
  <c r="D119" i="92"/>
  <c r="E119" i="92"/>
  <c r="F119" i="92"/>
  <c r="A120" i="92"/>
  <c r="B120" i="92"/>
  <c r="C120" i="92"/>
  <c r="D120" i="92"/>
  <c r="E120" i="92"/>
  <c r="F120" i="92"/>
  <c r="A121" i="92"/>
  <c r="B121" i="92"/>
  <c r="C121" i="92"/>
  <c r="D121" i="92"/>
  <c r="E121" i="92"/>
  <c r="F121" i="92"/>
  <c r="A122" i="92"/>
  <c r="B122" i="92"/>
  <c r="C122" i="92"/>
  <c r="D122" i="92"/>
  <c r="E122" i="92"/>
  <c r="F122" i="92"/>
  <c r="A123" i="92"/>
  <c r="B123" i="92"/>
  <c r="C123" i="92"/>
  <c r="D123" i="92"/>
  <c r="E123" i="92"/>
  <c r="F123" i="92"/>
  <c r="F124" i="92"/>
  <c r="A128" i="92"/>
  <c r="B128" i="92"/>
  <c r="C128" i="92"/>
  <c r="D128" i="92"/>
  <c r="E128" i="92"/>
  <c r="F128" i="92"/>
  <c r="A129" i="92"/>
  <c r="B129" i="92"/>
  <c r="C129" i="92"/>
  <c r="D129" i="92"/>
  <c r="E129" i="92"/>
  <c r="F129" i="92"/>
  <c r="A130" i="92"/>
  <c r="B130" i="92"/>
  <c r="C130" i="92"/>
  <c r="D130" i="92"/>
  <c r="E130" i="92"/>
  <c r="F130" i="92"/>
  <c r="F111" i="92"/>
  <c r="E111" i="92"/>
  <c r="D111" i="92"/>
  <c r="C111" i="92"/>
  <c r="B111" i="92"/>
  <c r="A111" i="92"/>
  <c r="F107" i="92"/>
  <c r="F108" i="92"/>
  <c r="F106" i="92"/>
  <c r="F53" i="92"/>
  <c r="F54" i="92"/>
  <c r="F52" i="92"/>
  <c r="A57" i="92"/>
  <c r="B57" i="92"/>
  <c r="C57" i="92"/>
  <c r="D57" i="92"/>
  <c r="E57" i="92"/>
  <c r="F57" i="92"/>
  <c r="A58" i="92"/>
  <c r="B58" i="92"/>
  <c r="C58" i="92"/>
  <c r="D58" i="92"/>
  <c r="E58" i="92"/>
  <c r="F58" i="92"/>
  <c r="A59" i="92"/>
  <c r="B59" i="92"/>
  <c r="C59" i="92"/>
  <c r="D59" i="92"/>
  <c r="E59" i="92"/>
  <c r="F59" i="92"/>
  <c r="A60" i="92"/>
  <c r="B60" i="92"/>
  <c r="C60" i="92"/>
  <c r="D60" i="92"/>
  <c r="E60" i="92"/>
  <c r="F60" i="92"/>
  <c r="A61" i="92"/>
  <c r="B61" i="92"/>
  <c r="C61" i="92"/>
  <c r="D61" i="92"/>
  <c r="E61" i="92"/>
  <c r="F61" i="92"/>
  <c r="A62" i="92"/>
  <c r="B62" i="92"/>
  <c r="C62" i="92"/>
  <c r="D62" i="92"/>
  <c r="E62" i="92"/>
  <c r="F62" i="92"/>
  <c r="A63" i="92"/>
  <c r="B63" i="92"/>
  <c r="C63" i="92"/>
  <c r="D63" i="92"/>
  <c r="E63" i="92"/>
  <c r="F63" i="92"/>
  <c r="A64" i="92"/>
  <c r="B64" i="92"/>
  <c r="C64" i="92"/>
  <c r="D64" i="92"/>
  <c r="E64" i="92"/>
  <c r="F64" i="92"/>
  <c r="A65" i="92"/>
  <c r="B65" i="92"/>
  <c r="C65" i="92"/>
  <c r="D65" i="92"/>
  <c r="E65" i="92"/>
  <c r="F65" i="92"/>
  <c r="A66" i="92"/>
  <c r="B66" i="92"/>
  <c r="C66" i="92"/>
  <c r="D66" i="92"/>
  <c r="E66" i="92"/>
  <c r="F66" i="92"/>
  <c r="A67" i="92"/>
  <c r="B67" i="92"/>
  <c r="C67" i="92"/>
  <c r="D67" i="92"/>
  <c r="E67" i="92"/>
  <c r="F67" i="92"/>
  <c r="A68" i="92"/>
  <c r="B68" i="92"/>
  <c r="C68" i="92"/>
  <c r="D68" i="92"/>
  <c r="E68" i="92"/>
  <c r="F68" i="92"/>
  <c r="A69" i="92"/>
  <c r="B69" i="92"/>
  <c r="C69" i="92"/>
  <c r="D69" i="92"/>
  <c r="E69" i="92"/>
  <c r="F69" i="92"/>
  <c r="A70" i="92"/>
  <c r="B70" i="92"/>
  <c r="C70" i="92"/>
  <c r="D70" i="92"/>
  <c r="E70" i="92"/>
  <c r="F70" i="92"/>
  <c r="A71" i="92"/>
  <c r="B71" i="92"/>
  <c r="C71" i="92"/>
  <c r="D71" i="92"/>
  <c r="E71" i="92"/>
  <c r="F71" i="92"/>
  <c r="A72" i="92"/>
  <c r="B72" i="92"/>
  <c r="C72" i="92"/>
  <c r="D72" i="92"/>
  <c r="E72" i="92"/>
  <c r="F72" i="92"/>
  <c r="A73" i="92"/>
  <c r="B73" i="92"/>
  <c r="C73" i="92"/>
  <c r="D73" i="92"/>
  <c r="E73" i="92"/>
  <c r="F73" i="92"/>
  <c r="A74" i="92"/>
  <c r="B74" i="92"/>
  <c r="C74" i="92"/>
  <c r="D74" i="92"/>
  <c r="E74" i="92"/>
  <c r="F74" i="92"/>
  <c r="A75" i="92"/>
  <c r="B75" i="92"/>
  <c r="C75" i="92"/>
  <c r="D75" i="92"/>
  <c r="E75" i="92"/>
  <c r="F75" i="92"/>
  <c r="A76" i="92"/>
  <c r="B76" i="92"/>
  <c r="C76" i="92"/>
  <c r="D76" i="92"/>
  <c r="E76" i="92"/>
  <c r="F76" i="92"/>
  <c r="A77" i="92"/>
  <c r="B77" i="92"/>
  <c r="C77" i="92"/>
  <c r="D77" i="92"/>
  <c r="E77" i="92"/>
  <c r="F77" i="92"/>
  <c r="A78" i="92"/>
  <c r="B78" i="92"/>
  <c r="C78" i="92"/>
  <c r="D78" i="92"/>
  <c r="E78" i="92"/>
  <c r="F78" i="92"/>
  <c r="A79" i="92"/>
  <c r="B79" i="92"/>
  <c r="C79" i="92"/>
  <c r="D79" i="92"/>
  <c r="E79" i="92"/>
  <c r="F79" i="92"/>
  <c r="A80" i="92"/>
  <c r="B80" i="92"/>
  <c r="C80" i="92"/>
  <c r="D80" i="92"/>
  <c r="E80" i="92"/>
  <c r="F80" i="92"/>
  <c r="A81" i="92"/>
  <c r="B81" i="92"/>
  <c r="C81" i="92"/>
  <c r="D81" i="92"/>
  <c r="E81" i="92"/>
  <c r="F81" i="92"/>
  <c r="A82" i="92"/>
  <c r="B82" i="92"/>
  <c r="C82" i="92"/>
  <c r="D82" i="92"/>
  <c r="E82" i="92"/>
  <c r="F82" i="92"/>
  <c r="A83" i="92"/>
  <c r="B83" i="92"/>
  <c r="C83" i="92"/>
  <c r="D83" i="92"/>
  <c r="E83" i="92"/>
  <c r="F83" i="92"/>
  <c r="A84" i="92"/>
  <c r="B84" i="92"/>
  <c r="C84" i="92"/>
  <c r="D84" i="92"/>
  <c r="E84" i="92"/>
  <c r="F84" i="92"/>
  <c r="A85" i="92"/>
  <c r="B85" i="92"/>
  <c r="C85" i="92"/>
  <c r="D85" i="92"/>
  <c r="E85" i="92"/>
  <c r="F85" i="92"/>
  <c r="A86" i="92"/>
  <c r="B86" i="92"/>
  <c r="C86" i="92"/>
  <c r="D86" i="92"/>
  <c r="E86" i="92"/>
  <c r="F86" i="92"/>
  <c r="A87" i="92"/>
  <c r="B87" i="92"/>
  <c r="C87" i="92"/>
  <c r="D87" i="92"/>
  <c r="E87" i="92"/>
  <c r="F87" i="92"/>
  <c r="A88" i="92"/>
  <c r="B88" i="92"/>
  <c r="C88" i="92"/>
  <c r="D88" i="92"/>
  <c r="E88" i="92"/>
  <c r="F88" i="92"/>
  <c r="A89" i="92"/>
  <c r="B89" i="92"/>
  <c r="C89" i="92"/>
  <c r="D89" i="92"/>
  <c r="E89" i="92"/>
  <c r="F89" i="92"/>
  <c r="A90" i="92"/>
  <c r="B90" i="92"/>
  <c r="C90" i="92"/>
  <c r="D90" i="92"/>
  <c r="E90" i="92"/>
  <c r="F90" i="92"/>
  <c r="A91" i="92"/>
  <c r="B91" i="92"/>
  <c r="C91" i="92"/>
  <c r="D91" i="92"/>
  <c r="E91" i="92"/>
  <c r="F91" i="92"/>
  <c r="A92" i="92"/>
  <c r="B92" i="92"/>
  <c r="C92" i="92"/>
  <c r="D92" i="92"/>
  <c r="E92" i="92"/>
  <c r="F92" i="92"/>
  <c r="A93" i="92"/>
  <c r="B93" i="92"/>
  <c r="C93" i="92"/>
  <c r="D93" i="92"/>
  <c r="E93" i="92"/>
  <c r="F93" i="92"/>
  <c r="A94" i="92"/>
  <c r="B94" i="92"/>
  <c r="C94" i="92"/>
  <c r="D94" i="92"/>
  <c r="E94" i="92"/>
  <c r="F94" i="92"/>
  <c r="A95" i="92"/>
  <c r="B95" i="92"/>
  <c r="C95" i="92"/>
  <c r="D95" i="92"/>
  <c r="E95" i="92"/>
  <c r="F95" i="92"/>
  <c r="A96" i="92"/>
  <c r="B96" i="92"/>
  <c r="C96" i="92"/>
  <c r="D96" i="92"/>
  <c r="E96" i="92"/>
  <c r="F96" i="92"/>
  <c r="A97" i="92"/>
  <c r="B97" i="92"/>
  <c r="C97" i="92"/>
  <c r="D97" i="92"/>
  <c r="E97" i="92"/>
  <c r="F97" i="92"/>
  <c r="A98" i="92"/>
  <c r="B98" i="92"/>
  <c r="C98" i="92"/>
  <c r="D98" i="92"/>
  <c r="E98" i="92"/>
  <c r="F98" i="92"/>
  <c r="A99" i="92"/>
  <c r="B99" i="92"/>
  <c r="C99" i="92"/>
  <c r="D99" i="92"/>
  <c r="E99" i="92"/>
  <c r="F99" i="92"/>
  <c r="A100" i="92"/>
  <c r="B100" i="92"/>
  <c r="C100" i="92"/>
  <c r="D100" i="92"/>
  <c r="E100" i="92"/>
  <c r="F100" i="92"/>
  <c r="A101" i="92"/>
  <c r="B101" i="92"/>
  <c r="C101" i="92"/>
  <c r="D101" i="92"/>
  <c r="E101" i="92"/>
  <c r="F101" i="92"/>
  <c r="A102" i="92"/>
  <c r="B102" i="92"/>
  <c r="C102" i="92"/>
  <c r="D102" i="92"/>
  <c r="E102" i="92"/>
  <c r="F102" i="92"/>
  <c r="A103" i="92"/>
  <c r="B103" i="92"/>
  <c r="C103" i="92"/>
  <c r="D103" i="92"/>
  <c r="E103" i="92"/>
  <c r="F103" i="92"/>
  <c r="A104" i="92"/>
  <c r="B104" i="92"/>
  <c r="C104" i="92"/>
  <c r="D104" i="92"/>
  <c r="E104" i="92"/>
  <c r="F104" i="92"/>
  <c r="A105" i="92"/>
  <c r="B105" i="92"/>
  <c r="C105" i="92"/>
  <c r="D105" i="92"/>
  <c r="E105" i="92"/>
  <c r="F105" i="92"/>
  <c r="F56" i="92"/>
  <c r="E56" i="92"/>
  <c r="D56" i="92"/>
  <c r="C56" i="92"/>
  <c r="B56" i="92"/>
  <c r="A56" i="92"/>
  <c r="A50" i="92"/>
  <c r="B50" i="92"/>
  <c r="C50" i="92"/>
  <c r="D50" i="92"/>
  <c r="E50" i="92"/>
  <c r="F50" i="92"/>
  <c r="A51" i="92"/>
  <c r="B51" i="92"/>
  <c r="C51" i="92"/>
  <c r="D51" i="92"/>
  <c r="E51" i="92"/>
  <c r="F51" i="92"/>
  <c r="A3" i="92"/>
  <c r="B3" i="92"/>
  <c r="C3" i="92"/>
  <c r="D3" i="92"/>
  <c r="E3" i="92"/>
  <c r="F3" i="92"/>
  <c r="A4" i="92"/>
  <c r="B4" i="92"/>
  <c r="C4" i="92"/>
  <c r="D4" i="92"/>
  <c r="E4" i="92"/>
  <c r="F4" i="92"/>
  <c r="A5" i="92"/>
  <c r="B5" i="92"/>
  <c r="C5" i="92"/>
  <c r="D5" i="92"/>
  <c r="E5" i="92"/>
  <c r="F5" i="92"/>
  <c r="A6" i="92"/>
  <c r="B6" i="92"/>
  <c r="C6" i="92"/>
  <c r="D6" i="92"/>
  <c r="E6" i="92"/>
  <c r="F6" i="92"/>
  <c r="A7" i="92"/>
  <c r="B7" i="92"/>
  <c r="C7" i="92"/>
  <c r="D7" i="92"/>
  <c r="E7" i="92"/>
  <c r="F7" i="92"/>
  <c r="A8" i="92"/>
  <c r="B8" i="92"/>
  <c r="C8" i="92"/>
  <c r="D8" i="92"/>
  <c r="E8" i="92"/>
  <c r="F8" i="92"/>
  <c r="A9" i="92"/>
  <c r="B9" i="92"/>
  <c r="C9" i="92"/>
  <c r="D9" i="92"/>
  <c r="E9" i="92"/>
  <c r="F9" i="92"/>
  <c r="A10" i="92"/>
  <c r="B10" i="92"/>
  <c r="C10" i="92"/>
  <c r="D10" i="92"/>
  <c r="E10" i="92"/>
  <c r="F10" i="92"/>
  <c r="A11" i="92"/>
  <c r="B11" i="92"/>
  <c r="C11" i="92"/>
  <c r="D11" i="92"/>
  <c r="E11" i="92"/>
  <c r="F11" i="92"/>
  <c r="A12" i="92"/>
  <c r="B12" i="92"/>
  <c r="C12" i="92"/>
  <c r="D12" i="92"/>
  <c r="E12" i="92"/>
  <c r="F12" i="92"/>
  <c r="A13" i="92"/>
  <c r="B13" i="92"/>
  <c r="C13" i="92"/>
  <c r="D13" i="92"/>
  <c r="E13" i="92"/>
  <c r="F13" i="92"/>
  <c r="A14" i="92"/>
  <c r="B14" i="92"/>
  <c r="C14" i="92"/>
  <c r="D14" i="92"/>
  <c r="E14" i="92"/>
  <c r="F14" i="92"/>
  <c r="A15" i="92"/>
  <c r="B15" i="92"/>
  <c r="C15" i="92"/>
  <c r="D15" i="92"/>
  <c r="E15" i="92"/>
  <c r="F15" i="92"/>
  <c r="A16" i="92"/>
  <c r="B16" i="92"/>
  <c r="C16" i="92"/>
  <c r="D16" i="92"/>
  <c r="E16" i="92"/>
  <c r="F16" i="92"/>
  <c r="A17" i="92"/>
  <c r="B17" i="92"/>
  <c r="C17" i="92"/>
  <c r="D17" i="92"/>
  <c r="E17" i="92"/>
  <c r="F17" i="92"/>
  <c r="A18" i="92"/>
  <c r="B18" i="92"/>
  <c r="C18" i="92"/>
  <c r="D18" i="92"/>
  <c r="E18" i="92"/>
  <c r="F18" i="92"/>
  <c r="A19" i="92"/>
  <c r="B19" i="92"/>
  <c r="C19" i="92"/>
  <c r="D19" i="92"/>
  <c r="E19" i="92"/>
  <c r="F19" i="92"/>
  <c r="A20" i="92"/>
  <c r="B20" i="92"/>
  <c r="C20" i="92"/>
  <c r="D20" i="92"/>
  <c r="E20" i="92"/>
  <c r="F20" i="92"/>
  <c r="A21" i="92"/>
  <c r="B21" i="92"/>
  <c r="C21" i="92"/>
  <c r="D21" i="92"/>
  <c r="E21" i="92"/>
  <c r="F21" i="92"/>
  <c r="A22" i="92"/>
  <c r="B22" i="92"/>
  <c r="C22" i="92"/>
  <c r="D22" i="92"/>
  <c r="E22" i="92"/>
  <c r="F22" i="92"/>
  <c r="A23" i="92"/>
  <c r="B23" i="92"/>
  <c r="C23" i="92"/>
  <c r="D23" i="92"/>
  <c r="E23" i="92"/>
  <c r="F23" i="92"/>
  <c r="A24" i="92"/>
  <c r="B24" i="92"/>
  <c r="C24" i="92"/>
  <c r="D24" i="92"/>
  <c r="E24" i="92"/>
  <c r="F24" i="92"/>
  <c r="A25" i="92"/>
  <c r="B25" i="92"/>
  <c r="C25" i="92"/>
  <c r="D25" i="92"/>
  <c r="E25" i="92"/>
  <c r="F25" i="92"/>
  <c r="A26" i="92"/>
  <c r="B26" i="92"/>
  <c r="C26" i="92"/>
  <c r="D26" i="92"/>
  <c r="E26" i="92"/>
  <c r="F26" i="92"/>
  <c r="A27" i="92"/>
  <c r="B27" i="92"/>
  <c r="C27" i="92"/>
  <c r="D27" i="92"/>
  <c r="E27" i="92"/>
  <c r="F27" i="92"/>
  <c r="A28" i="92"/>
  <c r="B28" i="92"/>
  <c r="C28" i="92"/>
  <c r="D28" i="92"/>
  <c r="E28" i="92"/>
  <c r="F28" i="92"/>
  <c r="A29" i="92"/>
  <c r="B29" i="92"/>
  <c r="C29" i="92"/>
  <c r="D29" i="92"/>
  <c r="E29" i="92"/>
  <c r="F29" i="92"/>
  <c r="A30" i="92"/>
  <c r="B30" i="92"/>
  <c r="C30" i="92"/>
  <c r="D30" i="92"/>
  <c r="E30" i="92"/>
  <c r="F30" i="92"/>
  <c r="A31" i="92"/>
  <c r="B31" i="92"/>
  <c r="C31" i="92"/>
  <c r="D31" i="92"/>
  <c r="E31" i="92"/>
  <c r="F31" i="92"/>
  <c r="A32" i="92"/>
  <c r="B32" i="92"/>
  <c r="C32" i="92"/>
  <c r="D32" i="92"/>
  <c r="E32" i="92"/>
  <c r="F32" i="92"/>
  <c r="A33" i="92"/>
  <c r="B33" i="92"/>
  <c r="C33" i="92"/>
  <c r="D33" i="92"/>
  <c r="E33" i="92"/>
  <c r="F33" i="92"/>
  <c r="A34" i="92"/>
  <c r="B34" i="92"/>
  <c r="C34" i="92"/>
  <c r="D34" i="92"/>
  <c r="E34" i="92"/>
  <c r="F34" i="92"/>
  <c r="A35" i="92"/>
  <c r="B35" i="92"/>
  <c r="C35" i="92"/>
  <c r="D35" i="92"/>
  <c r="E35" i="92"/>
  <c r="F35" i="92"/>
  <c r="A36" i="92"/>
  <c r="B36" i="92"/>
  <c r="C36" i="92"/>
  <c r="D36" i="92"/>
  <c r="E36" i="92"/>
  <c r="F36" i="92"/>
  <c r="A37" i="92"/>
  <c r="B37" i="92"/>
  <c r="C37" i="92"/>
  <c r="D37" i="92"/>
  <c r="E37" i="92"/>
  <c r="F37" i="92"/>
  <c r="A38" i="92"/>
  <c r="B38" i="92"/>
  <c r="C38" i="92"/>
  <c r="D38" i="92"/>
  <c r="E38" i="92"/>
  <c r="F38" i="92"/>
  <c r="A39" i="92"/>
  <c r="B39" i="92"/>
  <c r="C39" i="92"/>
  <c r="D39" i="92"/>
  <c r="E39" i="92"/>
  <c r="F39" i="92"/>
  <c r="A40" i="92"/>
  <c r="B40" i="92"/>
  <c r="C40" i="92"/>
  <c r="D40" i="92"/>
  <c r="E40" i="92"/>
  <c r="F40" i="92"/>
  <c r="A41" i="92"/>
  <c r="B41" i="92"/>
  <c r="C41" i="92"/>
  <c r="D41" i="92"/>
  <c r="E41" i="92"/>
  <c r="F41" i="92"/>
  <c r="A42" i="92"/>
  <c r="B42" i="92"/>
  <c r="C42" i="92"/>
  <c r="D42" i="92"/>
  <c r="E42" i="92"/>
  <c r="F42" i="92"/>
  <c r="A43" i="92"/>
  <c r="B43" i="92"/>
  <c r="C43" i="92"/>
  <c r="D43" i="92"/>
  <c r="E43" i="92"/>
  <c r="F43" i="92"/>
  <c r="A44" i="92"/>
  <c r="B44" i="92"/>
  <c r="C44" i="92"/>
  <c r="D44" i="92"/>
  <c r="E44" i="92"/>
  <c r="F44" i="92"/>
  <c r="A45" i="92"/>
  <c r="B45" i="92"/>
  <c r="C45" i="92"/>
  <c r="D45" i="92"/>
  <c r="E45" i="92"/>
  <c r="F45" i="92"/>
  <c r="A46" i="92"/>
  <c r="B46" i="92"/>
  <c r="C46" i="92"/>
  <c r="D46" i="92"/>
  <c r="E46" i="92"/>
  <c r="F46" i="92"/>
  <c r="A47" i="92"/>
  <c r="B47" i="92"/>
  <c r="C47" i="92"/>
  <c r="D47" i="92"/>
  <c r="E47" i="92"/>
  <c r="F47" i="92"/>
  <c r="A48" i="92"/>
  <c r="B48" i="92"/>
  <c r="C48" i="92"/>
  <c r="D48" i="92"/>
  <c r="E48" i="92"/>
  <c r="F48" i="92"/>
  <c r="A49" i="92"/>
  <c r="B49" i="92"/>
  <c r="C49" i="92"/>
  <c r="D49" i="92"/>
  <c r="E49" i="92"/>
  <c r="F49" i="92"/>
  <c r="F2" i="92"/>
  <c r="C2" i="92"/>
  <c r="B2" i="92"/>
  <c r="D2" i="92"/>
  <c r="E2" i="92"/>
  <c r="A2" i="92"/>
  <c r="D73" i="10"/>
  <c r="O62" i="75" l="1"/>
  <c r="O61" i="75"/>
  <c r="O40" i="77"/>
  <c r="O49" i="77"/>
  <c r="O48" i="77"/>
  <c r="O39" i="77"/>
  <c r="O93" i="22" l="1"/>
  <c r="AK92" i="22"/>
  <c r="X92" i="22"/>
  <c r="AF92" i="22" s="1"/>
  <c r="AK91" i="22"/>
  <c r="X91" i="22"/>
  <c r="AF91" i="22" s="1"/>
  <c r="AK90" i="22"/>
  <c r="X90" i="22"/>
  <c r="AF90" i="22" s="1"/>
  <c r="AK89" i="22"/>
  <c r="X89" i="22"/>
  <c r="AF89" i="22" s="1"/>
  <c r="AK88" i="22"/>
  <c r="O82" i="22"/>
  <c r="AK81" i="22"/>
  <c r="X81" i="22"/>
  <c r="AF81" i="22" s="1"/>
  <c r="AK80" i="22"/>
  <c r="X80" i="22"/>
  <c r="AF80" i="22" s="1"/>
  <c r="AK79" i="22"/>
  <c r="X79" i="22"/>
  <c r="AF79" i="22" s="1"/>
  <c r="AK78" i="22"/>
  <c r="X78" i="22"/>
  <c r="AF78" i="22" s="1"/>
  <c r="AK77" i="22"/>
  <c r="O71" i="22"/>
  <c r="AK70" i="22"/>
  <c r="X70" i="22"/>
  <c r="AF70" i="22" s="1"/>
  <c r="AK69" i="22"/>
  <c r="X69" i="22"/>
  <c r="AF69" i="22" s="1"/>
  <c r="AK68" i="22"/>
  <c r="X68" i="22"/>
  <c r="AF68" i="22" s="1"/>
  <c r="AK67" i="22"/>
  <c r="X67" i="22"/>
  <c r="AF67" i="22" s="1"/>
  <c r="AK66" i="22"/>
  <c r="O60" i="22"/>
  <c r="AK59" i="22"/>
  <c r="X59" i="22"/>
  <c r="AF59" i="22" s="1"/>
  <c r="AK58" i="22"/>
  <c r="AF58" i="22"/>
  <c r="X58" i="22"/>
  <c r="AK57" i="22"/>
  <c r="X57" i="22"/>
  <c r="AF57" i="22" s="1"/>
  <c r="AK56" i="22"/>
  <c r="X56" i="22"/>
  <c r="AF56" i="22" s="1"/>
  <c r="AK55" i="22"/>
  <c r="O49" i="22"/>
  <c r="AK48" i="22"/>
  <c r="X48" i="22"/>
  <c r="AF48" i="22" s="1"/>
  <c r="AK47" i="22"/>
  <c r="X47" i="22"/>
  <c r="AF47" i="22" s="1"/>
  <c r="AK46" i="22"/>
  <c r="X46" i="22"/>
  <c r="AF46" i="22" s="1"/>
  <c r="AK45" i="22"/>
  <c r="X45" i="22"/>
  <c r="AF45" i="22" s="1"/>
  <c r="AK44" i="22"/>
  <c r="X49" i="22"/>
  <c r="X60" i="22"/>
  <c r="AB49" i="22"/>
  <c r="AB82" i="22"/>
  <c r="X71" i="22"/>
  <c r="X93" i="22"/>
  <c r="AB60" i="22"/>
  <c r="X82" i="22"/>
  <c r="AB71" i="22"/>
  <c r="AB93" i="22"/>
  <c r="AF93" i="22" l="1"/>
  <c r="AF82" i="22"/>
  <c r="AF71" i="22"/>
  <c r="AF60" i="22"/>
  <c r="AF49" i="22"/>
  <c r="O38" i="22"/>
  <c r="AK37" i="22"/>
  <c r="X37" i="22"/>
  <c r="AF37" i="22" s="1"/>
  <c r="AK36" i="22"/>
  <c r="X36" i="22"/>
  <c r="AF36" i="22" s="1"/>
  <c r="AK35" i="22"/>
  <c r="X35" i="22"/>
  <c r="AF35" i="22" s="1"/>
  <c r="AK34" i="22"/>
  <c r="X34" i="22"/>
  <c r="AF34" i="22" s="1"/>
  <c r="AK33" i="22"/>
  <c r="O11" i="50"/>
  <c r="AB27" i="22"/>
  <c r="X38" i="22"/>
  <c r="AB38" i="22"/>
  <c r="AF38" i="22" l="1"/>
  <c r="AK26" i="22"/>
  <c r="X26" i="22"/>
  <c r="AF26" i="22" s="1"/>
  <c r="AK15" i="22"/>
  <c r="X15" i="22"/>
  <c r="AF15" i="22" s="1"/>
  <c r="AK14" i="22"/>
  <c r="X14" i="22"/>
  <c r="AF14" i="22" s="1"/>
  <c r="C70" i="10" l="1"/>
  <c r="C71" i="10" s="1"/>
  <c r="C72" i="10" s="1"/>
  <c r="C75" i="10" s="1"/>
  <c r="C76" i="10" s="1"/>
  <c r="C77" i="10" s="1"/>
  <c r="C78" i="10" s="1"/>
  <c r="C79" i="10" s="1"/>
  <c r="C80" i="10" s="1"/>
  <c r="C81" i="10" s="1"/>
  <c r="C82" i="10" s="1"/>
  <c r="C83" i="10" s="1"/>
  <c r="C84" i="10" s="1"/>
  <c r="C85" i="10" s="1"/>
  <c r="C86" i="10" s="1"/>
  <c r="C87" i="10" s="1"/>
  <c r="C88" i="10" s="1"/>
  <c r="C89" i="10" s="1"/>
  <c r="C90" i="10" s="1"/>
  <c r="C91" i="10" s="1"/>
  <c r="C92" i="10" s="1"/>
  <c r="C93" i="10" s="1"/>
  <c r="C94" i="10" s="1"/>
  <c r="C95" i="10" s="1"/>
  <c r="C96" i="10" s="1"/>
  <c r="C97" i="10" s="1"/>
  <c r="C98" i="10" s="1"/>
  <c r="C99" i="10" s="1"/>
  <c r="C100" i="10" s="1"/>
  <c r="C101" i="10" s="1"/>
  <c r="C102" i="10" s="1"/>
  <c r="C103" i="10" s="1"/>
  <c r="C104" i="10" s="1"/>
  <c r="C105" i="10" s="1"/>
  <c r="C106" i="10" s="1"/>
  <c r="C107" i="10" s="1"/>
  <c r="C108" i="10" s="1"/>
  <c r="C109" i="10" s="1"/>
  <c r="C110" i="10" s="1"/>
  <c r="C111" i="10" s="1"/>
  <c r="C112" i="10" s="1"/>
  <c r="C113" i="10" s="1"/>
  <c r="C114" i="10" s="1"/>
  <c r="C115" i="10" s="1"/>
  <c r="C116" i="10" s="1"/>
  <c r="C117" i="10" s="1"/>
  <c r="C118" i="10" s="1"/>
  <c r="C119" i="10" s="1"/>
  <c r="C120" i="10" s="1"/>
  <c r="C121" i="10" s="1"/>
  <c r="C122" i="10" s="1"/>
  <c r="C123" i="10" s="1"/>
  <c r="C124" i="10" s="1"/>
  <c r="C125" i="10" s="1"/>
  <c r="C126" i="10" s="1"/>
  <c r="C127" i="10" s="1"/>
  <c r="C128" i="10" s="1"/>
  <c r="C129" i="10" s="1"/>
  <c r="C130" i="10" s="1"/>
  <c r="C131" i="10" s="1"/>
  <c r="C132" i="10" s="1"/>
  <c r="C133" i="10" s="1"/>
  <c r="C134" i="10" s="1"/>
  <c r="W131" i="10"/>
  <c r="W130" i="10"/>
  <c r="W129" i="10"/>
  <c r="W128" i="10"/>
  <c r="W127" i="10"/>
  <c r="W126" i="10"/>
  <c r="W125" i="10"/>
  <c r="W124" i="10"/>
  <c r="W123" i="10"/>
  <c r="W122" i="10"/>
  <c r="W121" i="10"/>
  <c r="W120" i="10"/>
  <c r="W119" i="10"/>
  <c r="W118" i="10"/>
  <c r="W117" i="10"/>
  <c r="W116" i="10"/>
  <c r="W115" i="10"/>
  <c r="W114" i="10"/>
  <c r="W113" i="10"/>
  <c r="W112" i="10"/>
  <c r="W111" i="10"/>
  <c r="W110" i="10"/>
  <c r="W109" i="10"/>
  <c r="W108" i="10"/>
  <c r="W107" i="10"/>
  <c r="W106" i="10"/>
  <c r="W105" i="10"/>
  <c r="W104" i="10"/>
  <c r="W103" i="10"/>
  <c r="W102" i="10"/>
  <c r="W101" i="10"/>
  <c r="W100" i="10"/>
  <c r="W99" i="10"/>
  <c r="W98" i="10"/>
  <c r="W97" i="10"/>
  <c r="W96" i="10"/>
  <c r="W95" i="10"/>
  <c r="W94" i="10"/>
  <c r="W93" i="10"/>
  <c r="W92" i="10"/>
  <c r="W91" i="10"/>
  <c r="W90" i="10"/>
  <c r="W89" i="10"/>
  <c r="W88" i="10"/>
  <c r="W87" i="10"/>
  <c r="W86" i="10"/>
  <c r="W85" i="10"/>
  <c r="W84" i="10"/>
  <c r="W83" i="10"/>
  <c r="W82" i="10"/>
  <c r="W81" i="10"/>
  <c r="W80" i="10"/>
  <c r="W79" i="10"/>
  <c r="W78" i="10"/>
  <c r="W77" i="10"/>
  <c r="W76" i="10"/>
  <c r="W75" i="10"/>
  <c r="W72" i="10"/>
  <c r="W71" i="10"/>
  <c r="W70" i="10"/>
  <c r="W134" i="10"/>
  <c r="W133" i="10"/>
  <c r="W132" i="10"/>
  <c r="O72" i="30"/>
  <c r="AJ71" i="30"/>
  <c r="O71" i="30"/>
  <c r="AB70" i="30"/>
  <c r="W70" i="30"/>
  <c r="W71" i="30" s="1"/>
  <c r="AB71" i="30" s="1"/>
  <c r="AF71" i="30" s="1"/>
  <c r="O70" i="30"/>
  <c r="AF69" i="30"/>
  <c r="AF68" i="30"/>
  <c r="AF67" i="30"/>
  <c r="AF66" i="30"/>
  <c r="AF65" i="30"/>
  <c r="AF64" i="30"/>
  <c r="AF63" i="30"/>
  <c r="AF62" i="30"/>
  <c r="AF61" i="30"/>
  <c r="AF60" i="30"/>
  <c r="AF59" i="30"/>
  <c r="AF58" i="30"/>
  <c r="AF57" i="30"/>
  <c r="AF56" i="30"/>
  <c r="AF55" i="30"/>
  <c r="AF54" i="30"/>
  <c r="AF53" i="30"/>
  <c r="AF52" i="30"/>
  <c r="AF51" i="30"/>
  <c r="AF50" i="30"/>
  <c r="AF49" i="30"/>
  <c r="AF48" i="30"/>
  <c r="AF47" i="30"/>
  <c r="AF46" i="30"/>
  <c r="AF45" i="30"/>
  <c r="AF44" i="30"/>
  <c r="AF43" i="30"/>
  <c r="AF42" i="30"/>
  <c r="AF41" i="30"/>
  <c r="AF40" i="30"/>
  <c r="AF39" i="30"/>
  <c r="AF38" i="30"/>
  <c r="AF37" i="30"/>
  <c r="AF36" i="30"/>
  <c r="AF35" i="30"/>
  <c r="AF34" i="30"/>
  <c r="AF33" i="30"/>
  <c r="AF32" i="30"/>
  <c r="AF31" i="30"/>
  <c r="AF30" i="30"/>
  <c r="AF29" i="30"/>
  <c r="AF28" i="30"/>
  <c r="AF27" i="30"/>
  <c r="AF26" i="30"/>
  <c r="AF25" i="30"/>
  <c r="AF24" i="30"/>
  <c r="AF23" i="30"/>
  <c r="AF22" i="30"/>
  <c r="AF21" i="30"/>
  <c r="AF20" i="30"/>
  <c r="AF19" i="30"/>
  <c r="AF18" i="30"/>
  <c r="AF17" i="30"/>
  <c r="AF16" i="30"/>
  <c r="AF15" i="30"/>
  <c r="AF14" i="30"/>
  <c r="AF13" i="30"/>
  <c r="AF12" i="30"/>
  <c r="AF11" i="30"/>
  <c r="C11" i="30"/>
  <c r="C12" i="30" s="1"/>
  <c r="C13" i="30" s="1"/>
  <c r="C14" i="30" s="1"/>
  <c r="C15" i="30" s="1"/>
  <c r="C16" i="30" s="1"/>
  <c r="C17" i="30" s="1"/>
  <c r="C18" i="30" s="1"/>
  <c r="C19" i="30" s="1"/>
  <c r="C20" i="30" s="1"/>
  <c r="C21" i="30" s="1"/>
  <c r="C22" i="30" s="1"/>
  <c r="C23" i="30" s="1"/>
  <c r="C24" i="30" s="1"/>
  <c r="C25" i="30" s="1"/>
  <c r="C26" i="30" s="1"/>
  <c r="C27" i="30" s="1"/>
  <c r="C28" i="30" s="1"/>
  <c r="C29" i="30" s="1"/>
  <c r="C30" i="30" s="1"/>
  <c r="C31" i="30" s="1"/>
  <c r="C32" i="30" s="1"/>
  <c r="C33" i="30" s="1"/>
  <c r="C34" i="30" s="1"/>
  <c r="C35" i="30" s="1"/>
  <c r="C36" i="30" s="1"/>
  <c r="C37" i="30" s="1"/>
  <c r="C38" i="30" s="1"/>
  <c r="C39" i="30" s="1"/>
  <c r="C40" i="30" s="1"/>
  <c r="C41" i="30" s="1"/>
  <c r="C42" i="30" s="1"/>
  <c r="C43" i="30" s="1"/>
  <c r="C44" i="30" s="1"/>
  <c r="C45" i="30" s="1"/>
  <c r="C46" i="30" s="1"/>
  <c r="C47" i="30" s="1"/>
  <c r="C48" i="30" s="1"/>
  <c r="C49" i="30" s="1"/>
  <c r="C50" i="30" s="1"/>
  <c r="C51" i="30" s="1"/>
  <c r="C52" i="30" s="1"/>
  <c r="C53" i="30" s="1"/>
  <c r="C54" i="30" s="1"/>
  <c r="C55" i="30" s="1"/>
  <c r="C56" i="30" s="1"/>
  <c r="C57" i="30" s="1"/>
  <c r="C58" i="30" s="1"/>
  <c r="C59" i="30" s="1"/>
  <c r="C60" i="30" s="1"/>
  <c r="C61" i="30" s="1"/>
  <c r="C62" i="30" s="1"/>
  <c r="C63" i="30" s="1"/>
  <c r="C64" i="30" s="1"/>
  <c r="C65" i="30" s="1"/>
  <c r="C66" i="30" s="1"/>
  <c r="C67" i="30" s="1"/>
  <c r="C68" i="30" s="1"/>
  <c r="C69" i="30" s="1"/>
  <c r="AF10" i="30"/>
  <c r="AF103" i="10" l="1"/>
  <c r="G426" i="92"/>
  <c r="AF123" i="10"/>
  <c r="G446" i="92"/>
  <c r="AF113" i="10"/>
  <c r="G436" i="92"/>
  <c r="AF84" i="10"/>
  <c r="G407" i="92"/>
  <c r="AF94" i="10"/>
  <c r="G417" i="92"/>
  <c r="AF104" i="10"/>
  <c r="G427" i="92"/>
  <c r="AF114" i="10"/>
  <c r="G437" i="92"/>
  <c r="AF75" i="10"/>
  <c r="G398" i="92"/>
  <c r="AF85" i="10"/>
  <c r="G408" i="92"/>
  <c r="AF95" i="10"/>
  <c r="G418" i="92"/>
  <c r="AF105" i="10"/>
  <c r="G428" i="92"/>
  <c r="AF115" i="10"/>
  <c r="G438" i="92"/>
  <c r="AF125" i="10"/>
  <c r="G448" i="92"/>
  <c r="AF86" i="10"/>
  <c r="G409" i="92"/>
  <c r="AF96" i="10"/>
  <c r="G419" i="92"/>
  <c r="AF106" i="10"/>
  <c r="G429" i="92"/>
  <c r="AF116" i="10"/>
  <c r="G439" i="92"/>
  <c r="AF77" i="10"/>
  <c r="G400" i="92"/>
  <c r="AF87" i="10"/>
  <c r="G410" i="92"/>
  <c r="AF97" i="10"/>
  <c r="G420" i="92"/>
  <c r="AF107" i="10"/>
  <c r="G430" i="92"/>
  <c r="AF117" i="10"/>
  <c r="G440" i="92"/>
  <c r="AF127" i="10"/>
  <c r="G450" i="92"/>
  <c r="AF78" i="10"/>
  <c r="G401" i="92"/>
  <c r="AF88" i="10"/>
  <c r="G411" i="92"/>
  <c r="AF98" i="10"/>
  <c r="G421" i="92"/>
  <c r="AF108" i="10"/>
  <c r="G431" i="92"/>
  <c r="AF118" i="10"/>
  <c r="G441" i="92"/>
  <c r="AF128" i="10"/>
  <c r="G451" i="92"/>
  <c r="AF132" i="10"/>
  <c r="G455" i="92"/>
  <c r="AF79" i="10"/>
  <c r="G402" i="92"/>
  <c r="AF89" i="10"/>
  <c r="G412" i="92"/>
  <c r="AF99" i="10"/>
  <c r="G422" i="92"/>
  <c r="AF109" i="10"/>
  <c r="G432" i="92"/>
  <c r="AF119" i="10"/>
  <c r="G442" i="92"/>
  <c r="AF129" i="10"/>
  <c r="G452" i="92"/>
  <c r="AF83" i="10"/>
  <c r="G406" i="92"/>
  <c r="AF93" i="10"/>
  <c r="G416" i="92"/>
  <c r="AF124" i="10"/>
  <c r="G447" i="92"/>
  <c r="AF126" i="10"/>
  <c r="G449" i="92"/>
  <c r="AF133" i="10"/>
  <c r="G456" i="92"/>
  <c r="AF80" i="10"/>
  <c r="G403" i="92"/>
  <c r="AF90" i="10"/>
  <c r="G413" i="92"/>
  <c r="AF100" i="10"/>
  <c r="G423" i="92"/>
  <c r="AF110" i="10"/>
  <c r="G433" i="92"/>
  <c r="AF120" i="10"/>
  <c r="G443" i="92"/>
  <c r="AF130" i="10"/>
  <c r="G453" i="92"/>
  <c r="AF134" i="10"/>
  <c r="G457" i="92"/>
  <c r="AF81" i="10"/>
  <c r="G404" i="92"/>
  <c r="AF91" i="10"/>
  <c r="G414" i="92"/>
  <c r="AF101" i="10"/>
  <c r="G424" i="92"/>
  <c r="AF111" i="10"/>
  <c r="G434" i="92"/>
  <c r="AF121" i="10"/>
  <c r="G444" i="92"/>
  <c r="AF131" i="10"/>
  <c r="G454" i="92"/>
  <c r="AF82" i="10"/>
  <c r="G405" i="92"/>
  <c r="AF92" i="10"/>
  <c r="G415" i="92"/>
  <c r="AF102" i="10"/>
  <c r="G425" i="92"/>
  <c r="AF112" i="10"/>
  <c r="G435" i="92"/>
  <c r="AF122" i="10"/>
  <c r="G445" i="92"/>
  <c r="AF72" i="10"/>
  <c r="G397" i="92"/>
  <c r="AF71" i="10"/>
  <c r="G396" i="92"/>
  <c r="AF70" i="10"/>
  <c r="G395" i="92"/>
  <c r="AF76" i="10"/>
  <c r="G399" i="92"/>
  <c r="W72" i="30"/>
  <c r="Z79" i="23" s="1"/>
  <c r="AR79" i="23" s="1"/>
  <c r="AB72" i="30"/>
  <c r="AF70" i="30"/>
  <c r="AF72" i="30" l="1"/>
  <c r="C12" i="75"/>
  <c r="C13" i="75" s="1"/>
  <c r="C14" i="75" s="1"/>
  <c r="C15" i="75" s="1"/>
  <c r="C16" i="75" s="1"/>
  <c r="C17" i="75" s="1"/>
  <c r="C18" i="75" s="1"/>
  <c r="C19" i="75" s="1"/>
  <c r="C20" i="75" s="1"/>
  <c r="C21" i="75" s="1"/>
  <c r="C22" i="75" s="1"/>
  <c r="C23" i="75" s="1"/>
  <c r="C24" i="75" s="1"/>
  <c r="C25" i="75" s="1"/>
  <c r="C26" i="75" s="1"/>
  <c r="C27" i="75" s="1"/>
  <c r="C28" i="75" s="1"/>
  <c r="C29" i="75" s="1"/>
  <c r="C30" i="75" s="1"/>
  <c r="C31" i="75" s="1"/>
  <c r="C32" i="75" s="1"/>
  <c r="C33" i="75" s="1"/>
  <c r="C34" i="75" s="1"/>
  <c r="C35" i="75" s="1"/>
  <c r="C36" i="75" s="1"/>
  <c r="C37" i="75" s="1"/>
  <c r="C38" i="75" s="1"/>
  <c r="C39" i="75" s="1"/>
  <c r="C40" i="75" s="1"/>
  <c r="C41" i="75" s="1"/>
  <c r="C42" i="75" s="1"/>
  <c r="C43" i="75" s="1"/>
  <c r="C44" i="75" s="1"/>
  <c r="C45" i="75" s="1"/>
  <c r="C46" i="75" s="1"/>
  <c r="C47" i="75" s="1"/>
  <c r="C48" i="75" s="1"/>
  <c r="C49" i="75" s="1"/>
  <c r="C50" i="75" s="1"/>
  <c r="C51" i="75" s="1"/>
  <c r="C52" i="75" s="1"/>
  <c r="C53" i="75" s="1"/>
  <c r="C54" i="75" s="1"/>
  <c r="C55" i="75" s="1"/>
  <c r="C56" i="75" s="1"/>
  <c r="C57" i="75" s="1"/>
  <c r="C58" i="75" s="1"/>
  <c r="C59" i="75" s="1"/>
  <c r="C60" i="75" s="1"/>
  <c r="W17" i="6" l="1"/>
  <c r="G118" i="92" s="1"/>
  <c r="AB47" i="7" l="1"/>
  <c r="AB49" i="7" s="1"/>
  <c r="AB29" i="7"/>
  <c r="A1" i="90" l="1"/>
  <c r="P2" i="91"/>
  <c r="P3" i="91"/>
  <c r="P4" i="91"/>
  <c r="P5" i="91"/>
  <c r="P6" i="91"/>
  <c r="P7" i="91"/>
  <c r="P8" i="91"/>
  <c r="P9" i="91"/>
  <c r="P10" i="91"/>
  <c r="P11" i="91"/>
  <c r="P12" i="91"/>
  <c r="P13" i="91"/>
  <c r="P14" i="91"/>
  <c r="P15" i="91"/>
  <c r="P16" i="91"/>
  <c r="P17" i="91"/>
  <c r="P18" i="91"/>
  <c r="P19" i="91"/>
  <c r="P20" i="91"/>
  <c r="P21" i="91"/>
  <c r="P22" i="91"/>
  <c r="P23" i="91"/>
  <c r="P24" i="91"/>
  <c r="P25" i="91"/>
  <c r="P26" i="91"/>
  <c r="P27" i="91"/>
  <c r="P28" i="91"/>
  <c r="P29" i="91"/>
  <c r="P30" i="91"/>
  <c r="P31" i="91"/>
  <c r="P32" i="91"/>
  <c r="P33" i="91"/>
  <c r="P34" i="91"/>
  <c r="P35" i="91"/>
  <c r="P36" i="91"/>
  <c r="P37" i="91"/>
  <c r="P38" i="91"/>
  <c r="P39" i="91"/>
  <c r="P40" i="91"/>
  <c r="P41" i="91"/>
  <c r="P42" i="91"/>
  <c r="P43" i="91"/>
  <c r="P44" i="91"/>
  <c r="P45" i="91"/>
  <c r="P46" i="91"/>
  <c r="P47" i="91"/>
  <c r="P48" i="91"/>
  <c r="P49" i="91"/>
  <c r="P50" i="91"/>
  <c r="P51" i="91"/>
  <c r="P52" i="91"/>
  <c r="P53" i="91"/>
  <c r="P54" i="91"/>
  <c r="P55" i="91"/>
  <c r="P56" i="91"/>
  <c r="P57" i="91"/>
  <c r="P58" i="91"/>
  <c r="P59" i="91"/>
  <c r="P60" i="91"/>
  <c r="P61" i="91"/>
  <c r="P62" i="91"/>
  <c r="P63" i="91"/>
  <c r="P64" i="91"/>
  <c r="P65" i="91"/>
  <c r="P66" i="91"/>
  <c r="P67" i="91"/>
  <c r="P68" i="91"/>
  <c r="P69" i="91"/>
  <c r="P70" i="91"/>
  <c r="P71" i="91"/>
  <c r="P72" i="91"/>
  <c r="P73" i="91"/>
  <c r="P74" i="91"/>
  <c r="P75" i="91"/>
  <c r="P76" i="91"/>
  <c r="P77" i="91"/>
  <c r="P78" i="91"/>
  <c r="P79" i="91"/>
  <c r="P80" i="91"/>
  <c r="P81" i="91"/>
  <c r="P82" i="91"/>
  <c r="P83" i="91"/>
  <c r="P84" i="91"/>
  <c r="P85" i="91"/>
  <c r="P86" i="91"/>
  <c r="P87" i="91"/>
  <c r="P88" i="91"/>
  <c r="P89" i="91"/>
  <c r="P90" i="91"/>
  <c r="P91" i="91"/>
  <c r="P92" i="91"/>
  <c r="P93" i="91"/>
  <c r="P94" i="91"/>
  <c r="P95" i="91"/>
  <c r="P96" i="91"/>
  <c r="P97" i="91"/>
  <c r="P98" i="91"/>
  <c r="P99" i="91"/>
  <c r="P100" i="91"/>
  <c r="P101" i="91"/>
  <c r="P102" i="91"/>
  <c r="P103" i="91"/>
  <c r="P104" i="91"/>
  <c r="P105" i="91"/>
  <c r="P106" i="91"/>
  <c r="P107" i="91"/>
  <c r="P108" i="91"/>
  <c r="P109" i="91"/>
  <c r="P110" i="91"/>
  <c r="P111" i="91"/>
  <c r="P112" i="91"/>
  <c r="P113" i="91"/>
  <c r="P114" i="91"/>
  <c r="P115" i="91"/>
  <c r="P116" i="91"/>
  <c r="P117" i="91"/>
  <c r="P118" i="91"/>
  <c r="P119" i="91"/>
  <c r="P120" i="91"/>
  <c r="P121" i="91"/>
  <c r="P122" i="91"/>
  <c r="P123" i="91"/>
  <c r="P124" i="91"/>
  <c r="P125" i="91"/>
  <c r="P126" i="91"/>
  <c r="P127" i="91"/>
  <c r="P128" i="91"/>
  <c r="P129" i="91"/>
  <c r="P130" i="91"/>
  <c r="P131" i="91"/>
  <c r="P132" i="91"/>
  <c r="P133" i="91"/>
  <c r="P134" i="91"/>
  <c r="P135" i="91"/>
  <c r="P136" i="91"/>
  <c r="P137" i="91"/>
  <c r="P138" i="91"/>
  <c r="P139" i="91"/>
  <c r="P140" i="91"/>
  <c r="P141" i="91"/>
  <c r="P142" i="91"/>
  <c r="P143" i="91"/>
  <c r="P144" i="91"/>
  <c r="P145" i="91"/>
  <c r="P146" i="91"/>
  <c r="P147" i="91"/>
  <c r="P148" i="91"/>
  <c r="P149" i="91"/>
  <c r="P150" i="91"/>
  <c r="P151" i="91"/>
  <c r="P152" i="91"/>
  <c r="P153" i="91"/>
  <c r="P154" i="91"/>
  <c r="P155" i="91"/>
  <c r="P156" i="91"/>
  <c r="P157" i="91"/>
  <c r="P158" i="91"/>
  <c r="P159" i="91"/>
  <c r="P160" i="91"/>
  <c r="P161" i="91"/>
  <c r="P162" i="91"/>
  <c r="P163" i="91"/>
  <c r="P164" i="91"/>
  <c r="P165" i="91"/>
  <c r="P166" i="91"/>
  <c r="P167" i="91"/>
  <c r="P168" i="91"/>
  <c r="P169" i="91"/>
  <c r="P170" i="91"/>
  <c r="P171" i="91"/>
  <c r="P172" i="91"/>
  <c r="P173" i="91"/>
  <c r="P174" i="91"/>
  <c r="P175" i="91"/>
  <c r="P176" i="91"/>
  <c r="P177" i="91"/>
  <c r="P178" i="91"/>
  <c r="P179" i="91"/>
  <c r="P180" i="91"/>
  <c r="P181" i="91"/>
  <c r="P182" i="91"/>
  <c r="P183" i="91"/>
  <c r="P184" i="91"/>
  <c r="P185" i="91"/>
  <c r="P186" i="91"/>
  <c r="P1" i="91"/>
  <c r="L51" i="91"/>
  <c r="L52" i="91"/>
  <c r="L53" i="91"/>
  <c r="L54" i="91"/>
  <c r="L55" i="91"/>
  <c r="L56" i="91"/>
  <c r="L57" i="91"/>
  <c r="L58" i="91"/>
  <c r="L59" i="91"/>
  <c r="L60" i="91"/>
  <c r="L61" i="91"/>
  <c r="L62" i="91"/>
  <c r="L63" i="91"/>
  <c r="L64" i="91"/>
  <c r="L65" i="91"/>
  <c r="L66" i="91"/>
  <c r="L67" i="91"/>
  <c r="L68" i="91"/>
  <c r="L69" i="91"/>
  <c r="L70" i="91"/>
  <c r="L71" i="91"/>
  <c r="L72" i="91"/>
  <c r="L73" i="91"/>
  <c r="L74" i="91"/>
  <c r="L75" i="91"/>
  <c r="L76" i="91"/>
  <c r="L77" i="91"/>
  <c r="L78" i="91"/>
  <c r="L79" i="91"/>
  <c r="L80" i="91"/>
  <c r="L81" i="91"/>
  <c r="L82" i="91"/>
  <c r="L83" i="91"/>
  <c r="L84" i="91"/>
  <c r="L85" i="91"/>
  <c r="L86" i="91"/>
  <c r="L87" i="91"/>
  <c r="L88" i="91"/>
  <c r="L89" i="91"/>
  <c r="L90" i="91"/>
  <c r="L91" i="91"/>
  <c r="L92" i="91"/>
  <c r="L93" i="91"/>
  <c r="L94" i="91"/>
  <c r="L95" i="91"/>
  <c r="L96" i="91"/>
  <c r="L97" i="91"/>
  <c r="L98" i="91"/>
  <c r="L99" i="91"/>
  <c r="L100" i="91"/>
  <c r="L101" i="91"/>
  <c r="L102" i="91"/>
  <c r="L103" i="91"/>
  <c r="L104" i="91"/>
  <c r="L105" i="91"/>
  <c r="L106" i="91"/>
  <c r="L107" i="91"/>
  <c r="L108" i="91"/>
  <c r="L109" i="91"/>
  <c r="L110" i="91"/>
  <c r="L111" i="91"/>
  <c r="L112" i="91"/>
  <c r="L113" i="91"/>
  <c r="L114" i="91"/>
  <c r="L115" i="91"/>
  <c r="L116" i="91"/>
  <c r="L117" i="91"/>
  <c r="L118" i="91"/>
  <c r="L119" i="91"/>
  <c r="L120" i="91"/>
  <c r="L121" i="91"/>
  <c r="L122" i="91"/>
  <c r="L123" i="91"/>
  <c r="L124" i="91"/>
  <c r="L125" i="91"/>
  <c r="L126" i="91"/>
  <c r="L127" i="91"/>
  <c r="L128" i="91"/>
  <c r="L129" i="91"/>
  <c r="L130" i="91"/>
  <c r="L131" i="91"/>
  <c r="L132" i="91"/>
  <c r="L133" i="91"/>
  <c r="L134" i="91"/>
  <c r="L135" i="91"/>
  <c r="L136" i="91"/>
  <c r="L137" i="91"/>
  <c r="L138" i="91"/>
  <c r="L139" i="91"/>
  <c r="L140" i="91"/>
  <c r="L141" i="91"/>
  <c r="L142" i="91"/>
  <c r="L143" i="91"/>
  <c r="L144" i="91"/>
  <c r="L145" i="91"/>
  <c r="L146" i="91"/>
  <c r="L147" i="91"/>
  <c r="L148" i="91"/>
  <c r="L149" i="91"/>
  <c r="L150" i="91"/>
  <c r="L151" i="91"/>
  <c r="L152" i="91"/>
  <c r="L153" i="91"/>
  <c r="L154" i="91"/>
  <c r="L155" i="91"/>
  <c r="L156" i="91"/>
  <c r="L157" i="91"/>
  <c r="L158" i="91"/>
  <c r="L159" i="91"/>
  <c r="L160" i="91"/>
  <c r="L161" i="91"/>
  <c r="L162" i="91"/>
  <c r="L163" i="91"/>
  <c r="L164" i="91"/>
  <c r="L165" i="91"/>
  <c r="L166" i="91"/>
  <c r="L167" i="91"/>
  <c r="L168" i="91"/>
  <c r="L169" i="91"/>
  <c r="L170" i="91"/>
  <c r="L171" i="91"/>
  <c r="L172" i="91"/>
  <c r="L173" i="91"/>
  <c r="L174" i="91"/>
  <c r="L175" i="91"/>
  <c r="L176" i="91"/>
  <c r="L177" i="91"/>
  <c r="L178" i="91"/>
  <c r="L179" i="91"/>
  <c r="L180" i="91"/>
  <c r="L181" i="91"/>
  <c r="L182" i="91"/>
  <c r="L183" i="91"/>
  <c r="L184" i="91"/>
  <c r="L185" i="91"/>
  <c r="L186" i="91"/>
  <c r="L50" i="91"/>
  <c r="L2" i="91"/>
  <c r="L3" i="91"/>
  <c r="L4" i="91"/>
  <c r="L5" i="91"/>
  <c r="L6" i="91"/>
  <c r="L7" i="91"/>
  <c r="L8" i="91"/>
  <c r="L9" i="91"/>
  <c r="L10" i="91"/>
  <c r="L11" i="91"/>
  <c r="L12" i="91"/>
  <c r="L13" i="91"/>
  <c r="L14" i="91"/>
  <c r="L15" i="91"/>
  <c r="L16" i="91"/>
  <c r="L17" i="91"/>
  <c r="L18" i="91"/>
  <c r="L19" i="91"/>
  <c r="L20" i="91"/>
  <c r="L21" i="91"/>
  <c r="L22" i="91"/>
  <c r="L23" i="91"/>
  <c r="L24" i="91"/>
  <c r="L25" i="91"/>
  <c r="L26" i="91"/>
  <c r="L27" i="91"/>
  <c r="L28" i="91"/>
  <c r="L29" i="91"/>
  <c r="L30" i="91"/>
  <c r="L31" i="91"/>
  <c r="L32" i="91"/>
  <c r="L33" i="91"/>
  <c r="L34" i="91"/>
  <c r="L35" i="91"/>
  <c r="L36" i="91"/>
  <c r="L37" i="91"/>
  <c r="L38" i="91"/>
  <c r="L39" i="91"/>
  <c r="L40" i="91"/>
  <c r="L41" i="91"/>
  <c r="L42" i="91"/>
  <c r="L43" i="91"/>
  <c r="L44" i="91"/>
  <c r="L45" i="91"/>
  <c r="L46" i="91"/>
  <c r="L47" i="91"/>
  <c r="L48" i="91"/>
  <c r="L49" i="91"/>
  <c r="L1" i="91"/>
  <c r="W18" i="6" l="1"/>
  <c r="G119" i="92" s="1"/>
  <c r="AV8" i="32" l="1"/>
  <c r="AV9" i="32"/>
  <c r="AV10" i="32"/>
  <c r="AV11" i="32"/>
  <c r="AV12" i="32"/>
  <c r="AV13" i="32"/>
  <c r="AV14" i="32"/>
  <c r="AV15" i="32"/>
  <c r="AV16" i="32"/>
  <c r="AV17" i="32"/>
  <c r="AV19" i="32"/>
  <c r="AV20" i="32"/>
  <c r="AV21" i="32"/>
  <c r="AV22" i="32"/>
  <c r="AV23" i="32"/>
  <c r="AV24" i="32"/>
  <c r="AV25" i="32"/>
  <c r="AV26" i="32"/>
  <c r="AV27" i="32"/>
  <c r="AV28" i="32"/>
  <c r="AV29" i="32"/>
  <c r="AV30" i="32"/>
  <c r="AV31" i="32"/>
  <c r="AV32" i="32"/>
  <c r="AV33" i="32"/>
  <c r="AV34" i="32"/>
  <c r="AV35" i="32"/>
  <c r="AV36" i="32"/>
  <c r="AV37" i="32"/>
  <c r="AV38" i="32"/>
  <c r="AV39" i="32"/>
  <c r="AV40" i="32"/>
  <c r="AV41" i="32"/>
  <c r="AV42" i="32"/>
  <c r="AV43" i="32"/>
  <c r="AV44" i="32"/>
  <c r="AV45" i="32"/>
  <c r="AV46" i="32"/>
  <c r="AV48" i="32"/>
  <c r="AV49" i="32"/>
  <c r="AV50" i="32"/>
  <c r="AV51" i="32"/>
  <c r="AV52" i="32"/>
  <c r="AV53" i="32"/>
  <c r="AV54" i="32"/>
  <c r="AV55" i="32"/>
  <c r="AV56" i="32"/>
  <c r="AV57" i="32"/>
  <c r="AV58" i="32"/>
  <c r="AV59" i="32"/>
  <c r="AV60" i="32"/>
  <c r="AV7" i="32"/>
  <c r="AN8" i="32"/>
  <c r="AN9" i="32"/>
  <c r="AN10" i="32"/>
  <c r="AN11" i="32"/>
  <c r="AN13" i="32"/>
  <c r="AN14" i="32"/>
  <c r="AN15" i="32"/>
  <c r="AN17" i="32"/>
  <c r="AN18" i="32"/>
  <c r="AN19" i="32"/>
  <c r="AN20" i="32"/>
  <c r="AN21" i="32"/>
  <c r="AN22" i="32"/>
  <c r="AN23" i="32"/>
  <c r="AN24" i="32"/>
  <c r="AN26" i="32"/>
  <c r="AN27" i="32"/>
  <c r="AN28" i="32"/>
  <c r="AN29" i="32"/>
  <c r="AN30" i="32"/>
  <c r="AN31" i="32"/>
  <c r="AN32" i="32"/>
  <c r="AN33" i="32"/>
  <c r="AN34" i="32"/>
  <c r="AN35" i="32"/>
  <c r="AN36" i="32"/>
  <c r="AN37" i="32"/>
  <c r="AN38" i="32"/>
  <c r="AN39" i="32"/>
  <c r="AN40" i="32"/>
  <c r="AN41" i="32"/>
  <c r="AN42" i="32"/>
  <c r="AN43" i="32"/>
  <c r="AN44" i="32"/>
  <c r="AN45" i="32"/>
  <c r="AN46" i="32"/>
  <c r="AN47" i="32"/>
  <c r="AN48" i="32"/>
  <c r="AN49" i="32"/>
  <c r="AN50" i="32"/>
  <c r="AN51" i="32"/>
  <c r="AN52" i="32"/>
  <c r="AN53" i="32"/>
  <c r="AN54" i="32"/>
  <c r="AN55" i="32"/>
  <c r="AN56" i="32"/>
  <c r="AN57" i="32"/>
  <c r="AN58" i="32"/>
  <c r="AN59" i="32"/>
  <c r="AV8" i="13"/>
  <c r="AV9" i="13"/>
  <c r="AV10" i="13"/>
  <c r="AV11" i="13"/>
  <c r="AV12" i="13"/>
  <c r="AV13" i="13"/>
  <c r="AV15" i="13"/>
  <c r="AV16" i="13"/>
  <c r="AV17" i="13"/>
  <c r="AV18" i="13"/>
  <c r="AV19" i="13"/>
  <c r="AV20" i="13"/>
  <c r="AV21" i="13"/>
  <c r="AV22" i="13"/>
  <c r="AV23" i="13"/>
  <c r="AV24" i="13"/>
  <c r="AV25" i="13"/>
  <c r="AV26" i="13"/>
  <c r="AV27" i="13"/>
  <c r="AV28" i="13"/>
  <c r="AV29" i="13"/>
  <c r="AV30" i="13"/>
  <c r="AV31" i="13"/>
  <c r="AV32" i="13"/>
  <c r="AV33" i="13"/>
  <c r="AV34" i="13"/>
  <c r="AV35" i="13"/>
  <c r="AV36" i="13"/>
  <c r="AV37" i="13"/>
  <c r="AV38" i="13"/>
  <c r="AV39" i="13"/>
  <c r="AV40" i="13"/>
  <c r="AV41" i="13"/>
  <c r="AV42" i="13"/>
  <c r="AV43" i="13"/>
  <c r="AV44" i="13"/>
  <c r="AV45" i="13"/>
  <c r="AV46" i="13"/>
  <c r="AV47" i="13"/>
  <c r="AV50" i="13"/>
  <c r="AV52" i="13"/>
  <c r="AV53" i="13"/>
  <c r="AV54" i="13"/>
  <c r="AV55" i="13"/>
  <c r="AV56" i="13"/>
  <c r="AV57" i="13"/>
  <c r="AV58" i="13"/>
  <c r="AV59" i="13"/>
  <c r="AV60" i="13"/>
  <c r="AN9" i="13"/>
  <c r="AN10" i="13"/>
  <c r="AN11" i="13"/>
  <c r="AN12" i="13"/>
  <c r="AN15" i="13"/>
  <c r="AN17" i="13"/>
  <c r="AN18" i="13"/>
  <c r="AN19" i="13"/>
  <c r="AN20" i="13"/>
  <c r="AN21" i="13"/>
  <c r="AN22" i="13"/>
  <c r="AN24" i="13"/>
  <c r="AN27" i="13"/>
  <c r="AN28" i="13"/>
  <c r="AN29" i="13"/>
  <c r="AN30" i="13"/>
  <c r="AN31" i="13"/>
  <c r="AN32" i="13"/>
  <c r="AN33" i="13"/>
  <c r="AN34" i="13"/>
  <c r="AN35" i="13"/>
  <c r="AN36" i="13"/>
  <c r="AN37" i="13"/>
  <c r="AN38" i="13"/>
  <c r="AN39" i="13"/>
  <c r="AN40" i="13"/>
  <c r="AN41" i="13"/>
  <c r="AN42" i="13"/>
  <c r="AN43" i="13"/>
  <c r="AN44" i="13"/>
  <c r="AN45" i="13"/>
  <c r="AN46" i="13"/>
  <c r="AN47" i="13"/>
  <c r="AN52" i="13"/>
  <c r="AN53" i="13"/>
  <c r="AN54" i="13"/>
  <c r="AN55" i="13"/>
  <c r="AN56" i="13"/>
  <c r="AN57" i="13"/>
  <c r="AN58" i="13"/>
  <c r="AN59" i="13"/>
  <c r="AN60" i="13"/>
  <c r="AV9" i="33"/>
  <c r="AV11" i="33"/>
  <c r="AV13" i="33"/>
  <c r="AV14" i="33"/>
  <c r="AV15" i="33"/>
  <c r="AV16" i="33"/>
  <c r="AV17" i="33"/>
  <c r="AV19" i="33"/>
  <c r="AV20" i="33"/>
  <c r="AV21" i="33"/>
  <c r="AV22" i="33"/>
  <c r="AV23" i="33"/>
  <c r="AV24" i="33"/>
  <c r="AV25" i="33"/>
  <c r="AV26" i="33"/>
  <c r="AV27" i="33"/>
  <c r="AV28" i="33"/>
  <c r="AV29" i="33"/>
  <c r="AV30" i="33"/>
  <c r="AV31" i="33"/>
  <c r="AV32" i="33"/>
  <c r="AV33" i="33"/>
  <c r="AV34" i="33"/>
  <c r="AV35" i="33"/>
  <c r="AV36" i="33"/>
  <c r="AV37" i="33"/>
  <c r="AV38" i="33"/>
  <c r="AV39" i="33"/>
  <c r="AV40" i="33"/>
  <c r="AV41" i="33"/>
  <c r="AV42" i="33"/>
  <c r="AV43" i="33"/>
  <c r="AV44" i="33"/>
  <c r="AV45" i="33"/>
  <c r="AV46" i="33"/>
  <c r="AV47" i="33"/>
  <c r="AV48" i="33"/>
  <c r="AV49" i="33"/>
  <c r="AV50" i="33"/>
  <c r="AV51" i="33"/>
  <c r="AV52" i="33"/>
  <c r="AV53" i="33"/>
  <c r="AV54" i="33"/>
  <c r="AV55" i="33"/>
  <c r="AV56" i="33"/>
  <c r="AV57" i="33"/>
  <c r="AV58" i="33"/>
  <c r="AV59" i="33"/>
  <c r="AV60" i="33"/>
  <c r="AV7" i="33"/>
  <c r="AN9" i="33"/>
  <c r="AN10" i="33"/>
  <c r="AN11" i="33"/>
  <c r="AN12" i="33"/>
  <c r="AN13" i="33"/>
  <c r="AN14" i="33"/>
  <c r="AN15" i="33"/>
  <c r="AN16" i="33"/>
  <c r="AN17" i="33"/>
  <c r="AN18" i="33"/>
  <c r="AN20" i="33"/>
  <c r="AN21" i="33"/>
  <c r="AN22" i="33"/>
  <c r="AN23" i="33"/>
  <c r="AN24" i="33"/>
  <c r="AN25" i="33"/>
  <c r="AN26" i="33"/>
  <c r="AN27" i="33"/>
  <c r="AN28" i="33"/>
  <c r="AN29" i="33"/>
  <c r="AN30" i="33"/>
  <c r="AN31" i="33"/>
  <c r="AN32" i="33"/>
  <c r="AN33" i="33"/>
  <c r="AN34" i="33"/>
  <c r="AN35" i="33"/>
  <c r="AN36" i="33"/>
  <c r="AN37" i="33"/>
  <c r="AN38" i="33"/>
  <c r="AN39" i="33"/>
  <c r="AN40" i="33"/>
  <c r="AN41" i="33"/>
  <c r="AN42" i="33"/>
  <c r="AN43" i="33"/>
  <c r="AN44" i="33"/>
  <c r="AN45" i="33"/>
  <c r="AN46" i="33"/>
  <c r="AN47" i="33"/>
  <c r="AN48" i="33"/>
  <c r="AN49" i="33"/>
  <c r="AN50" i="33"/>
  <c r="AN51" i="33"/>
  <c r="AN52" i="33"/>
  <c r="AN53" i="33"/>
  <c r="AN54" i="33"/>
  <c r="AN55" i="33"/>
  <c r="AN56" i="33"/>
  <c r="AN57" i="33"/>
  <c r="AN58" i="33"/>
  <c r="AN59" i="33"/>
  <c r="AN60" i="33"/>
  <c r="AV8" i="12"/>
  <c r="AV9" i="12"/>
  <c r="AV10" i="12"/>
  <c r="AV11" i="12"/>
  <c r="AV12" i="12"/>
  <c r="AV13" i="12"/>
  <c r="AV14" i="12"/>
  <c r="AV15" i="12"/>
  <c r="AV16" i="12"/>
  <c r="AV17" i="12"/>
  <c r="AV18" i="12"/>
  <c r="AV19" i="12"/>
  <c r="AV20" i="12"/>
  <c r="AV21" i="12"/>
  <c r="AV22" i="12"/>
  <c r="AV23" i="12"/>
  <c r="AV24" i="12"/>
  <c r="AV25" i="12"/>
  <c r="AV26" i="12"/>
  <c r="AV27" i="12"/>
  <c r="AV28" i="12"/>
  <c r="AV29" i="12"/>
  <c r="AV30" i="12"/>
  <c r="AV31" i="12"/>
  <c r="AV32" i="12"/>
  <c r="AV33" i="12"/>
  <c r="AV34" i="12"/>
  <c r="AV35" i="12"/>
  <c r="AV36" i="12"/>
  <c r="AV37" i="12"/>
  <c r="AV38" i="12"/>
  <c r="AV39" i="12"/>
  <c r="AV40" i="12"/>
  <c r="AV41" i="12"/>
  <c r="AV42" i="12"/>
  <c r="AV43" i="12"/>
  <c r="AV44" i="12"/>
  <c r="AV45" i="12"/>
  <c r="AV46" i="12"/>
  <c r="AV47" i="12"/>
  <c r="AV48" i="12"/>
  <c r="AV49" i="12"/>
  <c r="AV50" i="12"/>
  <c r="AV51" i="12"/>
  <c r="AV52" i="12"/>
  <c r="AV53" i="12"/>
  <c r="AV54" i="12"/>
  <c r="AV55" i="12"/>
  <c r="AV56" i="12"/>
  <c r="AV57" i="12"/>
  <c r="AV58" i="12"/>
  <c r="AV59" i="12"/>
  <c r="AV60" i="12"/>
  <c r="AN9" i="12"/>
  <c r="AN10" i="12"/>
  <c r="AN11" i="12"/>
  <c r="AN12" i="12"/>
  <c r="AN13" i="12"/>
  <c r="AN14" i="12"/>
  <c r="AN15" i="12"/>
  <c r="AN16" i="12"/>
  <c r="AN17" i="12"/>
  <c r="AN18" i="12"/>
  <c r="AN19" i="12"/>
  <c r="AN20" i="12"/>
  <c r="AN21" i="12"/>
  <c r="AN22" i="12"/>
  <c r="AN23" i="12"/>
  <c r="AN24" i="12"/>
  <c r="AN25" i="12"/>
  <c r="AN26" i="12"/>
  <c r="AN27" i="12"/>
  <c r="AN28" i="12"/>
  <c r="AN29" i="12"/>
  <c r="AN30" i="12"/>
  <c r="AN31" i="12"/>
  <c r="AN32" i="12"/>
  <c r="AN33" i="12"/>
  <c r="AN34" i="12"/>
  <c r="AN35" i="12"/>
  <c r="AN36" i="12"/>
  <c r="AN37" i="12"/>
  <c r="AN38" i="12"/>
  <c r="AN39" i="12"/>
  <c r="AN40" i="12"/>
  <c r="AN41" i="12"/>
  <c r="AN42" i="12"/>
  <c r="AN43" i="12"/>
  <c r="AN44" i="12"/>
  <c r="AN45" i="12"/>
  <c r="AN46" i="12"/>
  <c r="AN47" i="12"/>
  <c r="AN48" i="12"/>
  <c r="AN49" i="12"/>
  <c r="AN50" i="12"/>
  <c r="AN51" i="12"/>
  <c r="AN52" i="12"/>
  <c r="AN53" i="12"/>
  <c r="AN54" i="12"/>
  <c r="AN55" i="12"/>
  <c r="AN56" i="12"/>
  <c r="AN57" i="12"/>
  <c r="AN58" i="12"/>
  <c r="AN59" i="12"/>
  <c r="AN60" i="12"/>
  <c r="AK25" i="22" l="1"/>
  <c r="X25" i="22"/>
  <c r="AF25" i="22" s="1"/>
  <c r="AB16" i="22"/>
  <c r="AB95" i="22" l="1"/>
  <c r="AK22" i="22"/>
  <c r="AK11" i="22"/>
  <c r="AK6" i="50"/>
  <c r="AK8" i="50"/>
  <c r="AK9" i="50"/>
  <c r="AK10" i="50"/>
  <c r="AK7" i="50"/>
  <c r="O27" i="22"/>
  <c r="O16" i="22"/>
  <c r="AK24" i="22"/>
  <c r="AK23" i="22"/>
  <c r="AK13" i="22"/>
  <c r="AK12" i="22"/>
  <c r="AE52" i="23" l="1"/>
  <c r="C11" i="79"/>
  <c r="C12" i="79" s="1"/>
  <c r="C13" i="79" s="1"/>
  <c r="C14" i="79" s="1"/>
  <c r="C15" i="79" s="1"/>
  <c r="C16" i="79" s="1"/>
  <c r="C17" i="79" s="1"/>
  <c r="C18" i="79" s="1"/>
  <c r="C19" i="79" s="1"/>
  <c r="C20" i="79" s="1"/>
  <c r="C21" i="79" s="1"/>
  <c r="C22" i="79" s="1"/>
  <c r="C23" i="79" s="1"/>
  <c r="C24" i="79" s="1"/>
  <c r="C25" i="79" s="1"/>
  <c r="C26" i="79" s="1"/>
  <c r="C27" i="79" s="1"/>
  <c r="C28" i="79" s="1"/>
  <c r="C29" i="79" s="1"/>
  <c r="C30" i="79" s="1"/>
  <c r="C31" i="79" s="1"/>
  <c r="C32" i="79" s="1"/>
  <c r="C33" i="79" s="1"/>
  <c r="C34" i="79" s="1"/>
  <c r="C35" i="79" s="1"/>
  <c r="C36" i="79" s="1"/>
  <c r="C37" i="79" s="1"/>
  <c r="C38" i="79" s="1"/>
  <c r="C39" i="79" s="1"/>
  <c r="C40" i="79" s="1"/>
  <c r="C41" i="79" s="1"/>
  <c r="C42" i="79" s="1"/>
  <c r="C43" i="79" s="1"/>
  <c r="C44" i="79" s="1"/>
  <c r="C45" i="79" s="1"/>
  <c r="C46" i="79" s="1"/>
  <c r="C47" i="79" s="1"/>
  <c r="C48" i="79" s="1"/>
  <c r="C49" i="79" s="1"/>
  <c r="C50" i="79" s="1"/>
  <c r="C51" i="79" s="1"/>
  <c r="C52" i="79" s="1"/>
  <c r="C53" i="79" s="1"/>
  <c r="C54" i="79" s="1"/>
  <c r="C55" i="79" s="1"/>
  <c r="C56" i="79" s="1"/>
  <c r="C57" i="79" s="1"/>
  <c r="C58" i="79" s="1"/>
  <c r="C59" i="79" s="1"/>
  <c r="C60" i="79" s="1"/>
  <c r="C61" i="79" s="1"/>
  <c r="C62" i="79" s="1"/>
  <c r="C63" i="79" s="1"/>
  <c r="C64" i="79" s="1"/>
  <c r="C65" i="79" s="1"/>
  <c r="C66" i="79" s="1"/>
  <c r="C67" i="79" s="1"/>
  <c r="C68" i="79" s="1"/>
  <c r="C69" i="79" s="1"/>
  <c r="W70" i="79" l="1"/>
  <c r="O72" i="79"/>
  <c r="AJ71" i="79"/>
  <c r="O71" i="79"/>
  <c r="AB70" i="79"/>
  <c r="O70" i="79"/>
  <c r="AF69" i="79"/>
  <c r="AF68" i="79"/>
  <c r="AF67" i="79"/>
  <c r="AF66" i="79"/>
  <c r="AF65" i="79"/>
  <c r="AF64" i="79"/>
  <c r="AF63" i="79"/>
  <c r="AF62" i="79"/>
  <c r="AF61" i="79"/>
  <c r="AF60" i="79"/>
  <c r="AF59" i="79"/>
  <c r="AF58" i="79"/>
  <c r="AF57" i="79"/>
  <c r="AF56" i="79"/>
  <c r="AF55" i="79"/>
  <c r="AF54" i="79"/>
  <c r="AF53" i="79"/>
  <c r="AF52" i="79"/>
  <c r="AF51" i="79"/>
  <c r="AF50" i="79"/>
  <c r="AF49" i="79"/>
  <c r="AF48" i="79"/>
  <c r="AF47" i="79"/>
  <c r="AF46" i="79"/>
  <c r="AF45" i="79"/>
  <c r="AF44" i="79"/>
  <c r="AF43" i="79"/>
  <c r="AF42" i="79"/>
  <c r="AF41" i="79"/>
  <c r="AF40" i="79"/>
  <c r="AF39" i="79"/>
  <c r="AF38" i="79"/>
  <c r="AF37" i="79"/>
  <c r="AF36" i="79"/>
  <c r="AF35" i="79"/>
  <c r="AF34" i="79"/>
  <c r="AF33" i="79"/>
  <c r="AF32" i="79"/>
  <c r="AF31" i="79"/>
  <c r="AF30" i="79"/>
  <c r="AF29" i="79"/>
  <c r="AF28" i="79"/>
  <c r="AF27" i="79"/>
  <c r="AF26" i="79"/>
  <c r="AF25" i="79"/>
  <c r="AF24" i="79"/>
  <c r="AF23" i="79"/>
  <c r="AF22" i="79"/>
  <c r="AF21" i="79"/>
  <c r="AF20" i="79"/>
  <c r="AF19" i="79"/>
  <c r="AF18" i="79"/>
  <c r="AF17" i="79"/>
  <c r="AF16" i="79"/>
  <c r="AF15" i="79"/>
  <c r="AF14" i="79"/>
  <c r="AF13" i="79"/>
  <c r="AF12" i="79"/>
  <c r="AF11" i="79"/>
  <c r="AF10" i="79"/>
  <c r="C11" i="78"/>
  <c r="C12" i="78" s="1"/>
  <c r="C13" i="78" s="1"/>
  <c r="C14" i="78" s="1"/>
  <c r="C15" i="78" s="1"/>
  <c r="C16" i="78" s="1"/>
  <c r="C17" i="78" s="1"/>
  <c r="C18" i="78" s="1"/>
  <c r="C19" i="78" s="1"/>
  <c r="C20" i="78" s="1"/>
  <c r="C21" i="78" s="1"/>
  <c r="C22" i="78" s="1"/>
  <c r="C23" i="78" s="1"/>
  <c r="C24" i="78" s="1"/>
  <c r="C25" i="78" s="1"/>
  <c r="C26" i="78" s="1"/>
  <c r="C27" i="78" s="1"/>
  <c r="C28" i="78" s="1"/>
  <c r="C29" i="78" s="1"/>
  <c r="C30" i="78" s="1"/>
  <c r="C31" i="78" s="1"/>
  <c r="C32" i="78" s="1"/>
  <c r="C33" i="78" s="1"/>
  <c r="C34" i="78" s="1"/>
  <c r="C35" i="78" s="1"/>
  <c r="C36" i="78" s="1"/>
  <c r="C37" i="78" s="1"/>
  <c r="C38" i="78" s="1"/>
  <c r="C39" i="78" s="1"/>
  <c r="C40" i="78" s="1"/>
  <c r="C41" i="78" s="1"/>
  <c r="C42" i="78" s="1"/>
  <c r="C43" i="78" s="1"/>
  <c r="C44" i="78" s="1"/>
  <c r="C45" i="78" s="1"/>
  <c r="C46" i="78" s="1"/>
  <c r="C47" i="78" s="1"/>
  <c r="C48" i="78" s="1"/>
  <c r="C49" i="78" s="1"/>
  <c r="C50" i="78" s="1"/>
  <c r="C51" i="78" s="1"/>
  <c r="C52" i="78" s="1"/>
  <c r="C53" i="78" s="1"/>
  <c r="C54" i="78" s="1"/>
  <c r="C55" i="78" s="1"/>
  <c r="C56" i="78" s="1"/>
  <c r="C57" i="78" s="1"/>
  <c r="C58" i="78" s="1"/>
  <c r="C59" i="78" s="1"/>
  <c r="C60" i="78" s="1"/>
  <c r="C61" i="78" s="1"/>
  <c r="C62" i="78" s="1"/>
  <c r="C63" i="78" s="1"/>
  <c r="C64" i="78" s="1"/>
  <c r="C65" i="78" s="1"/>
  <c r="C66" i="78" s="1"/>
  <c r="C67" i="78" s="1"/>
  <c r="C68" i="78" s="1"/>
  <c r="C69" i="78" s="1"/>
  <c r="AJ71" i="78"/>
  <c r="O72" i="78"/>
  <c r="O71" i="78"/>
  <c r="O70" i="78"/>
  <c r="AB70" i="78"/>
  <c r="W69" i="78"/>
  <c r="AF69" i="78" s="1"/>
  <c r="W68" i="78"/>
  <c r="AF68" i="78" s="1"/>
  <c r="W67" i="78"/>
  <c r="AF67" i="78" s="1"/>
  <c r="W66" i="78"/>
  <c r="AF66" i="78" s="1"/>
  <c r="W65" i="78"/>
  <c r="AF65" i="78" s="1"/>
  <c r="W64" i="78"/>
  <c r="AF64" i="78" s="1"/>
  <c r="W63" i="78"/>
  <c r="AF63" i="78" s="1"/>
  <c r="W62" i="78"/>
  <c r="AF62" i="78" s="1"/>
  <c r="W61" i="78"/>
  <c r="AF61" i="78" s="1"/>
  <c r="W60" i="78"/>
  <c r="AF60" i="78" s="1"/>
  <c r="W59" i="78"/>
  <c r="AF59" i="78" s="1"/>
  <c r="W58" i="78"/>
  <c r="AF58" i="78" s="1"/>
  <c r="W57" i="78"/>
  <c r="AF57" i="78" s="1"/>
  <c r="W56" i="78"/>
  <c r="AF56" i="78" s="1"/>
  <c r="W55" i="78"/>
  <c r="AF55" i="78" s="1"/>
  <c r="W54" i="78"/>
  <c r="AF54" i="78" s="1"/>
  <c r="W53" i="78"/>
  <c r="AF53" i="78" s="1"/>
  <c r="W52" i="78"/>
  <c r="AF52" i="78" s="1"/>
  <c r="W51" i="78"/>
  <c r="AF51" i="78" s="1"/>
  <c r="W50" i="78"/>
  <c r="AF50" i="78" s="1"/>
  <c r="W49" i="78"/>
  <c r="AF49" i="78" s="1"/>
  <c r="W48" i="78"/>
  <c r="AF48" i="78" s="1"/>
  <c r="W47" i="78"/>
  <c r="AF47" i="78" s="1"/>
  <c r="W46" i="78"/>
  <c r="AF46" i="78" s="1"/>
  <c r="W45" i="78"/>
  <c r="AF45" i="78" s="1"/>
  <c r="W44" i="78"/>
  <c r="AF44" i="78" s="1"/>
  <c r="W43" i="78"/>
  <c r="AF43" i="78" s="1"/>
  <c r="W42" i="78"/>
  <c r="AF42" i="78" s="1"/>
  <c r="W41" i="78"/>
  <c r="AF41" i="78" s="1"/>
  <c r="W40" i="78"/>
  <c r="AF40" i="78" s="1"/>
  <c r="W39" i="78"/>
  <c r="AF39" i="78" s="1"/>
  <c r="W38" i="78"/>
  <c r="AF38" i="78" s="1"/>
  <c r="W37" i="78"/>
  <c r="AF37" i="78" s="1"/>
  <c r="W36" i="78"/>
  <c r="AF36" i="78" s="1"/>
  <c r="W35" i="78"/>
  <c r="AF35" i="78" s="1"/>
  <c r="W34" i="78"/>
  <c r="AF34" i="78" s="1"/>
  <c r="W33" i="78"/>
  <c r="AF33" i="78" s="1"/>
  <c r="W32" i="78"/>
  <c r="AF32" i="78" s="1"/>
  <c r="W31" i="78"/>
  <c r="AF31" i="78" s="1"/>
  <c r="W30" i="78"/>
  <c r="AF30" i="78" s="1"/>
  <c r="W29" i="78"/>
  <c r="AF29" i="78" s="1"/>
  <c r="W28" i="78"/>
  <c r="AF28" i="78" s="1"/>
  <c r="W27" i="78"/>
  <c r="AF27" i="78" s="1"/>
  <c r="W26" i="78"/>
  <c r="AF26" i="78" s="1"/>
  <c r="W25" i="78"/>
  <c r="AF25" i="78" s="1"/>
  <c r="W24" i="78"/>
  <c r="AF24" i="78" s="1"/>
  <c r="W23" i="78"/>
  <c r="AF23" i="78" s="1"/>
  <c r="W22" i="78"/>
  <c r="AF22" i="78" s="1"/>
  <c r="W21" i="78"/>
  <c r="AF21" i="78" s="1"/>
  <c r="W20" i="78"/>
  <c r="AF20" i="78" s="1"/>
  <c r="W19" i="78"/>
  <c r="AF19" i="78" s="1"/>
  <c r="W18" i="78"/>
  <c r="AF18" i="78" s="1"/>
  <c r="W17" i="78"/>
  <c r="AF17" i="78" s="1"/>
  <c r="W16" i="78"/>
  <c r="AF16" i="78" s="1"/>
  <c r="W15" i="78"/>
  <c r="AF15" i="78" s="1"/>
  <c r="W14" i="78"/>
  <c r="AF14" i="78" s="1"/>
  <c r="W13" i="78"/>
  <c r="AF13" i="78" s="1"/>
  <c r="W12" i="78"/>
  <c r="AF12" i="78" s="1"/>
  <c r="W11" i="78"/>
  <c r="AF11" i="78" s="1"/>
  <c r="W10" i="78"/>
  <c r="AF10" i="78" s="1"/>
  <c r="C12" i="77"/>
  <c r="C13" i="77" s="1"/>
  <c r="C14" i="77" s="1"/>
  <c r="C15" i="77" s="1"/>
  <c r="C16" i="77" s="1"/>
  <c r="C17" i="77" s="1"/>
  <c r="C18" i="77" s="1"/>
  <c r="C19" i="77" s="1"/>
  <c r="C20" i="77" s="1"/>
  <c r="C21" i="77" s="1"/>
  <c r="C22" i="77" s="1"/>
  <c r="C23" i="77" s="1"/>
  <c r="C24" i="77" s="1"/>
  <c r="C25" i="77" s="1"/>
  <c r="C26" i="77" s="1"/>
  <c r="C27" i="77" s="1"/>
  <c r="C28" i="77" s="1"/>
  <c r="C29" i="77" s="1"/>
  <c r="C30" i="77" s="1"/>
  <c r="C31" i="77" s="1"/>
  <c r="C32" i="77" s="1"/>
  <c r="C33" i="77" s="1"/>
  <c r="C34" i="77" s="1"/>
  <c r="C35" i="77" s="1"/>
  <c r="C36" i="77" s="1"/>
  <c r="C37" i="77" s="1"/>
  <c r="C38" i="77" s="1"/>
  <c r="D51" i="77"/>
  <c r="AL12" i="75"/>
  <c r="AL13" i="75"/>
  <c r="AL14" i="75"/>
  <c r="AL15" i="75"/>
  <c r="AT15" i="75" s="1"/>
  <c r="AL16" i="75"/>
  <c r="AL17" i="75"/>
  <c r="AT17" i="75" s="1"/>
  <c r="AL18" i="75"/>
  <c r="AT18" i="75" s="1"/>
  <c r="AL19" i="75"/>
  <c r="AL20" i="75"/>
  <c r="AL21" i="75"/>
  <c r="AL22" i="75"/>
  <c r="AL23" i="75"/>
  <c r="AL24" i="75"/>
  <c r="AL25" i="75"/>
  <c r="AT25" i="75" s="1"/>
  <c r="AL26" i="75"/>
  <c r="AT26" i="75" s="1"/>
  <c r="AL27" i="75"/>
  <c r="AT27" i="75" s="1"/>
  <c r="AL28" i="75"/>
  <c r="AL29" i="75"/>
  <c r="AL30" i="75"/>
  <c r="AT30" i="75" s="1"/>
  <c r="AL31" i="75"/>
  <c r="AL32" i="75"/>
  <c r="AL33" i="75"/>
  <c r="AT33" i="75" s="1"/>
  <c r="AL34" i="75"/>
  <c r="AL35" i="75"/>
  <c r="AT35" i="75" s="1"/>
  <c r="AL36" i="75"/>
  <c r="AL37" i="75"/>
  <c r="AL38" i="75"/>
  <c r="AL39" i="75"/>
  <c r="AL40" i="75"/>
  <c r="AL41" i="75"/>
  <c r="AT41" i="75" s="1"/>
  <c r="AL42" i="75"/>
  <c r="AT42" i="75" s="1"/>
  <c r="AL43" i="75"/>
  <c r="AL44" i="75"/>
  <c r="AL45" i="75"/>
  <c r="AL46" i="75"/>
  <c r="AL47" i="75"/>
  <c r="AL48" i="75"/>
  <c r="AL49" i="75"/>
  <c r="AT49" i="75" s="1"/>
  <c r="AL50" i="75"/>
  <c r="AT50" i="75" s="1"/>
  <c r="AL51" i="75"/>
  <c r="AL52" i="75"/>
  <c r="AL53" i="75"/>
  <c r="AL54" i="75"/>
  <c r="AL55" i="75"/>
  <c r="AL56" i="75"/>
  <c r="AL57" i="75"/>
  <c r="AT57" i="75" s="1"/>
  <c r="AL58" i="75"/>
  <c r="AL59" i="75"/>
  <c r="AT59" i="75" s="1"/>
  <c r="AL60" i="75"/>
  <c r="AL11" i="75"/>
  <c r="AT11" i="75" s="1"/>
  <c r="O63" i="75"/>
  <c r="AM47" i="77"/>
  <c r="AJ47" i="77"/>
  <c r="AB59" i="77"/>
  <c r="W58" i="77"/>
  <c r="AF58" i="77" s="1"/>
  <c r="W57" i="77"/>
  <c r="AF57" i="77" s="1"/>
  <c r="W56" i="77"/>
  <c r="AF56" i="77" s="1"/>
  <c r="W55" i="77"/>
  <c r="W54" i="77"/>
  <c r="AF54" i="77" s="1"/>
  <c r="W53" i="77"/>
  <c r="AF53" i="77" s="1"/>
  <c r="W47" i="77"/>
  <c r="AF47" i="77" s="1"/>
  <c r="W46" i="77"/>
  <c r="AF46" i="77" s="1"/>
  <c r="W45" i="77"/>
  <c r="AF45" i="77" s="1"/>
  <c r="AB39" i="77"/>
  <c r="AL38" i="77"/>
  <c r="AF38" i="77"/>
  <c r="AL37" i="77"/>
  <c r="AF37" i="77"/>
  <c r="AL36" i="77"/>
  <c r="AF36" i="77"/>
  <c r="AL35" i="77"/>
  <c r="AF35" i="77"/>
  <c r="AL34" i="77"/>
  <c r="AF34" i="77"/>
  <c r="AL33" i="77"/>
  <c r="AF33" i="77"/>
  <c r="AL32" i="77"/>
  <c r="AF32" i="77"/>
  <c r="AL31" i="77"/>
  <c r="AF31" i="77"/>
  <c r="AL30" i="77"/>
  <c r="AF30" i="77"/>
  <c r="AL29" i="77"/>
  <c r="AF29" i="77"/>
  <c r="AL28" i="77"/>
  <c r="AF28" i="77"/>
  <c r="AL27" i="77"/>
  <c r="AF27" i="77"/>
  <c r="AL26" i="77"/>
  <c r="AF26" i="77"/>
  <c r="AL25" i="77"/>
  <c r="AF25" i="77"/>
  <c r="AL24" i="77"/>
  <c r="AF24" i="77"/>
  <c r="AL23" i="77"/>
  <c r="AF23" i="77"/>
  <c r="AL22" i="77"/>
  <c r="AF22" i="77"/>
  <c r="AL21" i="77"/>
  <c r="AF21" i="77"/>
  <c r="AL20" i="77"/>
  <c r="AF20" i="77"/>
  <c r="AL19" i="77"/>
  <c r="AF19" i="77"/>
  <c r="AL18" i="77"/>
  <c r="AF18" i="77"/>
  <c r="AL17" i="77"/>
  <c r="AF17" i="77"/>
  <c r="AL16" i="77"/>
  <c r="AF16" i="77"/>
  <c r="AL15" i="77"/>
  <c r="AF15" i="77"/>
  <c r="AL14" i="77"/>
  <c r="AF14" i="77"/>
  <c r="AL13" i="77"/>
  <c r="AF13" i="77" s="1"/>
  <c r="AF12" i="77"/>
  <c r="AB61" i="75"/>
  <c r="AB63" i="75" s="1"/>
  <c r="W60" i="75"/>
  <c r="AF60" i="75" s="1"/>
  <c r="W59" i="75"/>
  <c r="AF59" i="75" s="1"/>
  <c r="W58" i="75"/>
  <c r="AF58" i="75" s="1"/>
  <c r="W57" i="75"/>
  <c r="AF57" i="75" s="1"/>
  <c r="W56" i="75"/>
  <c r="AF56" i="75" s="1"/>
  <c r="W55" i="75"/>
  <c r="AF55" i="75" s="1"/>
  <c r="W54" i="75"/>
  <c r="AF54" i="75" s="1"/>
  <c r="W53" i="75"/>
  <c r="AF53" i="75" s="1"/>
  <c r="W52" i="75"/>
  <c r="AF52" i="75" s="1"/>
  <c r="W51" i="75"/>
  <c r="AF51" i="75" s="1"/>
  <c r="W50" i="75"/>
  <c r="AF50" i="75" s="1"/>
  <c r="AN49" i="75"/>
  <c r="AV49" i="75" s="1"/>
  <c r="W49" i="75"/>
  <c r="AF49" i="75" s="1"/>
  <c r="W48" i="75"/>
  <c r="AF48" i="75" s="1"/>
  <c r="W47" i="75"/>
  <c r="AF47" i="75" s="1"/>
  <c r="W46" i="75"/>
  <c r="AF46" i="75" s="1"/>
  <c r="W45" i="75"/>
  <c r="AF45" i="75" s="1"/>
  <c r="W44" i="75"/>
  <c r="AF44" i="75" s="1"/>
  <c r="W43" i="75"/>
  <c r="AF43" i="75" s="1"/>
  <c r="AN42" i="75"/>
  <c r="AV42" i="75" s="1"/>
  <c r="W42" i="75"/>
  <c r="AF42" i="75" s="1"/>
  <c r="W41" i="75"/>
  <c r="AF41" i="75" s="1"/>
  <c r="W40" i="75"/>
  <c r="AF40" i="75" s="1"/>
  <c r="W39" i="75"/>
  <c r="AF39" i="75" s="1"/>
  <c r="W38" i="75"/>
  <c r="AF38" i="75" s="1"/>
  <c r="W37" i="75"/>
  <c r="AF37" i="75" s="1"/>
  <c r="W36" i="75"/>
  <c r="AF36" i="75" s="1"/>
  <c r="W35" i="75"/>
  <c r="AF35" i="75" s="1"/>
  <c r="W34" i="75"/>
  <c r="AF34" i="75" s="1"/>
  <c r="AN33" i="75"/>
  <c r="AV33" i="75" s="1"/>
  <c r="W33" i="75"/>
  <c r="AF33" i="75" s="1"/>
  <c r="W32" i="75"/>
  <c r="AF32" i="75" s="1"/>
  <c r="W31" i="75"/>
  <c r="AF31" i="75" s="1"/>
  <c r="W30" i="75"/>
  <c r="AF30" i="75" s="1"/>
  <c r="W29" i="75"/>
  <c r="AF29" i="75" s="1"/>
  <c r="W28" i="75"/>
  <c r="AF28" i="75" s="1"/>
  <c r="W27" i="75"/>
  <c r="AF27" i="75" s="1"/>
  <c r="AN26" i="75"/>
  <c r="AV26" i="75" s="1"/>
  <c r="W26" i="75"/>
  <c r="AF26" i="75" s="1"/>
  <c r="AN25" i="75"/>
  <c r="AV25" i="75" s="1"/>
  <c r="W25" i="75"/>
  <c r="AF25" i="75" s="1"/>
  <c r="W24" i="75"/>
  <c r="AF24" i="75" s="1"/>
  <c r="W23" i="75"/>
  <c r="AF23" i="75" s="1"/>
  <c r="W22" i="75"/>
  <c r="AF22" i="75" s="1"/>
  <c r="W21" i="75"/>
  <c r="AF21" i="75" s="1"/>
  <c r="W20" i="75"/>
  <c r="AF20" i="75" s="1"/>
  <c r="W19" i="75"/>
  <c r="AF19" i="75" s="1"/>
  <c r="W18" i="75"/>
  <c r="AF18" i="75" s="1"/>
  <c r="W17" i="75"/>
  <c r="AF17" i="75" s="1"/>
  <c r="W16" i="75"/>
  <c r="AF16" i="75" s="1"/>
  <c r="AN15" i="75"/>
  <c r="AV15" i="75" s="1"/>
  <c r="W15" i="75"/>
  <c r="AF15" i="75" s="1"/>
  <c r="W14" i="75"/>
  <c r="AF14" i="75" s="1"/>
  <c r="W13" i="75"/>
  <c r="AF13" i="75" s="1"/>
  <c r="W12" i="75"/>
  <c r="AF12" i="75" s="1"/>
  <c r="W11" i="75"/>
  <c r="AF11" i="75" s="1"/>
  <c r="AN41" i="75" l="1"/>
  <c r="AV41" i="75" s="1"/>
  <c r="AN57" i="75"/>
  <c r="AV57" i="75" s="1"/>
  <c r="AN17" i="75"/>
  <c r="AV17" i="75" s="1"/>
  <c r="AN50" i="75"/>
  <c r="AV50" i="75" s="1"/>
  <c r="AN18" i="75"/>
  <c r="AV18" i="75" s="1"/>
  <c r="O61" i="77"/>
  <c r="O59" i="77"/>
  <c r="O60" i="77"/>
  <c r="AN35" i="75"/>
  <c r="AV35" i="75" s="1"/>
  <c r="AN30" i="75"/>
  <c r="AV30" i="75" s="1"/>
  <c r="AN11" i="77"/>
  <c r="AV11" i="77" s="1"/>
  <c r="AT11" i="77"/>
  <c r="AN14" i="77"/>
  <c r="AV14" i="77" s="1"/>
  <c r="AT14" i="77"/>
  <c r="AN18" i="77"/>
  <c r="AV18" i="77" s="1"/>
  <c r="AT18" i="77"/>
  <c r="AN22" i="77"/>
  <c r="AV22" i="77" s="1"/>
  <c r="AT22" i="77"/>
  <c r="AN26" i="77"/>
  <c r="AV26" i="77" s="1"/>
  <c r="AT26" i="77"/>
  <c r="AN30" i="77"/>
  <c r="AV30" i="77" s="1"/>
  <c r="AT30" i="77"/>
  <c r="AN34" i="77"/>
  <c r="AV34" i="77" s="1"/>
  <c r="AT34" i="77"/>
  <c r="AN38" i="77"/>
  <c r="AV38" i="77" s="1"/>
  <c r="AT38" i="77"/>
  <c r="AN15" i="77"/>
  <c r="AV15" i="77" s="1"/>
  <c r="AT15" i="77"/>
  <c r="AN31" i="77"/>
  <c r="AV31" i="77" s="1"/>
  <c r="AT31" i="77"/>
  <c r="AN27" i="77"/>
  <c r="AV27" i="77" s="1"/>
  <c r="AT27" i="77"/>
  <c r="AN12" i="77"/>
  <c r="AV12" i="77" s="1"/>
  <c r="AT12" i="77"/>
  <c r="AN16" i="77"/>
  <c r="AV16" i="77" s="1"/>
  <c r="AT16" i="77"/>
  <c r="AN20" i="77"/>
  <c r="AV20" i="77" s="1"/>
  <c r="AT20" i="77"/>
  <c r="AN24" i="77"/>
  <c r="AV24" i="77" s="1"/>
  <c r="AT24" i="77"/>
  <c r="AN28" i="77"/>
  <c r="AV28" i="77" s="1"/>
  <c r="AT28" i="77"/>
  <c r="AN32" i="77"/>
  <c r="AV32" i="77" s="1"/>
  <c r="AT32" i="77"/>
  <c r="AN36" i="77"/>
  <c r="AV36" i="77" s="1"/>
  <c r="AT36" i="77"/>
  <c r="AN23" i="77"/>
  <c r="AV23" i="77" s="1"/>
  <c r="AT23" i="77"/>
  <c r="AN19" i="77"/>
  <c r="AV19" i="77" s="1"/>
  <c r="AT19" i="77"/>
  <c r="AN35" i="77"/>
  <c r="AV35" i="77" s="1"/>
  <c r="AT35" i="77"/>
  <c r="AN13" i="77"/>
  <c r="AV13" i="77" s="1"/>
  <c r="AT13" i="77"/>
  <c r="AN17" i="77"/>
  <c r="AV17" i="77" s="1"/>
  <c r="AT17" i="77"/>
  <c r="AN21" i="77"/>
  <c r="AV21" i="77" s="1"/>
  <c r="AT21" i="77"/>
  <c r="AN25" i="77"/>
  <c r="AV25" i="77" s="1"/>
  <c r="AT25" i="77"/>
  <c r="AN29" i="77"/>
  <c r="AV29" i="77" s="1"/>
  <c r="AT29" i="77"/>
  <c r="AN33" i="77"/>
  <c r="AV33" i="77" s="1"/>
  <c r="AT33" i="77"/>
  <c r="AN37" i="77"/>
  <c r="AV37" i="77" s="1"/>
  <c r="AT37" i="77"/>
  <c r="W39" i="77"/>
  <c r="AN43" i="75"/>
  <c r="AV43" i="75" s="1"/>
  <c r="AT43" i="75"/>
  <c r="AN27" i="75"/>
  <c r="AV27" i="75" s="1"/>
  <c r="AN60" i="75"/>
  <c r="AV60" i="75" s="1"/>
  <c r="AT60" i="75"/>
  <c r="AN52" i="75"/>
  <c r="AV52" i="75" s="1"/>
  <c r="AT52" i="75"/>
  <c r="AN44" i="75"/>
  <c r="AV44" i="75" s="1"/>
  <c r="AT44" i="75"/>
  <c r="AN36" i="75"/>
  <c r="AV36" i="75" s="1"/>
  <c r="AT36" i="75"/>
  <c r="AN28" i="75"/>
  <c r="AV28" i="75" s="1"/>
  <c r="AT28" i="75"/>
  <c r="AN20" i="75"/>
  <c r="AV20" i="75" s="1"/>
  <c r="AT20" i="75"/>
  <c r="AN12" i="75"/>
  <c r="AV12" i="75" s="1"/>
  <c r="AT12" i="75"/>
  <c r="AN58" i="75"/>
  <c r="AV58" i="75" s="1"/>
  <c r="AT58" i="75"/>
  <c r="AN34" i="75"/>
  <c r="AV34" i="75" s="1"/>
  <c r="AT34" i="75"/>
  <c r="AN51" i="75"/>
  <c r="AV51" i="75" s="1"/>
  <c r="AT51" i="75"/>
  <c r="AN19" i="75"/>
  <c r="AV19" i="75" s="1"/>
  <c r="AT19" i="75"/>
  <c r="AN56" i="75"/>
  <c r="AV56" i="75" s="1"/>
  <c r="AT56" i="75"/>
  <c r="AN48" i="75"/>
  <c r="AV48" i="75" s="1"/>
  <c r="AT48" i="75"/>
  <c r="AN40" i="75"/>
  <c r="AV40" i="75" s="1"/>
  <c r="AT40" i="75"/>
  <c r="AN32" i="75"/>
  <c r="AV32" i="75" s="1"/>
  <c r="AT32" i="75"/>
  <c r="AN24" i="75"/>
  <c r="AV24" i="75" s="1"/>
  <c r="AT24" i="75"/>
  <c r="AN16" i="75"/>
  <c r="AV16" i="75" s="1"/>
  <c r="AT16" i="75"/>
  <c r="AN55" i="75"/>
  <c r="AV55" i="75" s="1"/>
  <c r="AT55" i="75"/>
  <c r="AN47" i="75"/>
  <c r="AV47" i="75" s="1"/>
  <c r="AT47" i="75"/>
  <c r="AN39" i="75"/>
  <c r="AV39" i="75" s="1"/>
  <c r="AT39" i="75"/>
  <c r="AN31" i="75"/>
  <c r="AV31" i="75" s="1"/>
  <c r="AT31" i="75"/>
  <c r="AN23" i="75"/>
  <c r="AV23" i="75" s="1"/>
  <c r="AT23" i="75"/>
  <c r="AN54" i="75"/>
  <c r="AV54" i="75" s="1"/>
  <c r="AT54" i="75"/>
  <c r="AN46" i="75"/>
  <c r="AV46" i="75" s="1"/>
  <c r="AT46" i="75"/>
  <c r="AN38" i="75"/>
  <c r="AV38" i="75" s="1"/>
  <c r="AT38" i="75"/>
  <c r="AN22" i="75"/>
  <c r="AV22" i="75" s="1"/>
  <c r="AT22" i="75"/>
  <c r="AN14" i="75"/>
  <c r="AV14" i="75" s="1"/>
  <c r="AT14" i="75"/>
  <c r="AN59" i="75"/>
  <c r="AV59" i="75" s="1"/>
  <c r="AN53" i="75"/>
  <c r="AV53" i="75" s="1"/>
  <c r="AT53" i="75"/>
  <c r="AN45" i="75"/>
  <c r="AV45" i="75" s="1"/>
  <c r="AT45" i="75"/>
  <c r="AN37" i="75"/>
  <c r="AV37" i="75" s="1"/>
  <c r="AT37" i="75"/>
  <c r="AN29" i="75"/>
  <c r="AV29" i="75" s="1"/>
  <c r="AT29" i="75"/>
  <c r="AN21" i="75"/>
  <c r="AV21" i="75" s="1"/>
  <c r="AT21" i="75"/>
  <c r="AN13" i="75"/>
  <c r="AV13" i="75" s="1"/>
  <c r="AT13" i="75"/>
  <c r="W71" i="79"/>
  <c r="AB71" i="79" s="1"/>
  <c r="AF71" i="79" s="1"/>
  <c r="AF70" i="79"/>
  <c r="W70" i="78"/>
  <c r="C43" i="77"/>
  <c r="C44" i="77" s="1"/>
  <c r="C45" i="77" s="1"/>
  <c r="C46" i="77" s="1"/>
  <c r="C47" i="77" s="1"/>
  <c r="C53" i="77" s="1"/>
  <c r="C54" i="77" s="1"/>
  <c r="C55" i="77" s="1"/>
  <c r="C56" i="77" s="1"/>
  <c r="C57" i="77" s="1"/>
  <c r="C58" i="77" s="1"/>
  <c r="W59" i="77"/>
  <c r="AF55" i="77"/>
  <c r="W61" i="75"/>
  <c r="W62" i="75" s="1"/>
  <c r="AF59" i="77" l="1"/>
  <c r="W60" i="77"/>
  <c r="AF11" i="77"/>
  <c r="W44" i="77"/>
  <c r="AF44" i="77" s="1"/>
  <c r="W40" i="77"/>
  <c r="AF40" i="77" s="1"/>
  <c r="AF61" i="75"/>
  <c r="AF62" i="75"/>
  <c r="AB72" i="79"/>
  <c r="W72" i="79"/>
  <c r="W71" i="78"/>
  <c r="AB71" i="78" s="1"/>
  <c r="AF70" i="78"/>
  <c r="AF39" i="77"/>
  <c r="W43" i="77"/>
  <c r="W61" i="77" l="1"/>
  <c r="AB60" i="77"/>
  <c r="W63" i="75"/>
  <c r="AF63" i="75" s="1"/>
  <c r="AF72" i="79"/>
  <c r="AF43" i="77"/>
  <c r="W48" i="77"/>
  <c r="AF71" i="78"/>
  <c r="AB72" i="78"/>
  <c r="AF72" i="78" s="1"/>
  <c r="W72" i="78"/>
  <c r="AO47" i="23"/>
  <c r="AB48" i="77" l="1"/>
  <c r="AB49" i="77" s="1"/>
  <c r="W49" i="77"/>
  <c r="W35" i="7" l="1"/>
  <c r="G193" i="92" s="1"/>
  <c r="W36" i="7"/>
  <c r="G194" i="92" s="1"/>
  <c r="W37" i="7"/>
  <c r="G195" i="92" s="1"/>
  <c r="W38" i="7"/>
  <c r="G196" i="92" s="1"/>
  <c r="W39" i="7"/>
  <c r="G197" i="92" s="1"/>
  <c r="W40" i="7"/>
  <c r="G198" i="92" s="1"/>
  <c r="W41" i="7"/>
  <c r="G199" i="92" s="1"/>
  <c r="W42" i="7"/>
  <c r="G200" i="92" s="1"/>
  <c r="W43" i="7"/>
  <c r="G201" i="92" s="1"/>
  <c r="W44" i="7"/>
  <c r="G202" i="92" s="1"/>
  <c r="W45" i="7"/>
  <c r="G203" i="92" s="1"/>
  <c r="W46" i="7"/>
  <c r="G204" i="92" s="1"/>
  <c r="W34" i="7"/>
  <c r="G192" i="92" s="1"/>
  <c r="W15" i="5"/>
  <c r="G58" i="92" s="1"/>
  <c r="W16" i="5"/>
  <c r="G59" i="92" s="1"/>
  <c r="W17" i="5"/>
  <c r="G60" i="92" s="1"/>
  <c r="W18" i="5"/>
  <c r="G61" i="92" s="1"/>
  <c r="W19" i="5"/>
  <c r="G62" i="92" s="1"/>
  <c r="W20" i="5"/>
  <c r="G63" i="92" s="1"/>
  <c r="W21" i="5"/>
  <c r="G64" i="92" s="1"/>
  <c r="W22" i="5"/>
  <c r="G65" i="92" s="1"/>
  <c r="W23" i="5"/>
  <c r="G66" i="92" s="1"/>
  <c r="W24" i="5"/>
  <c r="G67" i="92" s="1"/>
  <c r="W25" i="5"/>
  <c r="G68" i="92" s="1"/>
  <c r="W26" i="5"/>
  <c r="G69" i="92" s="1"/>
  <c r="W27" i="5"/>
  <c r="G70" i="92" s="1"/>
  <c r="W28" i="5"/>
  <c r="G71" i="92" s="1"/>
  <c r="W29" i="5"/>
  <c r="G72" i="92" s="1"/>
  <c r="W30" i="5"/>
  <c r="G73" i="92" s="1"/>
  <c r="W31" i="5"/>
  <c r="G74" i="92" s="1"/>
  <c r="W32" i="5"/>
  <c r="G75" i="92" s="1"/>
  <c r="W33" i="5"/>
  <c r="G76" i="92" s="1"/>
  <c r="W34" i="5"/>
  <c r="G77" i="92" s="1"/>
  <c r="W35" i="5"/>
  <c r="G78" i="92" s="1"/>
  <c r="W36" i="5"/>
  <c r="G79" i="92" s="1"/>
  <c r="W37" i="5"/>
  <c r="G80" i="92" s="1"/>
  <c r="W38" i="5"/>
  <c r="G81" i="92" s="1"/>
  <c r="W39" i="5"/>
  <c r="G82" i="92" s="1"/>
  <c r="W40" i="5"/>
  <c r="G83" i="92" s="1"/>
  <c r="W41" i="5"/>
  <c r="G84" i="92" s="1"/>
  <c r="W42" i="5"/>
  <c r="G85" i="92" s="1"/>
  <c r="W43" i="5"/>
  <c r="G86" i="92" s="1"/>
  <c r="W44" i="5"/>
  <c r="G87" i="92" s="1"/>
  <c r="W45" i="5"/>
  <c r="G88" i="92" s="1"/>
  <c r="W46" i="5"/>
  <c r="G89" i="92" s="1"/>
  <c r="W47" i="5"/>
  <c r="G90" i="92" s="1"/>
  <c r="W48" i="5"/>
  <c r="G91" i="92" s="1"/>
  <c r="W49" i="5"/>
  <c r="G92" i="92" s="1"/>
  <c r="W50" i="5"/>
  <c r="G93" i="92" s="1"/>
  <c r="W51" i="5"/>
  <c r="G94" i="92" s="1"/>
  <c r="W52" i="5"/>
  <c r="G95" i="92" s="1"/>
  <c r="W53" i="5"/>
  <c r="G96" i="92" s="1"/>
  <c r="W54" i="5"/>
  <c r="G97" i="92" s="1"/>
  <c r="W55" i="5"/>
  <c r="G98" i="92" s="1"/>
  <c r="W56" i="5"/>
  <c r="G99" i="92" s="1"/>
  <c r="W57" i="5"/>
  <c r="G100" i="92" s="1"/>
  <c r="W58" i="5"/>
  <c r="G101" i="92" s="1"/>
  <c r="W59" i="5"/>
  <c r="G102" i="92" s="1"/>
  <c r="W60" i="5"/>
  <c r="G103" i="92" s="1"/>
  <c r="W61" i="5"/>
  <c r="G104" i="92" s="1"/>
  <c r="W62" i="5"/>
  <c r="G105" i="92" s="1"/>
  <c r="W14" i="5"/>
  <c r="G57" i="92" s="1"/>
  <c r="W13" i="5"/>
  <c r="G56" i="92" s="1"/>
  <c r="W14" i="20"/>
  <c r="G3" i="92" s="1"/>
  <c r="W15" i="20"/>
  <c r="G4" i="92" s="1"/>
  <c r="W16" i="20"/>
  <c r="G5" i="92" s="1"/>
  <c r="W17" i="20"/>
  <c r="G6" i="92" s="1"/>
  <c r="W18" i="20"/>
  <c r="G7" i="92" s="1"/>
  <c r="W19" i="20"/>
  <c r="G8" i="92" s="1"/>
  <c r="W20" i="20"/>
  <c r="G9" i="92" s="1"/>
  <c r="W21" i="20"/>
  <c r="G10" i="92" s="1"/>
  <c r="W22" i="20"/>
  <c r="G11" i="92" s="1"/>
  <c r="W23" i="20"/>
  <c r="G12" i="92" s="1"/>
  <c r="W24" i="20"/>
  <c r="G13" i="92" s="1"/>
  <c r="W25" i="20"/>
  <c r="G14" i="92" s="1"/>
  <c r="W26" i="20"/>
  <c r="G15" i="92" s="1"/>
  <c r="W27" i="20"/>
  <c r="G16" i="92" s="1"/>
  <c r="W28" i="20"/>
  <c r="G17" i="92" s="1"/>
  <c r="W29" i="20"/>
  <c r="G18" i="92" s="1"/>
  <c r="W30" i="20"/>
  <c r="G19" i="92" s="1"/>
  <c r="W31" i="20"/>
  <c r="G20" i="92" s="1"/>
  <c r="W32" i="20"/>
  <c r="G21" i="92" s="1"/>
  <c r="W33" i="20"/>
  <c r="G22" i="92" s="1"/>
  <c r="W34" i="20"/>
  <c r="G23" i="92" s="1"/>
  <c r="W35" i="20"/>
  <c r="G24" i="92" s="1"/>
  <c r="W36" i="20"/>
  <c r="G25" i="92" s="1"/>
  <c r="W37" i="20"/>
  <c r="G26" i="92" s="1"/>
  <c r="W38" i="20"/>
  <c r="G27" i="92" s="1"/>
  <c r="W39" i="20"/>
  <c r="G28" i="92" s="1"/>
  <c r="W40" i="20"/>
  <c r="G29" i="92" s="1"/>
  <c r="W41" i="20"/>
  <c r="G30" i="92" s="1"/>
  <c r="W42" i="20"/>
  <c r="G31" i="92" s="1"/>
  <c r="W43" i="20"/>
  <c r="G32" i="92" s="1"/>
  <c r="W44" i="20"/>
  <c r="G33" i="92" s="1"/>
  <c r="W45" i="20"/>
  <c r="G34" i="92" s="1"/>
  <c r="W46" i="20"/>
  <c r="G35" i="92" s="1"/>
  <c r="W47" i="20"/>
  <c r="G36" i="92" s="1"/>
  <c r="W48" i="20"/>
  <c r="G37" i="92" s="1"/>
  <c r="W49" i="20"/>
  <c r="G38" i="92" s="1"/>
  <c r="W50" i="20"/>
  <c r="G39" i="92" s="1"/>
  <c r="W51" i="20"/>
  <c r="G40" i="92" s="1"/>
  <c r="W52" i="20"/>
  <c r="G41" i="92" s="1"/>
  <c r="W53" i="20"/>
  <c r="G42" i="92" s="1"/>
  <c r="W54" i="20"/>
  <c r="G43" i="92" s="1"/>
  <c r="W55" i="20"/>
  <c r="G44" i="92" s="1"/>
  <c r="W56" i="20"/>
  <c r="G45" i="92" s="1"/>
  <c r="W57" i="20"/>
  <c r="G46" i="92" s="1"/>
  <c r="W58" i="20"/>
  <c r="G47" i="92" s="1"/>
  <c r="W59" i="20"/>
  <c r="G48" i="92" s="1"/>
  <c r="W60" i="20"/>
  <c r="G49" i="92" s="1"/>
  <c r="W61" i="20"/>
  <c r="G50" i="92" s="1"/>
  <c r="W62" i="20"/>
  <c r="G51" i="92" s="1"/>
  <c r="W13" i="20"/>
  <c r="AJ62" i="47"/>
  <c r="AE49" i="23"/>
  <c r="AE42" i="23"/>
  <c r="AE41" i="23"/>
  <c r="AE66" i="23"/>
  <c r="AB61" i="32"/>
  <c r="AB61" i="13"/>
  <c r="AE63" i="23" s="1"/>
  <c r="AB61" i="33"/>
  <c r="AE62" i="23" s="1"/>
  <c r="AB61" i="12"/>
  <c r="AE61" i="23" s="1"/>
  <c r="AB135" i="10"/>
  <c r="AB63" i="9"/>
  <c r="AB63" i="8"/>
  <c r="AE48" i="23" s="1"/>
  <c r="AB52" i="8"/>
  <c r="AE46" i="23" s="1"/>
  <c r="AB38" i="8"/>
  <c r="AE45" i="23" s="1"/>
  <c r="AB28" i="8"/>
  <c r="AE44" i="23" s="1"/>
  <c r="AB65" i="7"/>
  <c r="AB68" i="6"/>
  <c r="AE40" i="23" s="1"/>
  <c r="AB53" i="6"/>
  <c r="AB23" i="6"/>
  <c r="AE38" i="23" s="1"/>
  <c r="AB63" i="5"/>
  <c r="AB65" i="5" s="1"/>
  <c r="AE37" i="23" s="1"/>
  <c r="AB43" i="9"/>
  <c r="AB63" i="20"/>
  <c r="AB65" i="20" s="1"/>
  <c r="AE36" i="23" s="1"/>
  <c r="AB61" i="47"/>
  <c r="AF13" i="20" l="1"/>
  <c r="G2" i="92"/>
  <c r="AE64" i="23"/>
  <c r="AE43" i="23"/>
  <c r="AE39" i="23"/>
  <c r="AJ136" i="10"/>
  <c r="AE47" i="23" l="1"/>
  <c r="AB11" i="50"/>
  <c r="AF11" i="50" l="1"/>
  <c r="X10" i="50"/>
  <c r="AF10" i="50" s="1"/>
  <c r="X9" i="50"/>
  <c r="AF9" i="50" s="1"/>
  <c r="X8" i="50"/>
  <c r="AF8" i="50" s="1"/>
  <c r="X7" i="50"/>
  <c r="AF7" i="50" s="1"/>
  <c r="E66" i="23"/>
  <c r="AN66" i="23" s="1"/>
  <c r="E65" i="23"/>
  <c r="AN65" i="23" s="1"/>
  <c r="W7" i="49"/>
  <c r="W8" i="49"/>
  <c r="AN8" i="49"/>
  <c r="AV8" i="49"/>
  <c r="W9" i="49"/>
  <c r="AN9" i="49"/>
  <c r="AV9" i="49"/>
  <c r="W10" i="49"/>
  <c r="AN10" i="49"/>
  <c r="AV10" i="49"/>
  <c r="W11" i="49"/>
  <c r="AN11" i="49"/>
  <c r="AV11" i="49"/>
  <c r="W12" i="49"/>
  <c r="W13" i="49"/>
  <c r="AN13" i="49"/>
  <c r="AV13" i="49"/>
  <c r="W14" i="49"/>
  <c r="AN14" i="49"/>
  <c r="AV14" i="49"/>
  <c r="W15" i="49"/>
  <c r="AN15" i="49"/>
  <c r="AV15" i="49"/>
  <c r="W16" i="49"/>
  <c r="AN16" i="49"/>
  <c r="AV16" i="49"/>
  <c r="W17" i="49"/>
  <c r="AN17" i="49"/>
  <c r="AV17" i="49"/>
  <c r="W18" i="49"/>
  <c r="AN18" i="49"/>
  <c r="AV18" i="49"/>
  <c r="W19" i="49"/>
  <c r="AN19" i="49"/>
  <c r="AV19" i="49"/>
  <c r="W20" i="49"/>
  <c r="AN20" i="49"/>
  <c r="AV20" i="49"/>
  <c r="W21" i="49"/>
  <c r="AN21" i="49"/>
  <c r="AV21" i="49"/>
  <c r="W22" i="49"/>
  <c r="AN22" i="49"/>
  <c r="AV22" i="49"/>
  <c r="W23" i="49"/>
  <c r="AN23" i="49"/>
  <c r="AV23" i="49"/>
  <c r="W24" i="49"/>
  <c r="AN24" i="49"/>
  <c r="AV24" i="49"/>
  <c r="W25" i="49"/>
  <c r="AN25" i="49"/>
  <c r="AV25" i="49"/>
  <c r="W26" i="49"/>
  <c r="AN26" i="49"/>
  <c r="AV26" i="49"/>
  <c r="W27" i="49"/>
  <c r="AN27" i="49"/>
  <c r="AV27" i="49"/>
  <c r="W28" i="49"/>
  <c r="AN28" i="49"/>
  <c r="AV28" i="49"/>
  <c r="W29" i="49"/>
  <c r="AN29" i="49"/>
  <c r="AV29" i="49"/>
  <c r="W30" i="49"/>
  <c r="AN30" i="49"/>
  <c r="AV30" i="49"/>
  <c r="W31" i="49"/>
  <c r="AN31" i="49"/>
  <c r="AV31" i="49"/>
  <c r="W32" i="49"/>
  <c r="AN32" i="49"/>
  <c r="AV32" i="49"/>
  <c r="W33" i="49"/>
  <c r="AN33" i="49"/>
  <c r="AV33" i="49"/>
  <c r="W34" i="49"/>
  <c r="AN34" i="49"/>
  <c r="AV34" i="49"/>
  <c r="W35" i="49"/>
  <c r="AN35" i="49"/>
  <c r="AV35" i="49"/>
  <c r="W36" i="49"/>
  <c r="AN36" i="49"/>
  <c r="AV36" i="49"/>
  <c r="W37" i="49"/>
  <c r="AN37" i="49"/>
  <c r="AV37" i="49"/>
  <c r="W38" i="49"/>
  <c r="AN38" i="49"/>
  <c r="AV38" i="49"/>
  <c r="W39" i="49"/>
  <c r="AN39" i="49"/>
  <c r="AV39" i="49"/>
  <c r="W40" i="49"/>
  <c r="AN40" i="49"/>
  <c r="AV40" i="49"/>
  <c r="AB41" i="49"/>
  <c r="AE65" i="23" s="1"/>
  <c r="W45" i="49"/>
  <c r="W46" i="49"/>
  <c r="W47" i="49"/>
  <c r="W48" i="49"/>
  <c r="W49" i="49"/>
  <c r="W50" i="49"/>
  <c r="W51" i="49"/>
  <c r="W52" i="49"/>
  <c r="W53" i="49"/>
  <c r="W54" i="49"/>
  <c r="W55" i="49"/>
  <c r="W56" i="49"/>
  <c r="W57" i="49"/>
  <c r="W58" i="49"/>
  <c r="AF45" i="49" l="1"/>
  <c r="G728" i="92"/>
  <c r="A728" i="92" s="1"/>
  <c r="AF55" i="49"/>
  <c r="G738" i="92"/>
  <c r="A738" i="92" s="1"/>
  <c r="AF54" i="49"/>
  <c r="G737" i="92"/>
  <c r="A737" i="92" s="1"/>
  <c r="AF53" i="49"/>
  <c r="G736" i="92"/>
  <c r="A736" i="92" s="1"/>
  <c r="AF51" i="49"/>
  <c r="G734" i="92"/>
  <c r="A734" i="92" s="1"/>
  <c r="AF48" i="49"/>
  <c r="G731" i="92"/>
  <c r="A731" i="92" s="1"/>
  <c r="AF57" i="49"/>
  <c r="G740" i="92"/>
  <c r="A740" i="92" s="1"/>
  <c r="AF46" i="49"/>
  <c r="G729" i="92"/>
  <c r="A729" i="92" s="1"/>
  <c r="AF52" i="49"/>
  <c r="G735" i="92"/>
  <c r="A735" i="92" s="1"/>
  <c r="AF50" i="49"/>
  <c r="G733" i="92"/>
  <c r="A733" i="92" s="1"/>
  <c r="AF58" i="49"/>
  <c r="G741" i="92"/>
  <c r="A741" i="92" s="1"/>
  <c r="AF47" i="49"/>
  <c r="G730" i="92"/>
  <c r="A730" i="92" s="1"/>
  <c r="AF56" i="49"/>
  <c r="G739" i="92"/>
  <c r="A739" i="92" s="1"/>
  <c r="AF49" i="49"/>
  <c r="G732" i="92"/>
  <c r="A732" i="92" s="1"/>
  <c r="AF39" i="49"/>
  <c r="G723" i="92"/>
  <c r="A723" i="92" s="1"/>
  <c r="AF29" i="49"/>
  <c r="G713" i="92"/>
  <c r="A713" i="92" s="1"/>
  <c r="AF19" i="49"/>
  <c r="G703" i="92"/>
  <c r="A703" i="92" s="1"/>
  <c r="AF32" i="49"/>
  <c r="G716" i="92"/>
  <c r="A716" i="92" s="1"/>
  <c r="AF22" i="49"/>
  <c r="G706" i="92"/>
  <c r="A706" i="92" s="1"/>
  <c r="AF8" i="49"/>
  <c r="G692" i="92"/>
  <c r="A692" i="92" s="1"/>
  <c r="AF35" i="49"/>
  <c r="G719" i="92"/>
  <c r="A719" i="92" s="1"/>
  <c r="AF25" i="49"/>
  <c r="G709" i="92"/>
  <c r="A709" i="92" s="1"/>
  <c r="AF15" i="49"/>
  <c r="G699" i="92"/>
  <c r="A699" i="92" s="1"/>
  <c r="AF11" i="49"/>
  <c r="G695" i="92"/>
  <c r="A695" i="92" s="1"/>
  <c r="AF7" i="49"/>
  <c r="G691" i="92"/>
  <c r="A691" i="92" s="1"/>
  <c r="AF38" i="49"/>
  <c r="G722" i="92"/>
  <c r="A722" i="92" s="1"/>
  <c r="AF28" i="49"/>
  <c r="G712" i="92"/>
  <c r="A712" i="92" s="1"/>
  <c r="AF18" i="49"/>
  <c r="G702" i="92"/>
  <c r="A702" i="92" s="1"/>
  <c r="AF31" i="49"/>
  <c r="G715" i="92"/>
  <c r="A715" i="92" s="1"/>
  <c r="AF21" i="49"/>
  <c r="G705" i="92"/>
  <c r="A705" i="92" s="1"/>
  <c r="AF34" i="49"/>
  <c r="G718" i="92"/>
  <c r="A718" i="92" s="1"/>
  <c r="AF24" i="49"/>
  <c r="G708" i="92"/>
  <c r="A708" i="92" s="1"/>
  <c r="AF14" i="49"/>
  <c r="G698" i="92"/>
  <c r="A698" i="92" s="1"/>
  <c r="AF10" i="49"/>
  <c r="G694" i="92"/>
  <c r="A694" i="92" s="1"/>
  <c r="AF37" i="49"/>
  <c r="G721" i="92"/>
  <c r="A721" i="92" s="1"/>
  <c r="AF27" i="49"/>
  <c r="G711" i="92"/>
  <c r="A711" i="92" s="1"/>
  <c r="AF17" i="49"/>
  <c r="G701" i="92"/>
  <c r="A701" i="92" s="1"/>
  <c r="AF40" i="49"/>
  <c r="G724" i="92"/>
  <c r="A724" i="92" s="1"/>
  <c r="AF30" i="49"/>
  <c r="G714" i="92"/>
  <c r="A714" i="92" s="1"/>
  <c r="AF20" i="49"/>
  <c r="G704" i="92"/>
  <c r="A704" i="92" s="1"/>
  <c r="AF33" i="49"/>
  <c r="G717" i="92"/>
  <c r="A717" i="92" s="1"/>
  <c r="AF23" i="49"/>
  <c r="G707" i="92"/>
  <c r="A707" i="92" s="1"/>
  <c r="AF13" i="49"/>
  <c r="G697" i="92"/>
  <c r="A697" i="92" s="1"/>
  <c r="AF9" i="49"/>
  <c r="G693" i="92"/>
  <c r="A693" i="92" s="1"/>
  <c r="AF36" i="49"/>
  <c r="G720" i="92"/>
  <c r="A720" i="92" s="1"/>
  <c r="AF26" i="49"/>
  <c r="G710" i="92"/>
  <c r="A710" i="92" s="1"/>
  <c r="AF16" i="49"/>
  <c r="G700" i="92"/>
  <c r="A700" i="92" s="1"/>
  <c r="AF12" i="49"/>
  <c r="G696" i="92"/>
  <c r="A696" i="92" s="1"/>
  <c r="W59" i="49"/>
  <c r="W41" i="49"/>
  <c r="AV7" i="49"/>
  <c r="AV41" i="49" s="1"/>
  <c r="AN7" i="49"/>
  <c r="AN41" i="49" s="1"/>
  <c r="AF59" i="49" l="1"/>
  <c r="G742" i="92"/>
  <c r="AF41" i="49"/>
  <c r="G725" i="92"/>
  <c r="W60" i="32"/>
  <c r="G687" i="92" s="1"/>
  <c r="A687" i="92" s="1"/>
  <c r="W59" i="32"/>
  <c r="W58" i="32"/>
  <c r="W57" i="32"/>
  <c r="W56" i="32"/>
  <c r="W55" i="32"/>
  <c r="W54" i="32"/>
  <c r="W53" i="32"/>
  <c r="W52" i="32"/>
  <c r="W51" i="32"/>
  <c r="W50" i="32"/>
  <c r="W49" i="32"/>
  <c r="W48" i="32"/>
  <c r="W47" i="32"/>
  <c r="G674" i="92" s="1"/>
  <c r="A674" i="92" s="1"/>
  <c r="W46" i="32"/>
  <c r="W45" i="32"/>
  <c r="W44" i="32"/>
  <c r="W43" i="32"/>
  <c r="W42" i="32"/>
  <c r="W41" i="32"/>
  <c r="W40" i="32"/>
  <c r="W39" i="32"/>
  <c r="W38" i="32"/>
  <c r="W37" i="32"/>
  <c r="W36" i="32"/>
  <c r="W35" i="32"/>
  <c r="W34" i="32"/>
  <c r="W33" i="32"/>
  <c r="W32" i="32"/>
  <c r="W31" i="32"/>
  <c r="W30" i="32"/>
  <c r="W29" i="32"/>
  <c r="W28" i="32"/>
  <c r="W27" i="32"/>
  <c r="W26" i="32"/>
  <c r="W25" i="32"/>
  <c r="G652" i="92" s="1"/>
  <c r="A652" i="92" s="1"/>
  <c r="W24" i="32"/>
  <c r="W23" i="32"/>
  <c r="W22" i="32"/>
  <c r="W21" i="32"/>
  <c r="W20" i="32"/>
  <c r="W19" i="32"/>
  <c r="W18" i="32"/>
  <c r="G645" i="92" s="1"/>
  <c r="A645" i="92" s="1"/>
  <c r="W17" i="32"/>
  <c r="W16" i="32"/>
  <c r="G643" i="92" s="1"/>
  <c r="A643" i="92" s="1"/>
  <c r="W15" i="32"/>
  <c r="W14" i="32"/>
  <c r="W13" i="32"/>
  <c r="W12" i="32"/>
  <c r="G639" i="92" s="1"/>
  <c r="A639" i="92" s="1"/>
  <c r="W11" i="32"/>
  <c r="W10" i="32"/>
  <c r="W9" i="32"/>
  <c r="W8" i="32"/>
  <c r="W7" i="32"/>
  <c r="G634" i="92" s="1"/>
  <c r="A634" i="92" s="1"/>
  <c r="W60" i="13"/>
  <c r="W59" i="13"/>
  <c r="W58" i="13"/>
  <c r="W57" i="13"/>
  <c r="W56" i="13"/>
  <c r="W55" i="13"/>
  <c r="W54" i="13"/>
  <c r="W53" i="13"/>
  <c r="W52" i="13"/>
  <c r="W51" i="13"/>
  <c r="G621" i="92" s="1"/>
  <c r="A621" i="92" s="1"/>
  <c r="W50" i="13"/>
  <c r="G620" i="92" s="1"/>
  <c r="A620" i="92" s="1"/>
  <c r="W49" i="13"/>
  <c r="G619" i="92" s="1"/>
  <c r="A619" i="92" s="1"/>
  <c r="W48" i="13"/>
  <c r="G618" i="92" s="1"/>
  <c r="A618" i="92" s="1"/>
  <c r="W47" i="13"/>
  <c r="W46" i="13"/>
  <c r="W45" i="13"/>
  <c r="W44" i="13"/>
  <c r="W43" i="13"/>
  <c r="W42" i="13"/>
  <c r="W41" i="13"/>
  <c r="W40" i="13"/>
  <c r="W39" i="13"/>
  <c r="W38" i="13"/>
  <c r="W37" i="13"/>
  <c r="W36" i="13"/>
  <c r="W35" i="13"/>
  <c r="W34" i="13"/>
  <c r="W33" i="13"/>
  <c r="W32" i="13"/>
  <c r="W31" i="13"/>
  <c r="W30" i="13"/>
  <c r="W29" i="13"/>
  <c r="W28" i="13"/>
  <c r="W27" i="13"/>
  <c r="W26" i="13"/>
  <c r="G596" i="92" s="1"/>
  <c r="A596" i="92" s="1"/>
  <c r="W25" i="13"/>
  <c r="G595" i="92" s="1"/>
  <c r="A595" i="92" s="1"/>
  <c r="W24" i="13"/>
  <c r="W23" i="13"/>
  <c r="G593" i="92" s="1"/>
  <c r="A593" i="92" s="1"/>
  <c r="W22" i="13"/>
  <c r="W21" i="13"/>
  <c r="W20" i="13"/>
  <c r="W19" i="13"/>
  <c r="W18" i="13"/>
  <c r="W17" i="13"/>
  <c r="W16" i="13"/>
  <c r="G586" i="92" s="1"/>
  <c r="A586" i="92" s="1"/>
  <c r="W15" i="13"/>
  <c r="W14" i="13"/>
  <c r="G584" i="92" s="1"/>
  <c r="A584" i="92" s="1"/>
  <c r="W13" i="13"/>
  <c r="G583" i="92" s="1"/>
  <c r="A583" i="92" s="1"/>
  <c r="W12" i="13"/>
  <c r="W11" i="13"/>
  <c r="W10" i="13"/>
  <c r="W9" i="13"/>
  <c r="W8" i="13"/>
  <c r="G578" i="92" s="1"/>
  <c r="A578" i="92" s="1"/>
  <c r="W7" i="13"/>
  <c r="G577" i="92" s="1"/>
  <c r="A577" i="92" s="1"/>
  <c r="AF11" i="32" l="1"/>
  <c r="G638" i="92"/>
  <c r="A638" i="92" s="1"/>
  <c r="AF21" i="32"/>
  <c r="G648" i="92"/>
  <c r="A648" i="92" s="1"/>
  <c r="AF31" i="32"/>
  <c r="G658" i="92"/>
  <c r="A658" i="92" s="1"/>
  <c r="AF41" i="32"/>
  <c r="G668" i="92"/>
  <c r="A668" i="92" s="1"/>
  <c r="AF51" i="32"/>
  <c r="G678" i="92"/>
  <c r="A678" i="92" s="1"/>
  <c r="AF22" i="32"/>
  <c r="G649" i="92"/>
  <c r="A649" i="92" s="1"/>
  <c r="AF32" i="32"/>
  <c r="G659" i="92"/>
  <c r="A659" i="92" s="1"/>
  <c r="AF42" i="32"/>
  <c r="G669" i="92"/>
  <c r="A669" i="92" s="1"/>
  <c r="AF52" i="32"/>
  <c r="G679" i="92"/>
  <c r="A679" i="92" s="1"/>
  <c r="AF13" i="32"/>
  <c r="G640" i="92"/>
  <c r="A640" i="92" s="1"/>
  <c r="AF23" i="32"/>
  <c r="G650" i="92"/>
  <c r="A650" i="92" s="1"/>
  <c r="AF33" i="32"/>
  <c r="G660" i="92"/>
  <c r="A660" i="92" s="1"/>
  <c r="AF43" i="32"/>
  <c r="G670" i="92"/>
  <c r="A670" i="92" s="1"/>
  <c r="AF53" i="32"/>
  <c r="G680" i="92"/>
  <c r="A680" i="92" s="1"/>
  <c r="AF14" i="32"/>
  <c r="G641" i="92"/>
  <c r="A641" i="92" s="1"/>
  <c r="AF24" i="32"/>
  <c r="G651" i="92"/>
  <c r="A651" i="92" s="1"/>
  <c r="AF34" i="32"/>
  <c r="G661" i="92"/>
  <c r="A661" i="92" s="1"/>
  <c r="AF44" i="32"/>
  <c r="G671" i="92"/>
  <c r="A671" i="92" s="1"/>
  <c r="AF54" i="32"/>
  <c r="G681" i="92"/>
  <c r="A681" i="92" s="1"/>
  <c r="AF15" i="32"/>
  <c r="G642" i="92"/>
  <c r="A642" i="92" s="1"/>
  <c r="AF35" i="32"/>
  <c r="G662" i="92"/>
  <c r="A662" i="92" s="1"/>
  <c r="AF45" i="32"/>
  <c r="G672" i="92"/>
  <c r="A672" i="92" s="1"/>
  <c r="AF55" i="32"/>
  <c r="G682" i="92"/>
  <c r="A682" i="92" s="1"/>
  <c r="AF26" i="32"/>
  <c r="G653" i="92"/>
  <c r="A653" i="92" s="1"/>
  <c r="AF36" i="32"/>
  <c r="G663" i="92"/>
  <c r="A663" i="92" s="1"/>
  <c r="AF46" i="32"/>
  <c r="G673" i="92"/>
  <c r="A673" i="92" s="1"/>
  <c r="AF56" i="32"/>
  <c r="G683" i="92"/>
  <c r="A683" i="92" s="1"/>
  <c r="AF17" i="32"/>
  <c r="G644" i="92"/>
  <c r="A644" i="92" s="1"/>
  <c r="AF27" i="32"/>
  <c r="G654" i="92"/>
  <c r="A654" i="92" s="1"/>
  <c r="AF37" i="32"/>
  <c r="G664" i="92"/>
  <c r="A664" i="92" s="1"/>
  <c r="AF57" i="32"/>
  <c r="G684" i="92"/>
  <c r="A684" i="92" s="1"/>
  <c r="AF8" i="32"/>
  <c r="G635" i="92"/>
  <c r="A635" i="92" s="1"/>
  <c r="AF28" i="32"/>
  <c r="G655" i="92"/>
  <c r="A655" i="92" s="1"/>
  <c r="AF38" i="32"/>
  <c r="G665" i="92"/>
  <c r="A665" i="92" s="1"/>
  <c r="AF48" i="32"/>
  <c r="G675" i="92"/>
  <c r="A675" i="92" s="1"/>
  <c r="AF58" i="32"/>
  <c r="G685" i="92"/>
  <c r="A685" i="92" s="1"/>
  <c r="AF9" i="32"/>
  <c r="G636" i="92"/>
  <c r="A636" i="92" s="1"/>
  <c r="AF19" i="32"/>
  <c r="G646" i="92"/>
  <c r="A646" i="92" s="1"/>
  <c r="AF29" i="32"/>
  <c r="G656" i="92"/>
  <c r="A656" i="92" s="1"/>
  <c r="AF39" i="32"/>
  <c r="G666" i="92"/>
  <c r="A666" i="92" s="1"/>
  <c r="AF49" i="32"/>
  <c r="G676" i="92"/>
  <c r="A676" i="92" s="1"/>
  <c r="AF59" i="32"/>
  <c r="G686" i="92"/>
  <c r="A686" i="92" s="1"/>
  <c r="AF10" i="32"/>
  <c r="G637" i="92"/>
  <c r="A637" i="92" s="1"/>
  <c r="AF20" i="32"/>
  <c r="G647" i="92"/>
  <c r="A647" i="92" s="1"/>
  <c r="AF30" i="32"/>
  <c r="G657" i="92"/>
  <c r="A657" i="92" s="1"/>
  <c r="AF40" i="32"/>
  <c r="G667" i="92"/>
  <c r="A667" i="92" s="1"/>
  <c r="AF50" i="32"/>
  <c r="G677" i="92"/>
  <c r="A677" i="92" s="1"/>
  <c r="AF15" i="13"/>
  <c r="G585" i="92"/>
  <c r="A585" i="92" s="1"/>
  <c r="AF35" i="13"/>
  <c r="G605" i="92"/>
  <c r="A605" i="92" s="1"/>
  <c r="AF45" i="13"/>
  <c r="G615" i="92"/>
  <c r="A615" i="92" s="1"/>
  <c r="AF55" i="13"/>
  <c r="G625" i="92"/>
  <c r="A625" i="92" s="1"/>
  <c r="AF36" i="13"/>
  <c r="G606" i="92"/>
  <c r="A606" i="92" s="1"/>
  <c r="AF46" i="13"/>
  <c r="G616" i="92"/>
  <c r="A616" i="92" s="1"/>
  <c r="AF56" i="13"/>
  <c r="G626" i="92"/>
  <c r="A626" i="92" s="1"/>
  <c r="AF17" i="13"/>
  <c r="G587" i="92"/>
  <c r="A587" i="92" s="1"/>
  <c r="AF27" i="13"/>
  <c r="G597" i="92"/>
  <c r="A597" i="92" s="1"/>
  <c r="AF37" i="13"/>
  <c r="G607" i="92"/>
  <c r="A607" i="92" s="1"/>
  <c r="AF47" i="13"/>
  <c r="G617" i="92"/>
  <c r="A617" i="92" s="1"/>
  <c r="AF57" i="13"/>
  <c r="G627" i="92"/>
  <c r="A627" i="92" s="1"/>
  <c r="AF18" i="13"/>
  <c r="G588" i="92"/>
  <c r="A588" i="92" s="1"/>
  <c r="AF28" i="13"/>
  <c r="G598" i="92"/>
  <c r="A598" i="92" s="1"/>
  <c r="AF38" i="13"/>
  <c r="G608" i="92"/>
  <c r="A608" i="92" s="1"/>
  <c r="AF58" i="13"/>
  <c r="G628" i="92"/>
  <c r="A628" i="92" s="1"/>
  <c r="AF9" i="13"/>
  <c r="G579" i="92"/>
  <c r="A579" i="92" s="1"/>
  <c r="AF19" i="13"/>
  <c r="G589" i="92"/>
  <c r="A589" i="92" s="1"/>
  <c r="AF29" i="13"/>
  <c r="G599" i="92"/>
  <c r="A599" i="92" s="1"/>
  <c r="AF39" i="13"/>
  <c r="G609" i="92"/>
  <c r="A609" i="92" s="1"/>
  <c r="AF59" i="13"/>
  <c r="G629" i="92"/>
  <c r="A629" i="92" s="1"/>
  <c r="AF10" i="13"/>
  <c r="G580" i="92"/>
  <c r="A580" i="92" s="1"/>
  <c r="AF20" i="13"/>
  <c r="G590" i="92"/>
  <c r="A590" i="92" s="1"/>
  <c r="AF30" i="13"/>
  <c r="G600" i="92"/>
  <c r="A600" i="92" s="1"/>
  <c r="AF40" i="13"/>
  <c r="G610" i="92"/>
  <c r="A610" i="92" s="1"/>
  <c r="AF60" i="13"/>
  <c r="G630" i="92"/>
  <c r="A630" i="92" s="1"/>
  <c r="AF11" i="13"/>
  <c r="G581" i="92"/>
  <c r="A581" i="92" s="1"/>
  <c r="AF21" i="13"/>
  <c r="G591" i="92"/>
  <c r="A591" i="92" s="1"/>
  <c r="AF31" i="13"/>
  <c r="G601" i="92"/>
  <c r="A601" i="92" s="1"/>
  <c r="AF41" i="13"/>
  <c r="G611" i="92"/>
  <c r="A611" i="92" s="1"/>
  <c r="AF12" i="13"/>
  <c r="G582" i="92"/>
  <c r="A582" i="92" s="1"/>
  <c r="AF22" i="13"/>
  <c r="G592" i="92"/>
  <c r="A592" i="92" s="1"/>
  <c r="AF32" i="13"/>
  <c r="G602" i="92"/>
  <c r="A602" i="92" s="1"/>
  <c r="AF42" i="13"/>
  <c r="G612" i="92"/>
  <c r="A612" i="92" s="1"/>
  <c r="AF52" i="13"/>
  <c r="G622" i="92"/>
  <c r="A622" i="92" s="1"/>
  <c r="AF33" i="13"/>
  <c r="G603" i="92"/>
  <c r="A603" i="92" s="1"/>
  <c r="AF43" i="13"/>
  <c r="G613" i="92"/>
  <c r="A613" i="92" s="1"/>
  <c r="AF53" i="13"/>
  <c r="G623" i="92"/>
  <c r="A623" i="92" s="1"/>
  <c r="AF24" i="13"/>
  <c r="G594" i="92"/>
  <c r="A594" i="92" s="1"/>
  <c r="AF34" i="13"/>
  <c r="G604" i="92"/>
  <c r="A604" i="92" s="1"/>
  <c r="AF44" i="13"/>
  <c r="G614" i="92"/>
  <c r="A614" i="92" s="1"/>
  <c r="AF54" i="13"/>
  <c r="G624" i="92"/>
  <c r="A624" i="92" s="1"/>
  <c r="AF16" i="32"/>
  <c r="AN16" i="32"/>
  <c r="AF7" i="32"/>
  <c r="W61" i="32"/>
  <c r="AN7" i="32"/>
  <c r="AF25" i="32"/>
  <c r="AN25" i="32"/>
  <c r="AF51" i="13"/>
  <c r="AV51" i="13"/>
  <c r="AN51" i="13"/>
  <c r="AF23" i="13"/>
  <c r="AN23" i="13"/>
  <c r="AF48" i="13"/>
  <c r="AN48" i="13"/>
  <c r="AV48" i="13"/>
  <c r="AF8" i="13"/>
  <c r="AN8" i="13"/>
  <c r="AF16" i="13"/>
  <c r="AN16" i="13"/>
  <c r="AF49" i="13"/>
  <c r="AV49" i="13"/>
  <c r="AN49" i="13"/>
  <c r="AF25" i="13"/>
  <c r="AN25" i="13"/>
  <c r="AF26" i="13"/>
  <c r="AN26" i="13"/>
  <c r="AF50" i="13"/>
  <c r="AN50" i="13"/>
  <c r="AF7" i="13"/>
  <c r="AN7" i="13"/>
  <c r="AV7" i="13"/>
  <c r="AV47" i="32"/>
  <c r="AF47" i="32"/>
  <c r="AV18" i="32"/>
  <c r="AF18" i="32"/>
  <c r="AN12" i="32"/>
  <c r="AF12" i="32"/>
  <c r="AN60" i="32"/>
  <c r="AF60" i="32"/>
  <c r="AN13" i="13"/>
  <c r="AF13" i="13"/>
  <c r="AF14" i="13"/>
  <c r="AN14" i="13"/>
  <c r="AV14" i="13"/>
  <c r="W61" i="13"/>
  <c r="W60" i="33"/>
  <c r="W59" i="33"/>
  <c r="W58" i="33"/>
  <c r="W57" i="33"/>
  <c r="W56" i="33"/>
  <c r="W55" i="33"/>
  <c r="W54" i="33"/>
  <c r="W53" i="33"/>
  <c r="W52" i="33"/>
  <c r="W51" i="33"/>
  <c r="W50" i="33"/>
  <c r="W49" i="33"/>
  <c r="W48" i="33"/>
  <c r="W47" i="33"/>
  <c r="W46" i="33"/>
  <c r="W45" i="33"/>
  <c r="W44" i="33"/>
  <c r="W43" i="33"/>
  <c r="W42" i="33"/>
  <c r="W41" i="33"/>
  <c r="W40" i="33"/>
  <c r="W39" i="33"/>
  <c r="W38" i="33"/>
  <c r="W37" i="33"/>
  <c r="W36" i="33"/>
  <c r="W35" i="33"/>
  <c r="W34" i="33"/>
  <c r="W33" i="33"/>
  <c r="W32" i="33"/>
  <c r="W31" i="33"/>
  <c r="W30" i="33"/>
  <c r="W29" i="33"/>
  <c r="W28" i="33"/>
  <c r="W27" i="33"/>
  <c r="W26" i="33"/>
  <c r="W25" i="33"/>
  <c r="W24" i="33"/>
  <c r="W23" i="33"/>
  <c r="W22" i="33"/>
  <c r="W21" i="33"/>
  <c r="W20" i="33"/>
  <c r="W19" i="33"/>
  <c r="G532" i="92" s="1"/>
  <c r="A532" i="92" s="1"/>
  <c r="W18" i="33"/>
  <c r="G531" i="92" s="1"/>
  <c r="A531" i="92" s="1"/>
  <c r="W17" i="33"/>
  <c r="W16" i="33"/>
  <c r="W15" i="33"/>
  <c r="W14" i="33"/>
  <c r="W13" i="33"/>
  <c r="W12" i="33"/>
  <c r="G525" i="92" s="1"/>
  <c r="A525" i="92" s="1"/>
  <c r="W11" i="33"/>
  <c r="W10" i="33"/>
  <c r="G523" i="92" s="1"/>
  <c r="A523" i="92" s="1"/>
  <c r="W9" i="33"/>
  <c r="W8" i="33"/>
  <c r="W7" i="33"/>
  <c r="G520" i="92" s="1"/>
  <c r="A520" i="92" s="1"/>
  <c r="AF61" i="32" l="1"/>
  <c r="G688" i="92"/>
  <c r="AF56" i="33"/>
  <c r="G569" i="92"/>
  <c r="A569" i="92" s="1"/>
  <c r="AF58" i="33"/>
  <c r="G571" i="92"/>
  <c r="A571" i="92" s="1"/>
  <c r="AF26" i="33"/>
  <c r="G539" i="92"/>
  <c r="A539" i="92" s="1"/>
  <c r="AF46" i="33"/>
  <c r="G559" i="92"/>
  <c r="A559" i="92" s="1"/>
  <c r="AF17" i="33"/>
  <c r="G530" i="92"/>
  <c r="A530" i="92" s="1"/>
  <c r="AF37" i="33"/>
  <c r="G550" i="92"/>
  <c r="A550" i="92" s="1"/>
  <c r="AF48" i="33"/>
  <c r="G561" i="92"/>
  <c r="A561" i="92" s="1"/>
  <c r="AF9" i="33"/>
  <c r="G522" i="92"/>
  <c r="A522" i="92" s="1"/>
  <c r="AF30" i="33"/>
  <c r="G543" i="92"/>
  <c r="A543" i="92" s="1"/>
  <c r="AF50" i="33"/>
  <c r="G563" i="92"/>
  <c r="A563" i="92" s="1"/>
  <c r="AF21" i="33"/>
  <c r="G534" i="92"/>
  <c r="A534" i="92" s="1"/>
  <c r="AF51" i="33"/>
  <c r="G564" i="92"/>
  <c r="A564" i="92" s="1"/>
  <c r="AF16" i="33"/>
  <c r="G529" i="92"/>
  <c r="A529" i="92" s="1"/>
  <c r="AF36" i="33"/>
  <c r="G549" i="92"/>
  <c r="A549" i="92" s="1"/>
  <c r="AF27" i="33"/>
  <c r="G540" i="92"/>
  <c r="A540" i="92" s="1"/>
  <c r="AF47" i="33"/>
  <c r="G560" i="92"/>
  <c r="A560" i="92" s="1"/>
  <c r="AF57" i="33"/>
  <c r="G570" i="92"/>
  <c r="A570" i="92" s="1"/>
  <c r="AV8" i="33"/>
  <c r="G521" i="92"/>
  <c r="A521" i="92" s="1"/>
  <c r="AF28" i="33"/>
  <c r="G541" i="92"/>
  <c r="A541" i="92" s="1"/>
  <c r="AF38" i="33"/>
  <c r="G551" i="92"/>
  <c r="A551" i="92" s="1"/>
  <c r="AF29" i="33"/>
  <c r="G542" i="92"/>
  <c r="A542" i="92" s="1"/>
  <c r="AF39" i="33"/>
  <c r="G552" i="92"/>
  <c r="A552" i="92" s="1"/>
  <c r="AF49" i="33"/>
  <c r="G562" i="92"/>
  <c r="A562" i="92" s="1"/>
  <c r="AF59" i="33"/>
  <c r="G572" i="92"/>
  <c r="A572" i="92" s="1"/>
  <c r="AF20" i="33"/>
  <c r="G533" i="92"/>
  <c r="A533" i="92" s="1"/>
  <c r="AF40" i="33"/>
  <c r="G553" i="92"/>
  <c r="A553" i="92" s="1"/>
  <c r="AF60" i="33"/>
  <c r="G573" i="92"/>
  <c r="A573" i="92" s="1"/>
  <c r="AF11" i="33"/>
  <c r="G524" i="92"/>
  <c r="A524" i="92" s="1"/>
  <c r="AF31" i="33"/>
  <c r="G544" i="92"/>
  <c r="A544" i="92" s="1"/>
  <c r="AF41" i="33"/>
  <c r="G554" i="92"/>
  <c r="A554" i="92" s="1"/>
  <c r="AF22" i="33"/>
  <c r="G535" i="92"/>
  <c r="A535" i="92" s="1"/>
  <c r="AF32" i="33"/>
  <c r="G545" i="92"/>
  <c r="A545" i="92" s="1"/>
  <c r="AF42" i="33"/>
  <c r="G555" i="92"/>
  <c r="A555" i="92" s="1"/>
  <c r="AF52" i="33"/>
  <c r="G565" i="92"/>
  <c r="A565" i="92" s="1"/>
  <c r="AF13" i="33"/>
  <c r="G526" i="92"/>
  <c r="A526" i="92" s="1"/>
  <c r="AF23" i="33"/>
  <c r="G536" i="92"/>
  <c r="A536" i="92" s="1"/>
  <c r="AF33" i="33"/>
  <c r="G546" i="92"/>
  <c r="A546" i="92" s="1"/>
  <c r="AF43" i="33"/>
  <c r="G556" i="92"/>
  <c r="A556" i="92" s="1"/>
  <c r="AF53" i="33"/>
  <c r="G566" i="92"/>
  <c r="A566" i="92" s="1"/>
  <c r="AF14" i="33"/>
  <c r="G527" i="92"/>
  <c r="A527" i="92" s="1"/>
  <c r="AF24" i="33"/>
  <c r="G537" i="92"/>
  <c r="A537" i="92" s="1"/>
  <c r="AF34" i="33"/>
  <c r="G547" i="92"/>
  <c r="A547" i="92" s="1"/>
  <c r="AF44" i="33"/>
  <c r="G557" i="92"/>
  <c r="A557" i="92" s="1"/>
  <c r="AF54" i="33"/>
  <c r="G567" i="92"/>
  <c r="A567" i="92" s="1"/>
  <c r="AF15" i="33"/>
  <c r="G528" i="92"/>
  <c r="A528" i="92" s="1"/>
  <c r="AF25" i="33"/>
  <c r="G538" i="92"/>
  <c r="A538" i="92" s="1"/>
  <c r="AF35" i="33"/>
  <c r="G548" i="92"/>
  <c r="A548" i="92" s="1"/>
  <c r="AF45" i="33"/>
  <c r="G558" i="92"/>
  <c r="A558" i="92" s="1"/>
  <c r="AF55" i="33"/>
  <c r="G568" i="92"/>
  <c r="A568" i="92" s="1"/>
  <c r="AF61" i="13"/>
  <c r="G631" i="92"/>
  <c r="W61" i="33"/>
  <c r="AF7" i="33"/>
  <c r="AN7" i="33"/>
  <c r="AV18" i="33"/>
  <c r="AF18" i="33"/>
  <c r="AN19" i="33"/>
  <c r="AF19" i="33"/>
  <c r="AV12" i="33"/>
  <c r="AF12" i="33"/>
  <c r="AV10" i="33"/>
  <c r="AF10" i="33"/>
  <c r="AN8" i="33"/>
  <c r="AF8" i="33"/>
  <c r="W60" i="12"/>
  <c r="W59" i="12"/>
  <c r="W58" i="12"/>
  <c r="W57" i="12"/>
  <c r="W56" i="12"/>
  <c r="W55" i="12"/>
  <c r="W54" i="12"/>
  <c r="W53" i="12"/>
  <c r="W52" i="12"/>
  <c r="W51" i="12"/>
  <c r="W50" i="12"/>
  <c r="W49" i="12"/>
  <c r="W48" i="12"/>
  <c r="W47" i="12"/>
  <c r="W46" i="12"/>
  <c r="W45" i="12"/>
  <c r="W44" i="12"/>
  <c r="W43" i="12"/>
  <c r="W42" i="12"/>
  <c r="W41" i="12"/>
  <c r="W40" i="12"/>
  <c r="W39" i="12"/>
  <c r="W38" i="12"/>
  <c r="W37" i="12"/>
  <c r="W36" i="12"/>
  <c r="W35" i="12"/>
  <c r="W34" i="12"/>
  <c r="W33" i="12"/>
  <c r="W32" i="12"/>
  <c r="W31" i="12"/>
  <c r="W30" i="12"/>
  <c r="W29" i="12"/>
  <c r="W28" i="12"/>
  <c r="W27" i="12"/>
  <c r="W26" i="12"/>
  <c r="W25" i="12"/>
  <c r="W24" i="12"/>
  <c r="W23" i="12"/>
  <c r="W22" i="12"/>
  <c r="W21" i="12"/>
  <c r="W20" i="12"/>
  <c r="W19" i="12"/>
  <c r="W18" i="12"/>
  <c r="W17" i="12"/>
  <c r="W16" i="12"/>
  <c r="W15" i="12"/>
  <c r="W14" i="12"/>
  <c r="W13" i="12"/>
  <c r="W12" i="12"/>
  <c r="W11" i="12"/>
  <c r="W10" i="12"/>
  <c r="W9" i="12"/>
  <c r="W8" i="12"/>
  <c r="G464" i="92" s="1"/>
  <c r="A464" i="92" s="1"/>
  <c r="W7" i="12"/>
  <c r="G463" i="92" s="1"/>
  <c r="A463" i="92" s="1"/>
  <c r="Z62" i="23" l="1"/>
  <c r="G574" i="92"/>
  <c r="AF16" i="12"/>
  <c r="G472" i="92"/>
  <c r="A472" i="92" s="1"/>
  <c r="AF26" i="12"/>
  <c r="G482" i="92"/>
  <c r="A482" i="92" s="1"/>
  <c r="AF36" i="12"/>
  <c r="G492" i="92"/>
  <c r="A492" i="92" s="1"/>
  <c r="AF46" i="12"/>
  <c r="G502" i="92"/>
  <c r="A502" i="92" s="1"/>
  <c r="AF56" i="12"/>
  <c r="G512" i="92"/>
  <c r="A512" i="92" s="1"/>
  <c r="AF17" i="12"/>
  <c r="G473" i="92"/>
  <c r="A473" i="92" s="1"/>
  <c r="AF27" i="12"/>
  <c r="G483" i="92"/>
  <c r="A483" i="92" s="1"/>
  <c r="AF37" i="12"/>
  <c r="G493" i="92"/>
  <c r="A493" i="92" s="1"/>
  <c r="AF47" i="12"/>
  <c r="G503" i="92"/>
  <c r="A503" i="92" s="1"/>
  <c r="AF57" i="12"/>
  <c r="G513" i="92"/>
  <c r="A513" i="92" s="1"/>
  <c r="AF18" i="12"/>
  <c r="G474" i="92"/>
  <c r="A474" i="92" s="1"/>
  <c r="AF28" i="12"/>
  <c r="G484" i="92"/>
  <c r="A484" i="92" s="1"/>
  <c r="AF38" i="12"/>
  <c r="G494" i="92"/>
  <c r="A494" i="92" s="1"/>
  <c r="AF48" i="12"/>
  <c r="G504" i="92"/>
  <c r="A504" i="92" s="1"/>
  <c r="AF58" i="12"/>
  <c r="G514" i="92"/>
  <c r="A514" i="92" s="1"/>
  <c r="AF9" i="12"/>
  <c r="G465" i="92"/>
  <c r="A465" i="92" s="1"/>
  <c r="AF19" i="12"/>
  <c r="G475" i="92"/>
  <c r="A475" i="92" s="1"/>
  <c r="AF29" i="12"/>
  <c r="G485" i="92"/>
  <c r="A485" i="92" s="1"/>
  <c r="AF39" i="12"/>
  <c r="G495" i="92"/>
  <c r="A495" i="92" s="1"/>
  <c r="AF49" i="12"/>
  <c r="G505" i="92"/>
  <c r="A505" i="92" s="1"/>
  <c r="AF59" i="12"/>
  <c r="G515" i="92"/>
  <c r="A515" i="92" s="1"/>
  <c r="AF10" i="12"/>
  <c r="G466" i="92"/>
  <c r="A466" i="92" s="1"/>
  <c r="AF20" i="12"/>
  <c r="G476" i="92"/>
  <c r="A476" i="92" s="1"/>
  <c r="AF30" i="12"/>
  <c r="G486" i="92"/>
  <c r="A486" i="92" s="1"/>
  <c r="AF40" i="12"/>
  <c r="G496" i="92"/>
  <c r="A496" i="92" s="1"/>
  <c r="AF50" i="12"/>
  <c r="G506" i="92"/>
  <c r="A506" i="92" s="1"/>
  <c r="AF60" i="12"/>
  <c r="G516" i="92"/>
  <c r="A516" i="92" s="1"/>
  <c r="AF11" i="12"/>
  <c r="G467" i="92"/>
  <c r="A467" i="92" s="1"/>
  <c r="AF21" i="12"/>
  <c r="G477" i="92"/>
  <c r="A477" i="92" s="1"/>
  <c r="AF31" i="12"/>
  <c r="G487" i="92"/>
  <c r="A487" i="92" s="1"/>
  <c r="AF41" i="12"/>
  <c r="G497" i="92"/>
  <c r="A497" i="92" s="1"/>
  <c r="AF51" i="12"/>
  <c r="G507" i="92"/>
  <c r="A507" i="92" s="1"/>
  <c r="AF12" i="12"/>
  <c r="G468" i="92"/>
  <c r="A468" i="92" s="1"/>
  <c r="AF22" i="12"/>
  <c r="G478" i="92"/>
  <c r="A478" i="92" s="1"/>
  <c r="AF32" i="12"/>
  <c r="G488" i="92"/>
  <c r="A488" i="92" s="1"/>
  <c r="AF42" i="12"/>
  <c r="G498" i="92"/>
  <c r="A498" i="92" s="1"/>
  <c r="AF52" i="12"/>
  <c r="G508" i="92"/>
  <c r="A508" i="92" s="1"/>
  <c r="AF13" i="12"/>
  <c r="G469" i="92"/>
  <c r="A469" i="92" s="1"/>
  <c r="AF23" i="12"/>
  <c r="G479" i="92"/>
  <c r="A479" i="92" s="1"/>
  <c r="AF33" i="12"/>
  <c r="G489" i="92"/>
  <c r="A489" i="92" s="1"/>
  <c r="AF43" i="12"/>
  <c r="G499" i="92"/>
  <c r="A499" i="92" s="1"/>
  <c r="AF53" i="12"/>
  <c r="G509" i="92"/>
  <c r="A509" i="92" s="1"/>
  <c r="AF14" i="12"/>
  <c r="G470" i="92"/>
  <c r="A470" i="92" s="1"/>
  <c r="AF24" i="12"/>
  <c r="G480" i="92"/>
  <c r="A480" i="92" s="1"/>
  <c r="AF34" i="12"/>
  <c r="G490" i="92"/>
  <c r="A490" i="92" s="1"/>
  <c r="AF44" i="12"/>
  <c r="G500" i="92"/>
  <c r="A500" i="92" s="1"/>
  <c r="AF54" i="12"/>
  <c r="G510" i="92"/>
  <c r="A510" i="92" s="1"/>
  <c r="AF15" i="12"/>
  <c r="G471" i="92"/>
  <c r="A471" i="92" s="1"/>
  <c r="AF25" i="12"/>
  <c r="G481" i="92"/>
  <c r="A481" i="92" s="1"/>
  <c r="AF35" i="12"/>
  <c r="G491" i="92"/>
  <c r="A491" i="92" s="1"/>
  <c r="AF45" i="12"/>
  <c r="G501" i="92"/>
  <c r="A501" i="92" s="1"/>
  <c r="AF55" i="12"/>
  <c r="G511" i="92"/>
  <c r="A511" i="92" s="1"/>
  <c r="AF8" i="12"/>
  <c r="AN8" i="12"/>
  <c r="AF7" i="12"/>
  <c r="AN7" i="12"/>
  <c r="AV7" i="12"/>
  <c r="AV61" i="33"/>
  <c r="AN61" i="33"/>
  <c r="W61" i="12"/>
  <c r="AF61" i="12" l="1"/>
  <c r="G517" i="92"/>
  <c r="C52" i="23"/>
  <c r="C63" i="47"/>
  <c r="C62" i="47"/>
  <c r="C61" i="47"/>
  <c r="W60" i="47"/>
  <c r="AF60" i="47" s="1"/>
  <c r="W59" i="47"/>
  <c r="AF59" i="47" s="1"/>
  <c r="W58" i="47"/>
  <c r="AF58" i="47" s="1"/>
  <c r="W57" i="47"/>
  <c r="AF57" i="47" s="1"/>
  <c r="W56" i="47"/>
  <c r="AF56" i="47" s="1"/>
  <c r="W55" i="47"/>
  <c r="AF55" i="47" s="1"/>
  <c r="W54" i="47"/>
  <c r="AF54" i="47" s="1"/>
  <c r="W53" i="47"/>
  <c r="AF53" i="47" s="1"/>
  <c r="W52" i="47"/>
  <c r="AF52" i="47" s="1"/>
  <c r="W51" i="47"/>
  <c r="AF51" i="47" s="1"/>
  <c r="W50" i="47"/>
  <c r="AF50" i="47" s="1"/>
  <c r="W49" i="47"/>
  <c r="AF49" i="47" s="1"/>
  <c r="W48" i="47"/>
  <c r="AF48" i="47" s="1"/>
  <c r="W47" i="47"/>
  <c r="AF47" i="47" s="1"/>
  <c r="W46" i="47"/>
  <c r="AF46" i="47" s="1"/>
  <c r="W45" i="47"/>
  <c r="AF45" i="47" s="1"/>
  <c r="W44" i="47"/>
  <c r="AF44" i="47" s="1"/>
  <c r="W43" i="47"/>
  <c r="AF43" i="47" s="1"/>
  <c r="W42" i="47"/>
  <c r="AF42" i="47" s="1"/>
  <c r="W41" i="47"/>
  <c r="AF41" i="47" s="1"/>
  <c r="W40" i="47"/>
  <c r="AF40" i="47" s="1"/>
  <c r="W39" i="47"/>
  <c r="AF39" i="47" s="1"/>
  <c r="W38" i="47"/>
  <c r="AF38" i="47" s="1"/>
  <c r="W37" i="47"/>
  <c r="AF37" i="47" s="1"/>
  <c r="W36" i="47"/>
  <c r="AF36" i="47" s="1"/>
  <c r="W35" i="47"/>
  <c r="AF35" i="47" s="1"/>
  <c r="W34" i="47"/>
  <c r="AF34" i="47" s="1"/>
  <c r="W33" i="47"/>
  <c r="AF33" i="47" s="1"/>
  <c r="W32" i="47"/>
  <c r="AF32" i="47" s="1"/>
  <c r="W31" i="47"/>
  <c r="AF31" i="47" s="1"/>
  <c r="W30" i="47"/>
  <c r="AF30" i="47" s="1"/>
  <c r="W29" i="47"/>
  <c r="AF29" i="47" s="1"/>
  <c r="W28" i="47"/>
  <c r="AF28" i="47" s="1"/>
  <c r="W27" i="47"/>
  <c r="AF27" i="47" s="1"/>
  <c r="W26" i="47"/>
  <c r="AF26" i="47" s="1"/>
  <c r="W25" i="47"/>
  <c r="AF25" i="47" s="1"/>
  <c r="W24" i="47"/>
  <c r="AF24" i="47" s="1"/>
  <c r="W23" i="47"/>
  <c r="AF23" i="47" s="1"/>
  <c r="W22" i="47"/>
  <c r="AF22" i="47" s="1"/>
  <c r="W21" i="47"/>
  <c r="AF21" i="47" s="1"/>
  <c r="W20" i="47"/>
  <c r="AF20" i="47" s="1"/>
  <c r="W19" i="47"/>
  <c r="AF19" i="47" s="1"/>
  <c r="W18" i="47"/>
  <c r="AF18" i="47" s="1"/>
  <c r="W17" i="47"/>
  <c r="AF17" i="47" s="1"/>
  <c r="W16" i="47"/>
  <c r="AF16" i="47" s="1"/>
  <c r="W15" i="47"/>
  <c r="AF15" i="47" s="1"/>
  <c r="W14" i="47"/>
  <c r="AF14" i="47" s="1"/>
  <c r="W13" i="47"/>
  <c r="AF13" i="47" s="1"/>
  <c r="W12" i="47"/>
  <c r="AF12" i="47" s="1"/>
  <c r="C12" i="47"/>
  <c r="C13" i="47" s="1"/>
  <c r="C14" i="47" s="1"/>
  <c r="C15" i="47" s="1"/>
  <c r="C16" i="47" s="1"/>
  <c r="C17" i="47" s="1"/>
  <c r="C18" i="47" s="1"/>
  <c r="C19" i="47" s="1"/>
  <c r="C20" i="47" s="1"/>
  <c r="C21" i="47" s="1"/>
  <c r="C22" i="47" s="1"/>
  <c r="C23" i="47" s="1"/>
  <c r="C24" i="47" s="1"/>
  <c r="C25" i="47" s="1"/>
  <c r="C26" i="47" s="1"/>
  <c r="C27" i="47" s="1"/>
  <c r="C28" i="47" s="1"/>
  <c r="C29" i="47" s="1"/>
  <c r="C30" i="47" s="1"/>
  <c r="C31" i="47" s="1"/>
  <c r="C32" i="47" s="1"/>
  <c r="C33" i="47" s="1"/>
  <c r="C34" i="47" s="1"/>
  <c r="C35" i="47" s="1"/>
  <c r="C36" i="47" s="1"/>
  <c r="C37" i="47" s="1"/>
  <c r="C38" i="47" s="1"/>
  <c r="C39" i="47" s="1"/>
  <c r="C40" i="47" s="1"/>
  <c r="C41" i="47" s="1"/>
  <c r="C42" i="47" s="1"/>
  <c r="C43" i="47" s="1"/>
  <c r="C44" i="47" s="1"/>
  <c r="C45" i="47" s="1"/>
  <c r="C46" i="47" s="1"/>
  <c r="C47" i="47" s="1"/>
  <c r="C48" i="47" s="1"/>
  <c r="C49" i="47" s="1"/>
  <c r="C50" i="47" s="1"/>
  <c r="C51" i="47" s="1"/>
  <c r="C52" i="47" s="1"/>
  <c r="C53" i="47" s="1"/>
  <c r="C54" i="47" s="1"/>
  <c r="C55" i="47" s="1"/>
  <c r="C56" i="47" s="1"/>
  <c r="C57" i="47" s="1"/>
  <c r="C58" i="47" s="1"/>
  <c r="C59" i="47" s="1"/>
  <c r="C60" i="47" s="1"/>
  <c r="W11" i="47"/>
  <c r="N52" i="23"/>
  <c r="W61" i="47" l="1"/>
  <c r="AF11" i="47"/>
  <c r="AT64" i="23"/>
  <c r="AT65" i="23"/>
  <c r="AT66" i="23"/>
  <c r="W62" i="47" l="1"/>
  <c r="AF61" i="47"/>
  <c r="E64" i="23"/>
  <c r="AN64" i="23" s="1"/>
  <c r="E62" i="23"/>
  <c r="AN62" i="23" s="1"/>
  <c r="AB62" i="47" l="1"/>
  <c r="W63" i="47"/>
  <c r="AI62" i="23"/>
  <c r="AT62" i="23"/>
  <c r="E52" i="23"/>
  <c r="AO52" i="23" s="1"/>
  <c r="AF61" i="33"/>
  <c r="AB63" i="47" l="1"/>
  <c r="AF63" i="47" s="1"/>
  <c r="AF62" i="47"/>
  <c r="AN61" i="32"/>
  <c r="AV61" i="32"/>
  <c r="Z52" i="23" l="1"/>
  <c r="X23" i="22"/>
  <c r="X24" i="22"/>
  <c r="AF24" i="22" s="1"/>
  <c r="X13" i="22"/>
  <c r="AF13" i="22" s="1"/>
  <c r="K1" i="92" a="1"/>
  <c r="X27" i="22"/>
  <c r="K1" i="92" l="1"/>
  <c r="I1" i="92" s="1"/>
  <c r="AI52" i="23"/>
  <c r="AW52" i="23"/>
  <c r="AT52" i="23"/>
  <c r="AF27" i="22"/>
  <c r="AF23" i="22"/>
  <c r="W64" i="10" l="1"/>
  <c r="W65" i="10"/>
  <c r="W66" i="10"/>
  <c r="W67" i="10"/>
  <c r="W68" i="10"/>
  <c r="W69" i="10"/>
  <c r="AF69" i="10" l="1"/>
  <c r="G394" i="92"/>
  <c r="AF68" i="10"/>
  <c r="G393" i="92"/>
  <c r="AF67" i="10"/>
  <c r="G392" i="92"/>
  <c r="AF66" i="10"/>
  <c r="G391" i="92"/>
  <c r="AF65" i="10"/>
  <c r="G390" i="92"/>
  <c r="AF64" i="10"/>
  <c r="G389" i="92"/>
  <c r="W13" i="10"/>
  <c r="W14" i="10"/>
  <c r="W15" i="10"/>
  <c r="W16" i="10"/>
  <c r="W17" i="10"/>
  <c r="W18" i="10"/>
  <c r="W19" i="10"/>
  <c r="W20" i="10"/>
  <c r="W21" i="10"/>
  <c r="W22" i="10"/>
  <c r="W23" i="10"/>
  <c r="W24" i="10"/>
  <c r="W25" i="10"/>
  <c r="W26" i="10"/>
  <c r="W27" i="10"/>
  <c r="W28" i="10"/>
  <c r="W29" i="10"/>
  <c r="W30" i="10"/>
  <c r="W31" i="10"/>
  <c r="W32" i="10"/>
  <c r="W33" i="10"/>
  <c r="W34" i="10"/>
  <c r="W35" i="10"/>
  <c r="W36" i="10"/>
  <c r="W37" i="10"/>
  <c r="W38" i="10"/>
  <c r="W39" i="10"/>
  <c r="AF30" i="10" l="1"/>
  <c r="G355" i="92"/>
  <c r="AF20" i="10"/>
  <c r="G345" i="92"/>
  <c r="AF39" i="10"/>
  <c r="G364" i="92"/>
  <c r="AF29" i="10"/>
  <c r="G354" i="92"/>
  <c r="AF19" i="10"/>
  <c r="G344" i="92"/>
  <c r="AF38" i="10"/>
  <c r="G363" i="92"/>
  <c r="AF28" i="10"/>
  <c r="G353" i="92"/>
  <c r="AF18" i="10"/>
  <c r="G343" i="92"/>
  <c r="AF37" i="10"/>
  <c r="G362" i="92"/>
  <c r="AF27" i="10"/>
  <c r="G352" i="92"/>
  <c r="AF17" i="10"/>
  <c r="G342" i="92"/>
  <c r="AF36" i="10"/>
  <c r="G361" i="92"/>
  <c r="AF26" i="10"/>
  <c r="G351" i="92"/>
  <c r="AF16" i="10"/>
  <c r="G341" i="92"/>
  <c r="AF35" i="10"/>
  <c r="G360" i="92"/>
  <c r="AF25" i="10"/>
  <c r="G350" i="92"/>
  <c r="AF15" i="10"/>
  <c r="G340" i="92"/>
  <c r="AF34" i="10"/>
  <c r="G359" i="92"/>
  <c r="AF24" i="10"/>
  <c r="G349" i="92"/>
  <c r="AF14" i="10"/>
  <c r="G339" i="92"/>
  <c r="AF33" i="10"/>
  <c r="G358" i="92"/>
  <c r="AF23" i="10"/>
  <c r="G348" i="92"/>
  <c r="AF13" i="10"/>
  <c r="G338" i="92"/>
  <c r="AF32" i="10"/>
  <c r="G357" i="92"/>
  <c r="AF22" i="10"/>
  <c r="G347" i="92"/>
  <c r="AF31" i="10"/>
  <c r="G356" i="92"/>
  <c r="AF21" i="10"/>
  <c r="G346" i="92"/>
  <c r="X12" i="22"/>
  <c r="X16" i="22"/>
  <c r="X95" i="22" l="1"/>
  <c r="AF12" i="22"/>
  <c r="AL13" i="20"/>
  <c r="AT13" i="20" s="1"/>
  <c r="W11" i="10"/>
  <c r="W12" i="10"/>
  <c r="W40" i="10"/>
  <c r="W41" i="10"/>
  <c r="W42" i="10"/>
  <c r="W43" i="10"/>
  <c r="W44" i="10"/>
  <c r="W45" i="10"/>
  <c r="W46" i="10"/>
  <c r="W47" i="10"/>
  <c r="W48" i="10"/>
  <c r="W49" i="10"/>
  <c r="W50" i="10"/>
  <c r="W51" i="10"/>
  <c r="W52" i="10"/>
  <c r="W60" i="10"/>
  <c r="W61" i="10"/>
  <c r="W62" i="10"/>
  <c r="W63" i="10"/>
  <c r="W10" i="10"/>
  <c r="G335" i="92" s="1"/>
  <c r="W54" i="10"/>
  <c r="W55" i="10"/>
  <c r="W56" i="10"/>
  <c r="W57" i="10"/>
  <c r="W58" i="10"/>
  <c r="W59" i="10"/>
  <c r="W53" i="10"/>
  <c r="AL34" i="7"/>
  <c r="AT34" i="7" s="1"/>
  <c r="AL35" i="7"/>
  <c r="AL36" i="7"/>
  <c r="AL37" i="7"/>
  <c r="AL38" i="7"/>
  <c r="AL39" i="7"/>
  <c r="AL40" i="7"/>
  <c r="AL41" i="7"/>
  <c r="AL42" i="7"/>
  <c r="AL43" i="7"/>
  <c r="AL44" i="7"/>
  <c r="AL45" i="7"/>
  <c r="AL46" i="7"/>
  <c r="E67" i="23"/>
  <c r="AV61" i="13"/>
  <c r="AN61" i="13"/>
  <c r="AT50" i="23"/>
  <c r="AF46" i="20"/>
  <c r="AF47" i="20"/>
  <c r="AF52" i="20"/>
  <c r="AF58" i="20"/>
  <c r="G283" i="92"/>
  <c r="G284" i="92"/>
  <c r="G285" i="92"/>
  <c r="G286" i="92"/>
  <c r="G287" i="92"/>
  <c r="G288" i="92"/>
  <c r="G289" i="92"/>
  <c r="G290" i="92"/>
  <c r="G292" i="92"/>
  <c r="G293" i="92"/>
  <c r="G294" i="92"/>
  <c r="G295" i="92"/>
  <c r="G296" i="92"/>
  <c r="G297" i="92"/>
  <c r="G298" i="92"/>
  <c r="G299" i="92"/>
  <c r="G300" i="92"/>
  <c r="G301" i="92"/>
  <c r="G302" i="92"/>
  <c r="G303" i="92"/>
  <c r="G304" i="92"/>
  <c r="G305" i="92"/>
  <c r="G306" i="92"/>
  <c r="G307" i="92"/>
  <c r="G308" i="92"/>
  <c r="G309" i="92"/>
  <c r="G310" i="92"/>
  <c r="G311" i="92"/>
  <c r="G282" i="92"/>
  <c r="AL13" i="9"/>
  <c r="AL14" i="9"/>
  <c r="AL15" i="9"/>
  <c r="AL16" i="9"/>
  <c r="AL17" i="9"/>
  <c r="AL18" i="9"/>
  <c r="AL19" i="9"/>
  <c r="AL20" i="9"/>
  <c r="AL21" i="9"/>
  <c r="G291" i="92" s="1"/>
  <c r="AL22" i="9"/>
  <c r="AL23" i="9"/>
  <c r="AL24" i="9"/>
  <c r="AL25" i="9"/>
  <c r="AL26" i="9"/>
  <c r="AL27" i="9"/>
  <c r="AL28" i="9"/>
  <c r="AL29" i="9"/>
  <c r="AL30" i="9"/>
  <c r="AL31" i="9"/>
  <c r="AL32" i="9"/>
  <c r="AL33" i="9"/>
  <c r="AL34" i="9"/>
  <c r="AL35" i="9"/>
  <c r="AL36" i="9"/>
  <c r="AL37" i="9"/>
  <c r="AL38" i="9"/>
  <c r="AL39" i="9"/>
  <c r="AL40" i="9"/>
  <c r="AL41" i="9"/>
  <c r="AL42" i="9"/>
  <c r="G281" i="92"/>
  <c r="AL44" i="20"/>
  <c r="AT44" i="20" s="1"/>
  <c r="AL45" i="20"/>
  <c r="AL46" i="20"/>
  <c r="AL47" i="20"/>
  <c r="AL48" i="20"/>
  <c r="AL49" i="20"/>
  <c r="AL50" i="20"/>
  <c r="AL51" i="20"/>
  <c r="AT51" i="20" s="1"/>
  <c r="AL52" i="20"/>
  <c r="AT52" i="20" s="1"/>
  <c r="AL53" i="20"/>
  <c r="G312" i="92"/>
  <c r="W58" i="9"/>
  <c r="W59" i="9"/>
  <c r="W60" i="9"/>
  <c r="W61" i="9"/>
  <c r="W62" i="9"/>
  <c r="W57" i="9"/>
  <c r="W49" i="9"/>
  <c r="W50" i="9"/>
  <c r="W51" i="9"/>
  <c r="W57" i="8"/>
  <c r="W58" i="8"/>
  <c r="W59" i="8"/>
  <c r="W60" i="8"/>
  <c r="W61" i="8"/>
  <c r="W62" i="8"/>
  <c r="W56" i="8"/>
  <c r="W43" i="8"/>
  <c r="W44" i="8"/>
  <c r="W45" i="8"/>
  <c r="W46" i="8"/>
  <c r="W47" i="8"/>
  <c r="W48" i="8"/>
  <c r="W49" i="8"/>
  <c r="W50" i="8"/>
  <c r="W51" i="8"/>
  <c r="W42" i="8"/>
  <c r="W33" i="8"/>
  <c r="W34" i="8"/>
  <c r="W35" i="8"/>
  <c r="W36" i="8"/>
  <c r="W37" i="8"/>
  <c r="W32" i="8"/>
  <c r="W11" i="8"/>
  <c r="W12" i="8"/>
  <c r="W13" i="8"/>
  <c r="W14" i="8"/>
  <c r="W15" i="8"/>
  <c r="W16" i="8"/>
  <c r="W17" i="8"/>
  <c r="W18" i="8"/>
  <c r="W19" i="8"/>
  <c r="W20" i="8"/>
  <c r="W21" i="8"/>
  <c r="W22" i="8"/>
  <c r="W23" i="8"/>
  <c r="W24" i="8"/>
  <c r="W25" i="8"/>
  <c r="W26" i="8"/>
  <c r="W27" i="8"/>
  <c r="W10" i="8"/>
  <c r="W56" i="7"/>
  <c r="W57" i="7"/>
  <c r="W54" i="7"/>
  <c r="W55" i="7"/>
  <c r="W58" i="7"/>
  <c r="W59" i="7"/>
  <c r="W60" i="7"/>
  <c r="W61" i="7"/>
  <c r="W62" i="7"/>
  <c r="W63" i="7"/>
  <c r="W64" i="7"/>
  <c r="W53" i="7"/>
  <c r="W13" i="7"/>
  <c r="W14" i="7"/>
  <c r="W15" i="7"/>
  <c r="W16" i="7"/>
  <c r="W17" i="7"/>
  <c r="W18" i="7"/>
  <c r="W19" i="7"/>
  <c r="W20" i="7"/>
  <c r="W21" i="7"/>
  <c r="W22" i="7"/>
  <c r="W23" i="7"/>
  <c r="W24" i="7"/>
  <c r="W25" i="7"/>
  <c r="W26" i="7"/>
  <c r="W27" i="7"/>
  <c r="W28" i="7"/>
  <c r="W12" i="7"/>
  <c r="W58" i="6"/>
  <c r="W59" i="6"/>
  <c r="W60" i="6"/>
  <c r="W61" i="6"/>
  <c r="W62" i="6"/>
  <c r="W63" i="6"/>
  <c r="W64" i="6"/>
  <c r="W65" i="6"/>
  <c r="W66" i="6"/>
  <c r="W67" i="6"/>
  <c r="W57" i="6"/>
  <c r="W28" i="6"/>
  <c r="W29" i="6"/>
  <c r="W30" i="6"/>
  <c r="W31" i="6"/>
  <c r="W32" i="6"/>
  <c r="W33" i="6"/>
  <c r="W34" i="6"/>
  <c r="W35" i="6"/>
  <c r="W36" i="6"/>
  <c r="W37" i="6"/>
  <c r="W38" i="6"/>
  <c r="W39" i="6"/>
  <c r="W40" i="6"/>
  <c r="W41" i="6"/>
  <c r="W42" i="6"/>
  <c r="W43" i="6"/>
  <c r="W44" i="6"/>
  <c r="W45" i="6"/>
  <c r="W46" i="6"/>
  <c r="W47" i="6"/>
  <c r="W48" i="6"/>
  <c r="W49" i="6"/>
  <c r="W50" i="6"/>
  <c r="W51" i="6"/>
  <c r="W52" i="6"/>
  <c r="W27" i="6"/>
  <c r="W11" i="6"/>
  <c r="W12" i="6"/>
  <c r="W13" i="6"/>
  <c r="W14" i="6"/>
  <c r="W15" i="6"/>
  <c r="W16" i="6"/>
  <c r="AF17" i="6"/>
  <c r="AF18" i="6"/>
  <c r="W19" i="6"/>
  <c r="W20" i="6"/>
  <c r="W21" i="6"/>
  <c r="W22" i="6"/>
  <c r="W10" i="6"/>
  <c r="AL41" i="5"/>
  <c r="AT41" i="5" s="1"/>
  <c r="AL15" i="20"/>
  <c r="AL19" i="20"/>
  <c r="AL27" i="20"/>
  <c r="AL13" i="5"/>
  <c r="AL40" i="5"/>
  <c r="AT40" i="5" s="1"/>
  <c r="AL48" i="5"/>
  <c r="AT48" i="5" s="1"/>
  <c r="AL62" i="5"/>
  <c r="AT62" i="5" s="1"/>
  <c r="AL37" i="5"/>
  <c r="AT37" i="5" s="1"/>
  <c r="AL28" i="5"/>
  <c r="AT28" i="5" s="1"/>
  <c r="AL19" i="5"/>
  <c r="AT19" i="5" s="1"/>
  <c r="AL18" i="5"/>
  <c r="AT18" i="5" s="1"/>
  <c r="AL15" i="5"/>
  <c r="AT15" i="5" s="1"/>
  <c r="AL51" i="5"/>
  <c r="AT51" i="5" s="1"/>
  <c r="AL41" i="20"/>
  <c r="AL39" i="20"/>
  <c r="AL40" i="20"/>
  <c r="AL38" i="20"/>
  <c r="AL34" i="20"/>
  <c r="AL35" i="20"/>
  <c r="AL36" i="20"/>
  <c r="AL37" i="20"/>
  <c r="AL33" i="20"/>
  <c r="AL29" i="20"/>
  <c r="AL30" i="20"/>
  <c r="AL31" i="20"/>
  <c r="AL32" i="20"/>
  <c r="AL28" i="20"/>
  <c r="AL22" i="20"/>
  <c r="AL23" i="20"/>
  <c r="AL24" i="20"/>
  <c r="AL25" i="20"/>
  <c r="AL26" i="20"/>
  <c r="AL21" i="20"/>
  <c r="AL14" i="20"/>
  <c r="AL16" i="20"/>
  <c r="AL17" i="20"/>
  <c r="AL18" i="20"/>
  <c r="AL20" i="20"/>
  <c r="E36" i="23"/>
  <c r="E37" i="23"/>
  <c r="E38" i="23"/>
  <c r="E39" i="23"/>
  <c r="E40" i="23"/>
  <c r="E41" i="23"/>
  <c r="E42" i="23"/>
  <c r="E43" i="23"/>
  <c r="E44" i="23"/>
  <c r="E45" i="23"/>
  <c r="E46" i="23"/>
  <c r="E48" i="23"/>
  <c r="AO48" i="23" s="1"/>
  <c r="E49" i="23"/>
  <c r="AO49" i="23" s="1"/>
  <c r="E50" i="23"/>
  <c r="AO50" i="23" s="1"/>
  <c r="E51" i="23"/>
  <c r="AO51" i="23" s="1"/>
  <c r="E61" i="23"/>
  <c r="E63" i="23"/>
  <c r="Z65" i="23"/>
  <c r="AI65" i="23" s="1"/>
  <c r="AL62" i="20"/>
  <c r="AF62" i="20"/>
  <c r="AL61" i="20"/>
  <c r="AL60" i="20"/>
  <c r="AF60" i="20"/>
  <c r="AL59" i="20"/>
  <c r="AL58" i="20"/>
  <c r="AL57" i="20"/>
  <c r="AT57" i="20" s="1"/>
  <c r="AL56" i="20"/>
  <c r="AL55" i="20"/>
  <c r="AL54" i="20"/>
  <c r="AF54" i="20"/>
  <c r="AL43" i="20"/>
  <c r="AL42" i="20"/>
  <c r="AF59" i="20"/>
  <c r="AF61" i="20"/>
  <c r="AF53" i="10" l="1"/>
  <c r="G378" i="92"/>
  <c r="AF61" i="10"/>
  <c r="G386" i="92"/>
  <c r="AF44" i="10"/>
  <c r="G369" i="92"/>
  <c r="AF59" i="10"/>
  <c r="G384" i="92"/>
  <c r="AF60" i="10"/>
  <c r="G385" i="92"/>
  <c r="AF43" i="10"/>
  <c r="G368" i="92"/>
  <c r="AF58" i="10"/>
  <c r="G383" i="92"/>
  <c r="AF52" i="10"/>
  <c r="G377" i="92"/>
  <c r="AF42" i="10"/>
  <c r="G367" i="92"/>
  <c r="AF57" i="10"/>
  <c r="G382" i="92"/>
  <c r="AF51" i="10"/>
  <c r="G376" i="92"/>
  <c r="AF41" i="10"/>
  <c r="G366" i="92"/>
  <c r="AF56" i="10"/>
  <c r="G381" i="92"/>
  <c r="AF50" i="10"/>
  <c r="G375" i="92"/>
  <c r="AF40" i="10"/>
  <c r="G365" i="92"/>
  <c r="AF55" i="10"/>
  <c r="G380" i="92"/>
  <c r="AF49" i="10"/>
  <c r="G374" i="92"/>
  <c r="AF12" i="10"/>
  <c r="G337" i="92"/>
  <c r="AF54" i="10"/>
  <c r="G379" i="92"/>
  <c r="AF48" i="10"/>
  <c r="G373" i="92"/>
  <c r="AF47" i="10"/>
  <c r="G372" i="92"/>
  <c r="AF63" i="10"/>
  <c r="G388" i="92"/>
  <c r="AF46" i="10"/>
  <c r="G371" i="92"/>
  <c r="AF62" i="10"/>
  <c r="G387" i="92"/>
  <c r="AF45" i="10"/>
  <c r="G370" i="92"/>
  <c r="AF62" i="9"/>
  <c r="G329" i="92"/>
  <c r="AF61" i="9"/>
  <c r="G328" i="92"/>
  <c r="AF60" i="9"/>
  <c r="G327" i="92"/>
  <c r="AF59" i="9"/>
  <c r="G326" i="92"/>
  <c r="AF58" i="9"/>
  <c r="G325" i="92"/>
  <c r="AF50" i="9"/>
  <c r="G316" i="92"/>
  <c r="AF49" i="9"/>
  <c r="G315" i="92"/>
  <c r="AF51" i="9"/>
  <c r="G317" i="92"/>
  <c r="AF62" i="8"/>
  <c r="G277" i="92"/>
  <c r="AF61" i="8"/>
  <c r="G276" i="92"/>
  <c r="AF59" i="8"/>
  <c r="G274" i="92"/>
  <c r="AF58" i="8"/>
  <c r="G273" i="92"/>
  <c r="AF57" i="8"/>
  <c r="G272" i="92"/>
  <c r="AF44" i="8"/>
  <c r="G259" i="92"/>
  <c r="AF42" i="8"/>
  <c r="G257" i="92"/>
  <c r="AF51" i="8"/>
  <c r="G266" i="92"/>
  <c r="AF50" i="8"/>
  <c r="G265" i="92"/>
  <c r="AF49" i="8"/>
  <c r="G264" i="92"/>
  <c r="AF48" i="8"/>
  <c r="G263" i="92"/>
  <c r="AF47" i="8"/>
  <c r="G262" i="92"/>
  <c r="AF46" i="8"/>
  <c r="G261" i="92"/>
  <c r="AF45" i="8"/>
  <c r="G260" i="92"/>
  <c r="AF34" i="8"/>
  <c r="G249" i="92"/>
  <c r="AF33" i="8"/>
  <c r="G248" i="92"/>
  <c r="AF32" i="8"/>
  <c r="G247" i="92"/>
  <c r="AF37" i="8"/>
  <c r="G252" i="92"/>
  <c r="AF36" i="8"/>
  <c r="G251" i="92"/>
  <c r="AF26" i="8"/>
  <c r="G241" i="92"/>
  <c r="AF15" i="8"/>
  <c r="G230" i="92"/>
  <c r="AF24" i="8"/>
  <c r="G239" i="92"/>
  <c r="AF13" i="8"/>
  <c r="G228" i="92"/>
  <c r="AF19" i="8"/>
  <c r="G234" i="92"/>
  <c r="AF16" i="8"/>
  <c r="G231" i="92"/>
  <c r="AF14" i="8"/>
  <c r="G229" i="92"/>
  <c r="AF22" i="8"/>
  <c r="G237" i="92"/>
  <c r="AF11" i="8"/>
  <c r="G226" i="92"/>
  <c r="AF20" i="8"/>
  <c r="G235" i="92"/>
  <c r="AF18" i="8"/>
  <c r="G233" i="92"/>
  <c r="AF25" i="8"/>
  <c r="G240" i="92"/>
  <c r="AF23" i="8"/>
  <c r="G238" i="92"/>
  <c r="AF12" i="8"/>
  <c r="G227" i="92"/>
  <c r="AF21" i="8"/>
  <c r="G236" i="92"/>
  <c r="AF27" i="8"/>
  <c r="G242" i="92"/>
  <c r="AF17" i="8"/>
  <c r="G232" i="92"/>
  <c r="AF61" i="7"/>
  <c r="G218" i="92"/>
  <c r="AF60" i="7"/>
  <c r="G217" i="92"/>
  <c r="AF55" i="7"/>
  <c r="G212" i="92"/>
  <c r="AF64" i="7"/>
  <c r="G221" i="92"/>
  <c r="AF56" i="7"/>
  <c r="G213" i="92"/>
  <c r="AF59" i="7"/>
  <c r="G216" i="92"/>
  <c r="AF54" i="7"/>
  <c r="G211" i="92"/>
  <c r="AF57" i="7"/>
  <c r="G214" i="92"/>
  <c r="AF63" i="7"/>
  <c r="G220" i="92"/>
  <c r="AF58" i="7"/>
  <c r="G215" i="92"/>
  <c r="AF53" i="7"/>
  <c r="G210" i="92"/>
  <c r="AF62" i="7"/>
  <c r="G219" i="92"/>
  <c r="AF27" i="7"/>
  <c r="G187" i="92"/>
  <c r="AF17" i="7"/>
  <c r="G177" i="92"/>
  <c r="AF26" i="7"/>
  <c r="G186" i="92"/>
  <c r="AF16" i="7"/>
  <c r="G176" i="92"/>
  <c r="AF25" i="7"/>
  <c r="G185" i="92"/>
  <c r="AF15" i="7"/>
  <c r="G175" i="92"/>
  <c r="AF24" i="7"/>
  <c r="G184" i="92"/>
  <c r="AF14" i="7"/>
  <c r="G174" i="92"/>
  <c r="AF23" i="7"/>
  <c r="G183" i="92"/>
  <c r="AF13" i="7"/>
  <c r="G173" i="92"/>
  <c r="AF22" i="7"/>
  <c r="G182" i="92"/>
  <c r="AF20" i="7"/>
  <c r="G180" i="92"/>
  <c r="AF12" i="7"/>
  <c r="G172" i="92"/>
  <c r="AF19" i="7"/>
  <c r="G179" i="92"/>
  <c r="AF28" i="7"/>
  <c r="G188" i="92"/>
  <c r="AF18" i="7"/>
  <c r="G178" i="92"/>
  <c r="AF66" i="6"/>
  <c r="G167" i="92"/>
  <c r="AF65" i="6"/>
  <c r="G166" i="92"/>
  <c r="AF64" i="6"/>
  <c r="G165" i="92"/>
  <c r="AF63" i="6"/>
  <c r="G164" i="92"/>
  <c r="AF62" i="6"/>
  <c r="G163" i="92"/>
  <c r="AF61" i="6"/>
  <c r="G162" i="92"/>
  <c r="AF60" i="6"/>
  <c r="G161" i="92"/>
  <c r="AF59" i="6"/>
  <c r="G160" i="92"/>
  <c r="AF58" i="6"/>
  <c r="G159" i="92"/>
  <c r="AF67" i="6"/>
  <c r="G168" i="92"/>
  <c r="AF52" i="6"/>
  <c r="G153" i="92"/>
  <c r="AF32" i="6"/>
  <c r="G133" i="92"/>
  <c r="AF51" i="6"/>
  <c r="G152" i="92"/>
  <c r="AF49" i="6"/>
  <c r="G150" i="92"/>
  <c r="AF45" i="6"/>
  <c r="G146" i="92"/>
  <c r="AF34" i="6"/>
  <c r="G135" i="92"/>
  <c r="AF27" i="6"/>
  <c r="G128" i="92"/>
  <c r="AF33" i="6"/>
  <c r="G134" i="92"/>
  <c r="AF42" i="6"/>
  <c r="G143" i="92"/>
  <c r="AF31" i="6"/>
  <c r="G132" i="92"/>
  <c r="AF41" i="6"/>
  <c r="G142" i="92"/>
  <c r="AF40" i="6"/>
  <c r="G141" i="92"/>
  <c r="AF35" i="6"/>
  <c r="G136" i="92"/>
  <c r="AF44" i="6"/>
  <c r="G145" i="92"/>
  <c r="AF43" i="6"/>
  <c r="G144" i="92"/>
  <c r="AF50" i="6"/>
  <c r="G151" i="92"/>
  <c r="AF39" i="6"/>
  <c r="G140" i="92"/>
  <c r="AF29" i="6"/>
  <c r="G130" i="92"/>
  <c r="AF48" i="6"/>
  <c r="G149" i="92"/>
  <c r="AF38" i="6"/>
  <c r="G139" i="92"/>
  <c r="AF28" i="6"/>
  <c r="G129" i="92"/>
  <c r="AF47" i="6"/>
  <c r="G148" i="92"/>
  <c r="AF37" i="6"/>
  <c r="G138" i="92"/>
  <c r="AF46" i="6"/>
  <c r="G147" i="92"/>
  <c r="AF36" i="6"/>
  <c r="G137" i="92"/>
  <c r="AF22" i="6"/>
  <c r="G123" i="92"/>
  <c r="AF12" i="6"/>
  <c r="G113" i="92"/>
  <c r="AF21" i="6"/>
  <c r="G122" i="92"/>
  <c r="AF11" i="6"/>
  <c r="G112" i="92"/>
  <c r="AF20" i="6"/>
  <c r="G121" i="92"/>
  <c r="AF19" i="6"/>
  <c r="G120" i="92"/>
  <c r="AF16" i="6"/>
  <c r="G117" i="92"/>
  <c r="AF15" i="6"/>
  <c r="G116" i="92"/>
  <c r="AF14" i="6"/>
  <c r="G115" i="92"/>
  <c r="AF10" i="6"/>
  <c r="G111" i="92"/>
  <c r="AF13" i="6"/>
  <c r="G114" i="92"/>
  <c r="AF11" i="10"/>
  <c r="G336" i="92"/>
  <c r="AF57" i="9"/>
  <c r="G324" i="92"/>
  <c r="AF60" i="8"/>
  <c r="G275" i="92"/>
  <c r="AF56" i="8"/>
  <c r="G271" i="92"/>
  <c r="AF43" i="8"/>
  <c r="G258" i="92"/>
  <c r="AF35" i="8"/>
  <c r="G250" i="92"/>
  <c r="AF10" i="8"/>
  <c r="G225" i="92"/>
  <c r="AF21" i="7"/>
  <c r="G181" i="92"/>
  <c r="AF57" i="6"/>
  <c r="G158" i="92"/>
  <c r="AF30" i="6"/>
  <c r="G131" i="92"/>
  <c r="AN57" i="20"/>
  <c r="AV57" i="20" s="1"/>
  <c r="AN52" i="20"/>
  <c r="AV52" i="20" s="1"/>
  <c r="AN50" i="20"/>
  <c r="AV50" i="20" s="1"/>
  <c r="AT50" i="20"/>
  <c r="AN62" i="20"/>
  <c r="AV62" i="20" s="1"/>
  <c r="AT62" i="20"/>
  <c r="AN49" i="20"/>
  <c r="AV49" i="20" s="1"/>
  <c r="AT49" i="20"/>
  <c r="AN60" i="20"/>
  <c r="AV60" i="20" s="1"/>
  <c r="AT60" i="20"/>
  <c r="AN48" i="20"/>
  <c r="AV48" i="20" s="1"/>
  <c r="AT48" i="20"/>
  <c r="AN54" i="20"/>
  <c r="AV54" i="20" s="1"/>
  <c r="AT54" i="20"/>
  <c r="AN55" i="20"/>
  <c r="AV55" i="20" s="1"/>
  <c r="AT55" i="20"/>
  <c r="AN42" i="20"/>
  <c r="AV42" i="20" s="1"/>
  <c r="AT42" i="20"/>
  <c r="AN43" i="20"/>
  <c r="AV43" i="20" s="1"/>
  <c r="AT43" i="20"/>
  <c r="AN58" i="20"/>
  <c r="AV58" i="20" s="1"/>
  <c r="AT58" i="20"/>
  <c r="AN47" i="20"/>
  <c r="AV47" i="20" s="1"/>
  <c r="AT47" i="20"/>
  <c r="AN44" i="20"/>
  <c r="AV44" i="20" s="1"/>
  <c r="AN59" i="20"/>
  <c r="AV59" i="20" s="1"/>
  <c r="AT59" i="20"/>
  <c r="AN41" i="20"/>
  <c r="AV41" i="20" s="1"/>
  <c r="AT41" i="20"/>
  <c r="AN46" i="20"/>
  <c r="AV46" i="20" s="1"/>
  <c r="AT46" i="20"/>
  <c r="AN61" i="20"/>
  <c r="AV61" i="20" s="1"/>
  <c r="AT61" i="20"/>
  <c r="AN56" i="20"/>
  <c r="AV56" i="20" s="1"/>
  <c r="AT56" i="20"/>
  <c r="AN51" i="20"/>
  <c r="AV51" i="20" s="1"/>
  <c r="AN53" i="20"/>
  <c r="AV53" i="20" s="1"/>
  <c r="AT53" i="20"/>
  <c r="AN45" i="20"/>
  <c r="AV45" i="20" s="1"/>
  <c r="AT45" i="20"/>
  <c r="W135" i="10"/>
  <c r="AN35" i="9"/>
  <c r="AV35" i="9" s="1"/>
  <c r="AT35" i="9"/>
  <c r="AN42" i="9"/>
  <c r="AV42" i="9" s="1"/>
  <c r="AT42" i="9"/>
  <c r="AN26" i="9"/>
  <c r="AV26" i="9" s="1"/>
  <c r="AT26" i="9"/>
  <c r="AN41" i="9"/>
  <c r="AV41" i="9" s="1"/>
  <c r="AT41" i="9"/>
  <c r="AN33" i="9"/>
  <c r="AV33" i="9" s="1"/>
  <c r="AT33" i="9"/>
  <c r="AN25" i="9"/>
  <c r="AV25" i="9" s="1"/>
  <c r="AT25" i="9"/>
  <c r="AN17" i="9"/>
  <c r="AV17" i="9" s="1"/>
  <c r="AT17" i="9"/>
  <c r="AN19" i="9"/>
  <c r="AV19" i="9" s="1"/>
  <c r="AT19" i="9"/>
  <c r="AN34" i="9"/>
  <c r="AV34" i="9" s="1"/>
  <c r="AT34" i="9"/>
  <c r="AN18" i="9"/>
  <c r="AV18" i="9" s="1"/>
  <c r="AT18" i="9"/>
  <c r="AN40" i="9"/>
  <c r="AV40" i="9" s="1"/>
  <c r="AT40" i="9"/>
  <c r="AN32" i="9"/>
  <c r="AV32" i="9" s="1"/>
  <c r="AT32" i="9"/>
  <c r="AN24" i="9"/>
  <c r="AV24" i="9" s="1"/>
  <c r="AT24" i="9"/>
  <c r="AN16" i="9"/>
  <c r="AV16" i="9" s="1"/>
  <c r="AT16" i="9"/>
  <c r="AN15" i="9"/>
  <c r="AV15" i="9" s="1"/>
  <c r="AT15" i="9"/>
  <c r="AN38" i="9"/>
  <c r="AV38" i="9" s="1"/>
  <c r="AT38" i="9"/>
  <c r="AN30" i="9"/>
  <c r="AV30" i="9" s="1"/>
  <c r="AT30" i="9"/>
  <c r="AN22" i="9"/>
  <c r="AV22" i="9" s="1"/>
  <c r="AT22" i="9"/>
  <c r="AN14" i="9"/>
  <c r="AV14" i="9" s="1"/>
  <c r="AT14" i="9"/>
  <c r="AN12" i="9"/>
  <c r="AV12" i="9" s="1"/>
  <c r="AT12" i="9"/>
  <c r="AN31" i="9"/>
  <c r="AV31" i="9" s="1"/>
  <c r="AT31" i="9"/>
  <c r="AN37" i="9"/>
  <c r="AV37" i="9" s="1"/>
  <c r="AT37" i="9"/>
  <c r="AN29" i="9"/>
  <c r="AV29" i="9" s="1"/>
  <c r="AT29" i="9"/>
  <c r="AN21" i="9"/>
  <c r="AV21" i="9" s="1"/>
  <c r="AT21" i="9"/>
  <c r="AN13" i="9"/>
  <c r="AV13" i="9" s="1"/>
  <c r="AT13" i="9"/>
  <c r="AN27" i="9"/>
  <c r="AV27" i="9" s="1"/>
  <c r="AT27" i="9"/>
  <c r="AN39" i="9"/>
  <c r="AV39" i="9" s="1"/>
  <c r="AT39" i="9"/>
  <c r="AN23" i="9"/>
  <c r="AV23" i="9" s="1"/>
  <c r="AT23" i="9"/>
  <c r="AN36" i="9"/>
  <c r="AV36" i="9" s="1"/>
  <c r="AT36" i="9"/>
  <c r="AN28" i="9"/>
  <c r="AV28" i="9" s="1"/>
  <c r="AT28" i="9"/>
  <c r="AN20" i="9"/>
  <c r="AV20" i="9" s="1"/>
  <c r="AT20" i="9"/>
  <c r="AN11" i="9"/>
  <c r="AV11" i="9" s="1"/>
  <c r="AT11" i="9"/>
  <c r="AN30" i="20"/>
  <c r="AV30" i="20" s="1"/>
  <c r="AT30" i="20"/>
  <c r="AN33" i="20"/>
  <c r="AV33" i="20" s="1"/>
  <c r="AT33" i="20"/>
  <c r="AN21" i="20"/>
  <c r="AV21" i="20" s="1"/>
  <c r="AT21" i="20"/>
  <c r="AN31" i="20"/>
  <c r="AV31" i="20" s="1"/>
  <c r="AT31" i="20"/>
  <c r="AN38" i="20"/>
  <c r="AV38" i="20" s="1"/>
  <c r="AT38" i="20"/>
  <c r="AN15" i="20"/>
  <c r="AV15" i="20" s="1"/>
  <c r="AT15" i="20"/>
  <c r="AN25" i="20"/>
  <c r="AV25" i="20" s="1"/>
  <c r="AT25" i="20"/>
  <c r="AN29" i="20"/>
  <c r="AV29" i="20" s="1"/>
  <c r="AT29" i="20"/>
  <c r="AN39" i="20"/>
  <c r="AV39" i="20" s="1"/>
  <c r="AT39" i="20"/>
  <c r="AN18" i="20"/>
  <c r="AV18" i="20" s="1"/>
  <c r="AT18" i="20"/>
  <c r="AN23" i="20"/>
  <c r="AV23" i="20" s="1"/>
  <c r="AT23" i="20"/>
  <c r="AN37" i="20"/>
  <c r="AV37" i="20" s="1"/>
  <c r="AT37" i="20"/>
  <c r="AN40" i="20"/>
  <c r="AV40" i="20" s="1"/>
  <c r="AT40" i="20"/>
  <c r="AN17" i="20"/>
  <c r="AV17" i="20" s="1"/>
  <c r="AT17" i="20"/>
  <c r="AN22" i="20"/>
  <c r="AV22" i="20" s="1"/>
  <c r="AT22" i="20"/>
  <c r="AN36" i="20"/>
  <c r="AV36" i="20" s="1"/>
  <c r="AT36" i="20"/>
  <c r="AN20" i="20"/>
  <c r="AV20" i="20" s="1"/>
  <c r="AT20" i="20"/>
  <c r="AN16" i="20"/>
  <c r="AV16" i="20" s="1"/>
  <c r="AT16" i="20"/>
  <c r="AN28" i="20"/>
  <c r="AV28" i="20" s="1"/>
  <c r="AT28" i="20"/>
  <c r="AN35" i="20"/>
  <c r="AV35" i="20" s="1"/>
  <c r="AT35" i="20"/>
  <c r="AN27" i="20"/>
  <c r="AV27" i="20" s="1"/>
  <c r="AT27" i="20"/>
  <c r="AN26" i="20"/>
  <c r="AV26" i="20" s="1"/>
  <c r="AT26" i="20"/>
  <c r="AN24" i="20"/>
  <c r="AV24" i="20" s="1"/>
  <c r="AT24" i="20"/>
  <c r="AN14" i="20"/>
  <c r="AV14" i="20" s="1"/>
  <c r="AT14" i="20"/>
  <c r="AN32" i="20"/>
  <c r="AV32" i="20" s="1"/>
  <c r="AT32" i="20"/>
  <c r="AN34" i="20"/>
  <c r="AV34" i="20" s="1"/>
  <c r="AT34" i="20"/>
  <c r="AN19" i="20"/>
  <c r="AV19" i="20" s="1"/>
  <c r="AT19" i="20"/>
  <c r="AN42" i="7"/>
  <c r="AV42" i="7" s="1"/>
  <c r="AT42" i="7"/>
  <c r="AN41" i="7"/>
  <c r="AV41" i="7" s="1"/>
  <c r="AT41" i="7"/>
  <c r="AN40" i="7"/>
  <c r="AV40" i="7" s="1"/>
  <c r="AT40" i="7"/>
  <c r="AN39" i="7"/>
  <c r="AV39" i="7" s="1"/>
  <c r="AT39" i="7"/>
  <c r="AN43" i="7"/>
  <c r="AV43" i="7" s="1"/>
  <c r="AT43" i="7"/>
  <c r="AN46" i="7"/>
  <c r="AV46" i="7" s="1"/>
  <c r="AT46" i="7"/>
  <c r="AN38" i="7"/>
  <c r="AV38" i="7" s="1"/>
  <c r="AT38" i="7"/>
  <c r="AN35" i="7"/>
  <c r="AV35" i="7" s="1"/>
  <c r="AT35" i="7"/>
  <c r="AN45" i="7"/>
  <c r="AV45" i="7" s="1"/>
  <c r="AT45" i="7"/>
  <c r="AN44" i="7"/>
  <c r="AV44" i="7" s="1"/>
  <c r="AT44" i="7"/>
  <c r="AN36" i="7"/>
  <c r="AV36" i="7" s="1"/>
  <c r="AT36" i="7"/>
  <c r="AN37" i="7"/>
  <c r="AV37" i="7" s="1"/>
  <c r="AT37" i="7"/>
  <c r="AN34" i="7"/>
  <c r="AV34" i="7" s="1"/>
  <c r="AN37" i="5"/>
  <c r="AV37" i="5" s="1"/>
  <c r="AN41" i="5"/>
  <c r="AV41" i="5" s="1"/>
  <c r="AN62" i="5"/>
  <c r="AV62" i="5" s="1"/>
  <c r="AN48" i="5"/>
  <c r="AV48" i="5" s="1"/>
  <c r="AN40" i="5"/>
  <c r="AV40" i="5" s="1"/>
  <c r="AN13" i="5"/>
  <c r="AV13" i="5" s="1"/>
  <c r="AT13" i="5"/>
  <c r="AN28" i="5"/>
  <c r="AV28" i="5" s="1"/>
  <c r="AN15" i="5"/>
  <c r="AV15" i="5" s="1"/>
  <c r="AN18" i="5"/>
  <c r="AV18" i="5" s="1"/>
  <c r="AN51" i="5"/>
  <c r="AV51" i="5" s="1"/>
  <c r="AN19" i="5"/>
  <c r="AV19" i="5" s="1"/>
  <c r="AF10" i="10"/>
  <c r="W63" i="8"/>
  <c r="G278" i="92" s="1"/>
  <c r="W52" i="8"/>
  <c r="G267" i="92" s="1"/>
  <c r="W38" i="8"/>
  <c r="G253" i="92" s="1"/>
  <c r="W28" i="8"/>
  <c r="G243" i="92" s="1"/>
  <c r="W68" i="6"/>
  <c r="G169" i="92" s="1"/>
  <c r="AN61" i="23"/>
  <c r="AN67" i="23"/>
  <c r="AN63" i="23"/>
  <c r="W53" i="6"/>
  <c r="G154" i="92" s="1"/>
  <c r="W23" i="6"/>
  <c r="G124" i="92" s="1"/>
  <c r="AF56" i="20"/>
  <c r="AF55" i="20"/>
  <c r="AF53" i="20"/>
  <c r="AF45" i="20"/>
  <c r="AF51" i="20"/>
  <c r="AF44" i="20"/>
  <c r="AF50" i="20"/>
  <c r="AF43" i="20"/>
  <c r="AF48" i="20"/>
  <c r="AF42" i="20"/>
  <c r="AF49" i="20"/>
  <c r="AF57" i="20"/>
  <c r="AF41" i="20"/>
  <c r="AF38" i="20"/>
  <c r="AF30" i="5"/>
  <c r="AF34" i="9"/>
  <c r="AF43" i="5"/>
  <c r="AF38" i="5"/>
  <c r="AF26" i="5"/>
  <c r="AF45" i="7"/>
  <c r="AF41" i="9"/>
  <c r="AF33" i="9"/>
  <c r="AF25" i="9"/>
  <c r="AF17" i="9"/>
  <c r="AF37" i="20"/>
  <c r="AF29" i="20"/>
  <c r="AF17" i="20"/>
  <c r="AF57" i="5"/>
  <c r="AF45" i="5"/>
  <c r="AF20" i="5"/>
  <c r="AF18" i="20"/>
  <c r="AF41" i="5"/>
  <c r="AF18" i="9"/>
  <c r="AF30" i="20"/>
  <c r="AF21" i="5"/>
  <c r="AF16" i="20"/>
  <c r="AF23" i="20"/>
  <c r="AF40" i="20"/>
  <c r="AF36" i="5"/>
  <c r="AF16" i="5"/>
  <c r="AF42" i="5"/>
  <c r="AF31" i="5"/>
  <c r="AF44" i="7"/>
  <c r="AF42" i="9"/>
  <c r="AF40" i="9"/>
  <c r="AF32" i="9"/>
  <c r="AF24" i="9"/>
  <c r="AF16" i="9"/>
  <c r="AF36" i="20"/>
  <c r="AF27" i="20"/>
  <c r="AF46" i="7"/>
  <c r="AF56" i="5"/>
  <c r="AF44" i="5"/>
  <c r="AF19" i="5"/>
  <c r="AF37" i="5"/>
  <c r="AF34" i="7"/>
  <c r="AF36" i="7"/>
  <c r="AF22" i="5"/>
  <c r="AF61" i="5"/>
  <c r="AF24" i="5"/>
  <c r="AF39" i="7"/>
  <c r="AF39" i="9"/>
  <c r="AF31" i="9"/>
  <c r="AF23" i="9"/>
  <c r="AF15" i="9"/>
  <c r="AF35" i="20"/>
  <c r="AF26" i="20"/>
  <c r="AF43" i="7"/>
  <c r="AF55" i="5"/>
  <c r="AF35" i="5"/>
  <c r="AF60" i="5"/>
  <c r="AF30" i="9"/>
  <c r="AF54" i="5"/>
  <c r="AF28" i="5"/>
  <c r="AF39" i="5"/>
  <c r="AF38" i="9"/>
  <c r="AF34" i="20"/>
  <c r="AF13" i="5"/>
  <c r="AF28" i="20"/>
  <c r="AF62" i="5"/>
  <c r="AF29" i="5"/>
  <c r="AF35" i="7"/>
  <c r="AF37" i="9"/>
  <c r="AF29" i="9"/>
  <c r="AF21" i="9"/>
  <c r="AF13" i="9"/>
  <c r="AF33" i="20"/>
  <c r="AF24" i="20"/>
  <c r="AF41" i="7"/>
  <c r="AF53" i="5"/>
  <c r="AF33" i="5"/>
  <c r="AF14" i="20"/>
  <c r="AF15" i="5"/>
  <c r="AF14" i="9"/>
  <c r="AF34" i="5"/>
  <c r="AF20" i="20"/>
  <c r="AF23" i="5"/>
  <c r="AF59" i="5"/>
  <c r="AF40" i="5"/>
  <c r="AF15" i="20"/>
  <c r="AF58" i="5"/>
  <c r="AF36" i="9"/>
  <c r="AF28" i="9"/>
  <c r="AF20" i="9"/>
  <c r="AF32" i="20"/>
  <c r="AF22" i="20"/>
  <c r="AF40" i="7"/>
  <c r="AF52" i="5"/>
  <c r="AF32" i="5"/>
  <c r="AF39" i="20"/>
  <c r="AF25" i="5"/>
  <c r="AF38" i="7"/>
  <c r="AF22" i="9"/>
  <c r="AF25" i="20"/>
  <c r="AF42" i="7"/>
  <c r="AF51" i="5"/>
  <c r="AF17" i="5"/>
  <c r="AF49" i="5"/>
  <c r="AF50" i="5"/>
  <c r="AF11" i="9"/>
  <c r="AF12" i="9"/>
  <c r="AF35" i="9"/>
  <c r="AF27" i="9"/>
  <c r="AF19" i="9"/>
  <c r="AF31" i="20"/>
  <c r="AF21" i="20"/>
  <c r="AF37" i="7"/>
  <c r="AF47" i="5"/>
  <c r="AF27" i="5"/>
  <c r="AF18" i="5"/>
  <c r="AF26" i="9"/>
  <c r="AF19" i="20"/>
  <c r="AF46" i="5"/>
  <c r="AT48" i="23"/>
  <c r="AF16" i="22"/>
  <c r="AL45" i="5"/>
  <c r="AT45" i="5" s="1"/>
  <c r="AL30" i="5"/>
  <c r="AT30" i="5" s="1"/>
  <c r="AL16" i="5"/>
  <c r="AT16" i="5" s="1"/>
  <c r="AL32" i="5"/>
  <c r="AT32" i="5" s="1"/>
  <c r="AL38" i="5"/>
  <c r="AT38" i="5" s="1"/>
  <c r="AL39" i="5"/>
  <c r="AT39" i="5" s="1"/>
  <c r="AL43" i="5"/>
  <c r="AT43" i="5" s="1"/>
  <c r="AL23" i="5"/>
  <c r="AT23" i="5" s="1"/>
  <c r="AL61" i="5"/>
  <c r="AT61" i="5" s="1"/>
  <c r="AL59" i="5"/>
  <c r="AT59" i="5" s="1"/>
  <c r="AL35" i="5"/>
  <c r="AT35" i="5" s="1"/>
  <c r="AL20" i="5"/>
  <c r="AT20" i="5" s="1"/>
  <c r="AL60" i="5"/>
  <c r="AT60" i="5" s="1"/>
  <c r="AL33" i="5"/>
  <c r="AT33" i="5" s="1"/>
  <c r="AL27" i="5"/>
  <c r="AT27" i="5" s="1"/>
  <c r="AL24" i="5"/>
  <c r="AT24" i="5" s="1"/>
  <c r="AL57" i="5"/>
  <c r="AT57" i="5" s="1"/>
  <c r="AL53" i="5"/>
  <c r="AT53" i="5" s="1"/>
  <c r="AL29" i="5"/>
  <c r="AT29" i="5" s="1"/>
  <c r="AL26" i="5"/>
  <c r="AT26" i="5" s="1"/>
  <c r="AL36" i="5"/>
  <c r="AT36" i="5" s="1"/>
  <c r="AL34" i="5"/>
  <c r="AT34" i="5" s="1"/>
  <c r="AL49" i="5"/>
  <c r="AT49" i="5" s="1"/>
  <c r="AL55" i="5"/>
  <c r="AT55" i="5" s="1"/>
  <c r="AL54" i="5"/>
  <c r="AT54" i="5" s="1"/>
  <c r="AL14" i="5"/>
  <c r="AT14" i="5" s="1"/>
  <c r="AL17" i="5"/>
  <c r="AT17" i="5" s="1"/>
  <c r="AL21" i="5"/>
  <c r="AT21" i="5" s="1"/>
  <c r="AL44" i="5"/>
  <c r="AT44" i="5" s="1"/>
  <c r="AL25" i="5"/>
  <c r="AT25" i="5" s="1"/>
  <c r="AL50" i="5"/>
  <c r="AT50" i="5" s="1"/>
  <c r="AL42" i="5"/>
  <c r="AT42" i="5" s="1"/>
  <c r="AL46" i="5"/>
  <c r="AT46" i="5" s="1"/>
  <c r="AL22" i="5"/>
  <c r="AT22" i="5" s="1"/>
  <c r="AL52" i="5"/>
  <c r="AT52" i="5" s="1"/>
  <c r="AL47" i="5"/>
  <c r="AT47" i="5" s="1"/>
  <c r="AL56" i="5"/>
  <c r="AT56" i="5" s="1"/>
  <c r="AL31" i="5"/>
  <c r="AT31" i="5" s="1"/>
  <c r="AL58" i="5"/>
  <c r="AT58" i="5" s="1"/>
  <c r="Z63" i="23"/>
  <c r="W63" i="9"/>
  <c r="G330" i="92" s="1"/>
  <c r="W65" i="7"/>
  <c r="W29" i="7"/>
  <c r="W63" i="20"/>
  <c r="G52" i="92" s="1"/>
  <c r="W43" i="9"/>
  <c r="AV61" i="12"/>
  <c r="AN61" i="12"/>
  <c r="Z71" i="23" s="1"/>
  <c r="W47" i="7"/>
  <c r="G205" i="92" s="1"/>
  <c r="Z64" i="23"/>
  <c r="AI64" i="23" s="1"/>
  <c r="Z61" i="23"/>
  <c r="AN13" i="20"/>
  <c r="AV13" i="20" s="1"/>
  <c r="AF65" i="7" l="1"/>
  <c r="G222" i="92"/>
  <c r="AF135" i="10"/>
  <c r="G458" i="92"/>
  <c r="AF29" i="7"/>
  <c r="G189" i="92"/>
  <c r="AE71" i="23"/>
  <c r="AI71" i="23" s="1"/>
  <c r="N6" i="92"/>
  <c r="AF43" i="9"/>
  <c r="W48" i="9"/>
  <c r="G314" i="92" s="1"/>
  <c r="W47" i="9"/>
  <c r="G313" i="92" s="1"/>
  <c r="AI63" i="23"/>
  <c r="AT63" i="23"/>
  <c r="AN43" i="5"/>
  <c r="AV43" i="5" s="1"/>
  <c r="AN33" i="5"/>
  <c r="AV33" i="5" s="1"/>
  <c r="AN36" i="5"/>
  <c r="AV36" i="5" s="1"/>
  <c r="AN38" i="5"/>
  <c r="AV38" i="5" s="1"/>
  <c r="AN31" i="5"/>
  <c r="AV31" i="5" s="1"/>
  <c r="AN44" i="5"/>
  <c r="AV44" i="5" s="1"/>
  <c r="AN47" i="5"/>
  <c r="AV47" i="5" s="1"/>
  <c r="AN21" i="5"/>
  <c r="AV21" i="5" s="1"/>
  <c r="AN26" i="5"/>
  <c r="AV26" i="5" s="1"/>
  <c r="AN20" i="5"/>
  <c r="AV20" i="5" s="1"/>
  <c r="AN32" i="5"/>
  <c r="AV32" i="5" s="1"/>
  <c r="AN27" i="5"/>
  <c r="AV27" i="5" s="1"/>
  <c r="AN25" i="5"/>
  <c r="AV25" i="5" s="1"/>
  <c r="AN56" i="5"/>
  <c r="AV56" i="5" s="1"/>
  <c r="AN60" i="5"/>
  <c r="AV60" i="5" s="1"/>
  <c r="AN52" i="5"/>
  <c r="AV52" i="5" s="1"/>
  <c r="AN17" i="5"/>
  <c r="AV17" i="5" s="1"/>
  <c r="AN29" i="5"/>
  <c r="AV29" i="5" s="1"/>
  <c r="AN35" i="5"/>
  <c r="AV35" i="5" s="1"/>
  <c r="AN16" i="5"/>
  <c r="AV16" i="5" s="1"/>
  <c r="AN49" i="5"/>
  <c r="AV49" i="5" s="1"/>
  <c r="AN39" i="5"/>
  <c r="AV39" i="5" s="1"/>
  <c r="AN53" i="5"/>
  <c r="AV53" i="5" s="1"/>
  <c r="AN59" i="5"/>
  <c r="AV59" i="5" s="1"/>
  <c r="AN30" i="5"/>
  <c r="AV30" i="5" s="1"/>
  <c r="AN58" i="5"/>
  <c r="AV58" i="5" s="1"/>
  <c r="AN34" i="5"/>
  <c r="AV34" i="5" s="1"/>
  <c r="AN46" i="5"/>
  <c r="AV46" i="5" s="1"/>
  <c r="AN54" i="5"/>
  <c r="AV54" i="5" s="1"/>
  <c r="AN57" i="5"/>
  <c r="AV57" i="5" s="1"/>
  <c r="AN61" i="5"/>
  <c r="AV61" i="5" s="1"/>
  <c r="AN45" i="5"/>
  <c r="AV45" i="5" s="1"/>
  <c r="AN50" i="5"/>
  <c r="AV50" i="5" s="1"/>
  <c r="AN22" i="5"/>
  <c r="AV22" i="5" s="1"/>
  <c r="AN42" i="5"/>
  <c r="AV42" i="5" s="1"/>
  <c r="AN55" i="5"/>
  <c r="AV55" i="5" s="1"/>
  <c r="AN24" i="5"/>
  <c r="AV24" i="5" s="1"/>
  <c r="AN23" i="5"/>
  <c r="AV23" i="5" s="1"/>
  <c r="AF63" i="9"/>
  <c r="W64" i="9"/>
  <c r="AF63" i="8"/>
  <c r="Z48" i="23"/>
  <c r="AF52" i="8"/>
  <c r="Z46" i="23"/>
  <c r="AI46" i="23" s="1"/>
  <c r="AF38" i="8"/>
  <c r="Z45" i="23"/>
  <c r="AI45" i="23" s="1"/>
  <c r="AF28" i="8"/>
  <c r="Z44" i="23"/>
  <c r="AI44" i="23" s="1"/>
  <c r="Z43" i="23"/>
  <c r="AI43" i="23" s="1"/>
  <c r="AF68" i="6"/>
  <c r="Z40" i="23"/>
  <c r="AI40" i="23" s="1"/>
  <c r="Z41" i="23"/>
  <c r="AI41" i="23" s="1"/>
  <c r="AF23" i="6"/>
  <c r="Z38" i="23"/>
  <c r="AI38" i="23" s="1"/>
  <c r="AF53" i="6"/>
  <c r="Z39" i="23"/>
  <c r="AI39" i="23" s="1"/>
  <c r="AN14" i="5"/>
  <c r="AV14" i="5" s="1"/>
  <c r="W63" i="5"/>
  <c r="G106" i="92" s="1"/>
  <c r="AI61" i="23"/>
  <c r="AT61" i="23"/>
  <c r="AF48" i="5"/>
  <c r="W64" i="20"/>
  <c r="AF63" i="20"/>
  <c r="AF64" i="20"/>
  <c r="AF65" i="20"/>
  <c r="W48" i="7"/>
  <c r="AF47" i="7"/>
  <c r="Z72" i="23"/>
  <c r="Z66" i="23"/>
  <c r="AI66" i="23" s="1"/>
  <c r="W44" i="9"/>
  <c r="G318" i="92" s="1"/>
  <c r="W136" i="10"/>
  <c r="G459" i="92" s="1"/>
  <c r="AF48" i="7" l="1"/>
  <c r="G206" i="92"/>
  <c r="AE72" i="23"/>
  <c r="AI72" i="23" s="1"/>
  <c r="N7" i="92"/>
  <c r="W65" i="20"/>
  <c r="G54" i="92" s="1"/>
  <c r="G53" i="92"/>
  <c r="W65" i="9"/>
  <c r="G332" i="92" s="1"/>
  <c r="G331" i="92"/>
  <c r="AF63" i="5"/>
  <c r="W64" i="5"/>
  <c r="G107" i="92" s="1"/>
  <c r="AW48" i="23"/>
  <c r="AI48" i="23"/>
  <c r="AF14" i="5"/>
  <c r="W137" i="10"/>
  <c r="G460" i="92" s="1"/>
  <c r="AB136" i="10"/>
  <c r="AF44" i="9"/>
  <c r="AF48" i="9"/>
  <c r="AF47" i="9"/>
  <c r="W52" i="9"/>
  <c r="G319" i="92" s="1"/>
  <c r="W49" i="7"/>
  <c r="AF49" i="7" l="1"/>
  <c r="G207" i="92"/>
  <c r="Z36" i="23"/>
  <c r="AI36" i="23" s="1"/>
  <c r="AB52" i="9"/>
  <c r="AF52" i="9" s="1"/>
  <c r="AF48" i="77"/>
  <c r="AF136" i="10"/>
  <c r="AB137" i="10"/>
  <c r="AF64" i="5"/>
  <c r="W65" i="5"/>
  <c r="G108" i="92" s="1"/>
  <c r="W53" i="9"/>
  <c r="Z42" i="23"/>
  <c r="AI42" i="23" s="1"/>
  <c r="Z51" i="23"/>
  <c r="AF53" i="9" l="1"/>
  <c r="G320" i="92"/>
  <c r="AW51" i="23"/>
  <c r="AT51" i="23"/>
  <c r="AF49" i="77"/>
  <c r="AF137" i="10"/>
  <c r="AE51" i="23"/>
  <c r="AI51" i="23" s="1"/>
  <c r="Z37" i="23"/>
  <c r="AI37" i="23" s="1"/>
  <c r="AF65" i="5"/>
  <c r="Z49" i="23"/>
  <c r="AW49" i="23" s="1"/>
  <c r="Z47" i="23" l="1"/>
  <c r="AT49" i="23"/>
  <c r="AI49" i="23"/>
  <c r="AW47" i="23" l="1"/>
  <c r="AT47" i="23"/>
  <c r="AI47" i="23"/>
  <c r="Z57" i="23"/>
  <c r="N3" i="92" l="1"/>
  <c r="AE57" i="23"/>
  <c r="AI57" i="23" s="1"/>
  <c r="Z67" i="23"/>
  <c r="AT67" i="23" s="1"/>
  <c r="AT68" i="23" s="1"/>
  <c r="Z69" i="23" l="1"/>
  <c r="Z68" i="23"/>
  <c r="N4" i="92" l="1"/>
  <c r="AE69" i="23"/>
  <c r="AI69" i="23" s="1"/>
  <c r="Z70" i="23"/>
  <c r="Z73" i="23" l="1"/>
  <c r="N5" i="92"/>
  <c r="AE70" i="23"/>
  <c r="AI70" i="23" s="1"/>
  <c r="AN11" i="75" l="1"/>
  <c r="AV11" i="75" s="1"/>
  <c r="AB64" i="9"/>
  <c r="AF64" i="9" s="1"/>
  <c r="AB65" i="9" l="1"/>
  <c r="AE50" i="23" s="1"/>
  <c r="AB61" i="77"/>
  <c r="AB63" i="77" s="1"/>
  <c r="AF60" i="77"/>
  <c r="Z50" i="23"/>
  <c r="AW50" i="23" s="1"/>
  <c r="Z56" i="23"/>
  <c r="K5" i="92" a="1"/>
  <c r="K5" i="92" l="1"/>
  <c r="N2" i="92"/>
  <c r="AE56" i="23"/>
  <c r="Z58" i="23"/>
  <c r="Z75" i="23" s="1"/>
  <c r="AF65" i="9"/>
  <c r="AI50" i="23"/>
  <c r="W63" i="77"/>
  <c r="AF63" i="77" s="1"/>
  <c r="N1" i="92" l="1"/>
  <c r="I2" i="92"/>
  <c r="AI56" i="23"/>
  <c r="AE58" i="23"/>
  <c r="AI58" i="23" s="1"/>
  <c r="AF61" i="77"/>
  <c r="I3" i="92" l="1"/>
  <c r="AE67" i="23"/>
  <c r="AI67" i="23" s="1"/>
  <c r="I4" i="92" l="1"/>
  <c r="AE68" i="23"/>
  <c r="I5" i="92" l="1"/>
  <c r="AI68" i="23"/>
  <c r="AE73" i="23"/>
  <c r="AI73" i="23" l="1"/>
  <c r="AE75" i="23"/>
  <c r="AI75" i="23"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<sst xmlns="http://schemas.openxmlformats.org/spreadsheetml/2006/main" count="5541" uniqueCount="862">
  <si>
    <t>Line Producer</t>
  </si>
  <si>
    <t>Director of Photography</t>
  </si>
  <si>
    <t>DIT</t>
  </si>
  <si>
    <t>Asst Props</t>
  </si>
  <si>
    <t>Gaffer</t>
  </si>
  <si>
    <t>Key Grip</t>
  </si>
  <si>
    <t>Script Supervisor</t>
  </si>
  <si>
    <t>Catering Crew</t>
  </si>
  <si>
    <t>Asst Locations</t>
  </si>
  <si>
    <t>2nd AD</t>
  </si>
  <si>
    <t>Medic</t>
  </si>
  <si>
    <t>Craft Service</t>
  </si>
  <si>
    <t>Gang Boss</t>
  </si>
  <si>
    <t>Production Coordinator</t>
  </si>
  <si>
    <t>Air Fares</t>
  </si>
  <si>
    <t>Per Diems</t>
  </si>
  <si>
    <t>Scouting Expenses</t>
  </si>
  <si>
    <t>Messengers</t>
  </si>
  <si>
    <t>Trucking</t>
  </si>
  <si>
    <t>Telephone &amp; Cable</t>
  </si>
  <si>
    <t>Casting Director</t>
  </si>
  <si>
    <t>Casting Facility</t>
  </si>
  <si>
    <t>Working Meals</t>
  </si>
  <si>
    <t>Location Fees</t>
  </si>
  <si>
    <t>Permits</t>
  </si>
  <si>
    <t>Cargo Van</t>
  </si>
  <si>
    <t>Dressing Room Vehicles</t>
  </si>
  <si>
    <t>Production Trucking</t>
  </si>
  <si>
    <t>Camera Truck</t>
  </si>
  <si>
    <t>Excess Bags/Homeland Security</t>
  </si>
  <si>
    <t>Talent Meals</t>
  </si>
  <si>
    <t>Breakfast</t>
  </si>
  <si>
    <t>Lunch</t>
  </si>
  <si>
    <t>Dinner</t>
  </si>
  <si>
    <t>Set Security</t>
  </si>
  <si>
    <t>Kit Rental</t>
  </si>
  <si>
    <t>Picture Vehicles</t>
  </si>
  <si>
    <t xml:space="preserve">Rental For Build Days </t>
  </si>
  <si>
    <t>Build OT Hours</t>
  </si>
  <si>
    <t>Rental for Pre-Lite Days</t>
  </si>
  <si>
    <t>Pre-Lite OT Hours</t>
  </si>
  <si>
    <t>Rental for Shoot Days</t>
  </si>
  <si>
    <t>Shoot OT Hours</t>
  </si>
  <si>
    <t>Rental for Strike Days</t>
  </si>
  <si>
    <t>Strike OT Hours</t>
  </si>
  <si>
    <t>Generator and Operator</t>
  </si>
  <si>
    <t>Power Charges</t>
  </si>
  <si>
    <t>Misc Studio Charges</t>
  </si>
  <si>
    <t>Condor/Scissor Lift</t>
  </si>
  <si>
    <t>Set Decorator</t>
  </si>
  <si>
    <t>Art Dept Coordinator</t>
  </si>
  <si>
    <t>Prop Master</t>
  </si>
  <si>
    <t>Swing</t>
  </si>
  <si>
    <t>Leadman</t>
  </si>
  <si>
    <t>Set Dresser</t>
  </si>
  <si>
    <t>Set Dressing Rentals</t>
  </si>
  <si>
    <t>Set Dressing Purchases</t>
  </si>
  <si>
    <t>Car Prep</t>
  </si>
  <si>
    <t>Greens</t>
  </si>
  <si>
    <t>Outside Construction</t>
  </si>
  <si>
    <t>Art Dept Prod Supplies</t>
  </si>
  <si>
    <t>Messengers/Deliveries</t>
  </si>
  <si>
    <t>Art Dept Kit Rental</t>
  </si>
  <si>
    <t>Art Dept Trucking</t>
  </si>
  <si>
    <t>Camera Rental</t>
  </si>
  <si>
    <t>Sound Rental</t>
  </si>
  <si>
    <t>Lighting Rental</t>
  </si>
  <si>
    <t>Grip Rental</t>
  </si>
  <si>
    <t>Generator Rental</t>
  </si>
  <si>
    <t>Crane Rental</t>
  </si>
  <si>
    <t>VTR Rental</t>
  </si>
  <si>
    <t>Walkie Talkie Rental</t>
  </si>
  <si>
    <t>Dolly Rental</t>
  </si>
  <si>
    <t>Production Supplies</t>
  </si>
  <si>
    <t>Expendables</t>
  </si>
  <si>
    <t>Lenses</t>
  </si>
  <si>
    <t>Film</t>
  </si>
  <si>
    <t xml:space="preserve">Petty Cash </t>
  </si>
  <si>
    <t>Air Shipping and Carriers</t>
  </si>
  <si>
    <t>Phones and Cables</t>
  </si>
  <si>
    <t>Cash Under $15 Each</t>
  </si>
  <si>
    <t xml:space="preserve">External Billing Costs                                               </t>
  </si>
  <si>
    <t>Special Insurance</t>
  </si>
  <si>
    <t>Cell Phones</t>
  </si>
  <si>
    <t>L</t>
  </si>
  <si>
    <t>Director Prep</t>
  </si>
  <si>
    <t>Director Travel</t>
  </si>
  <si>
    <t>Director Shoot</t>
  </si>
  <si>
    <t>Director Post</t>
  </si>
  <si>
    <t>Fringes</t>
  </si>
  <si>
    <t>Talent Air Fares</t>
  </si>
  <si>
    <t>Talent Per Diem</t>
  </si>
  <si>
    <t>Equipment Rental</t>
  </si>
  <si>
    <t xml:space="preserve">Media </t>
  </si>
  <si>
    <t xml:space="preserve">Director's Fees </t>
  </si>
  <si>
    <t>Art Department Labor</t>
  </si>
  <si>
    <t>Art Department Expenses</t>
  </si>
  <si>
    <t>Media</t>
  </si>
  <si>
    <t>Car Rental</t>
  </si>
  <si>
    <t>Deliveries &amp; Taxi</t>
  </si>
  <si>
    <t>Home Econ Supplies</t>
  </si>
  <si>
    <t>Car Rentals</t>
  </si>
  <si>
    <t>Bus Rentals</t>
  </si>
  <si>
    <t>Parking/Tolls/Gas</t>
  </si>
  <si>
    <t>Other Vehicles</t>
  </si>
  <si>
    <t>Art Work</t>
  </si>
  <si>
    <t>Prop Rental</t>
  </si>
  <si>
    <t>Prop Purchase</t>
  </si>
  <si>
    <t>Wardrobe Rental</t>
  </si>
  <si>
    <t>Wardrobe Purchase</t>
  </si>
  <si>
    <t>Scenics</t>
  </si>
  <si>
    <t>Travel</t>
  </si>
  <si>
    <t>Hotels</t>
  </si>
  <si>
    <t>Production</t>
  </si>
  <si>
    <t>Lane Closures</t>
  </si>
  <si>
    <t>Limousines (Celebrities)</t>
  </si>
  <si>
    <t>days</t>
  </si>
  <si>
    <t>@</t>
  </si>
  <si>
    <t>Sub Total A</t>
  </si>
  <si>
    <t>Total</t>
  </si>
  <si>
    <t>Prop Fabrication</t>
  </si>
  <si>
    <t>Costumes</t>
  </si>
  <si>
    <t>Studio Costs</t>
  </si>
  <si>
    <t>Grips / Riggers</t>
  </si>
  <si>
    <t>Special Effects Rental</t>
  </si>
  <si>
    <t>Transcode / Transfer</t>
  </si>
  <si>
    <t>Process</t>
  </si>
  <si>
    <t>Total C</t>
  </si>
  <si>
    <t>Total D</t>
  </si>
  <si>
    <t>Total E</t>
  </si>
  <si>
    <t>Total F</t>
  </si>
  <si>
    <t>Total G</t>
  </si>
  <si>
    <t>Sub Total G</t>
  </si>
  <si>
    <t>Total I</t>
  </si>
  <si>
    <t>Total J</t>
  </si>
  <si>
    <t>Total K</t>
  </si>
  <si>
    <t>Total L</t>
  </si>
  <si>
    <t>Total M</t>
  </si>
  <si>
    <t>Total N</t>
  </si>
  <si>
    <t>Total O</t>
  </si>
  <si>
    <t>each</t>
  </si>
  <si>
    <t>ft</t>
  </si>
  <si>
    <t>hrs</t>
  </si>
  <si>
    <t>x</t>
  </si>
  <si>
    <t>Overtime</t>
  </si>
  <si>
    <t>Sub Total M</t>
  </si>
  <si>
    <t>Additional Talent Costs</t>
  </si>
  <si>
    <t>Base</t>
  </si>
  <si>
    <t>Payroll OT Calculator</t>
  </si>
  <si>
    <t>Re-animate</t>
  </si>
  <si>
    <t>Editor</t>
  </si>
  <si>
    <t>Editorial</t>
  </si>
  <si>
    <t>Audio</t>
  </si>
  <si>
    <t>Postings</t>
  </si>
  <si>
    <t>Archiving</t>
  </si>
  <si>
    <t>ADR</t>
  </si>
  <si>
    <t>Archive</t>
  </si>
  <si>
    <t>Conform</t>
  </si>
  <si>
    <t>Master</t>
  </si>
  <si>
    <t>Stock Footage Search</t>
  </si>
  <si>
    <t>Mix Prep</t>
  </si>
  <si>
    <t>Color Prep</t>
  </si>
  <si>
    <t>Conform Prep</t>
  </si>
  <si>
    <t>Data Backup / Restore</t>
  </si>
  <si>
    <t>Backup /  Restore</t>
  </si>
  <si>
    <t>P.</t>
  </si>
  <si>
    <t>Q.</t>
  </si>
  <si>
    <t>Finishing</t>
  </si>
  <si>
    <t>Aditional Cleanup</t>
  </si>
  <si>
    <t>Frame Extension</t>
  </si>
  <si>
    <t>Social mixes</t>
  </si>
  <si>
    <t>Social Music Edits</t>
  </si>
  <si>
    <t>Additional VO Record</t>
  </si>
  <si>
    <t>Additional Grading</t>
  </si>
  <si>
    <t>Additional Drives</t>
  </si>
  <si>
    <t>Re-position / Re-composite</t>
  </si>
  <si>
    <t>File Versioning / Compression</t>
  </si>
  <si>
    <t>Postings / Digital Delivery / QC</t>
  </si>
  <si>
    <t>Pre-Load, Encode and Mix Prep</t>
  </si>
  <si>
    <t>Sound Effects / Music Search</t>
  </si>
  <si>
    <t>Voice Casting</t>
  </si>
  <si>
    <t>Transcription / Translation</t>
  </si>
  <si>
    <t>VO Record</t>
  </si>
  <si>
    <t>Other Format Mixing</t>
  </si>
  <si>
    <t>Record and Mix </t>
  </si>
  <si>
    <t>Record and Mix  - Overtime</t>
  </si>
  <si>
    <t>Sound Effects </t>
  </si>
  <si>
    <t>Sound Design</t>
  </si>
  <si>
    <t>Digital Edit</t>
  </si>
  <si>
    <t>Remote Studio Costs</t>
  </si>
  <si>
    <t>Digital Patch: ISDN</t>
  </si>
  <si>
    <t>Digital Patch: ISDN INT'L</t>
  </si>
  <si>
    <t xml:space="preserve">Digital Patch: Source Connect </t>
  </si>
  <si>
    <t>Digital Patch: Skype / Phone</t>
  </si>
  <si>
    <t>Field Recording</t>
  </si>
  <si>
    <t>Digital File Creation</t>
  </si>
  <si>
    <t>Uploads &amp; Machine Room</t>
  </si>
  <si>
    <t>Audio Relay</t>
  </si>
  <si>
    <t>Facility Overtime </t>
  </si>
  <si>
    <t>R.</t>
  </si>
  <si>
    <t>S.</t>
  </si>
  <si>
    <t>Color Grading Prep</t>
  </si>
  <si>
    <t>Color Grading</t>
  </si>
  <si>
    <t>Pre Load/Scanning</t>
  </si>
  <si>
    <t>Additional Machines</t>
  </si>
  <si>
    <t>Drives / Media</t>
  </si>
  <si>
    <t>Generic Master</t>
  </si>
  <si>
    <t>Additional Outputs</t>
  </si>
  <si>
    <t>Archiving Storage Device</t>
  </si>
  <si>
    <t>Compressed File Dubs</t>
  </si>
  <si>
    <t>Uncompressed Files</t>
  </si>
  <si>
    <t>Inventory/Packing</t>
  </si>
  <si>
    <t>Shipping to Storage</t>
  </si>
  <si>
    <t>Editorial Supplies</t>
  </si>
  <si>
    <t>Shipping</t>
  </si>
  <si>
    <t>Session Supervisory Fee</t>
  </si>
  <si>
    <t>Editorial Producer</t>
  </si>
  <si>
    <t>V.</t>
  </si>
  <si>
    <t>W.</t>
  </si>
  <si>
    <t>Remote Off-Line Edit Suite</t>
  </si>
  <si>
    <t>Rate</t>
  </si>
  <si>
    <t>Hourly</t>
  </si>
  <si>
    <t>Basis</t>
  </si>
  <si>
    <t>Hours</t>
  </si>
  <si>
    <t>OT</t>
  </si>
  <si>
    <t>Animals &amp; Handlers</t>
  </si>
  <si>
    <t>Sustainable Practices</t>
  </si>
  <si>
    <t>Art Dept Meals</t>
  </si>
  <si>
    <t xml:space="preserve">Dailies </t>
  </si>
  <si>
    <t>Talent Gd Transportation</t>
  </si>
  <si>
    <t xml:space="preserve">Product Prep / Color Correct </t>
  </si>
  <si>
    <t>Cabs/ Ubers/ Other Transportation</t>
  </si>
  <si>
    <t>Talent Trailer / Honeywagon</t>
  </si>
  <si>
    <t xml:space="preserve"> </t>
  </si>
  <si>
    <t>X.</t>
  </si>
  <si>
    <t>Total Q</t>
  </si>
  <si>
    <t>Total R</t>
  </si>
  <si>
    <t>Total S</t>
  </si>
  <si>
    <t>Total T</t>
  </si>
  <si>
    <t>Total V</t>
  </si>
  <si>
    <t>Total W</t>
  </si>
  <si>
    <t>Total X</t>
  </si>
  <si>
    <t>2.</t>
  </si>
  <si>
    <t>3.</t>
  </si>
  <si>
    <t>4.</t>
  </si>
  <si>
    <t>Insurance</t>
  </si>
  <si>
    <t>Production Fee</t>
  </si>
  <si>
    <t>Production Contact</t>
  </si>
  <si>
    <t>Director(s)</t>
  </si>
  <si>
    <t>E.</t>
  </si>
  <si>
    <t>M.</t>
  </si>
  <si>
    <t>Job Information</t>
  </si>
  <si>
    <t>Product</t>
  </si>
  <si>
    <t>Brand</t>
  </si>
  <si>
    <t>Production Information</t>
  </si>
  <si>
    <t>Job Name</t>
  </si>
  <si>
    <t>Agency Job ID</t>
  </si>
  <si>
    <t>Production Job ID(s)</t>
  </si>
  <si>
    <t>Summary of Estimated Production Costs</t>
  </si>
  <si>
    <t>A.</t>
  </si>
  <si>
    <t>B.</t>
  </si>
  <si>
    <t>C.</t>
  </si>
  <si>
    <t>D.</t>
  </si>
  <si>
    <t>F.</t>
  </si>
  <si>
    <t>G.</t>
  </si>
  <si>
    <t>H.</t>
  </si>
  <si>
    <t>I.</t>
  </si>
  <si>
    <t>J.</t>
  </si>
  <si>
    <t>K.</t>
  </si>
  <si>
    <t>Prep Crew</t>
  </si>
  <si>
    <t>Shoot Crew</t>
  </si>
  <si>
    <t>Prep &amp; Wrap Expenses</t>
  </si>
  <si>
    <t xml:space="preserve">Location Expenses </t>
  </si>
  <si>
    <t>Props, Wardrobe &amp; Animals</t>
  </si>
  <si>
    <t>L.</t>
  </si>
  <si>
    <t xml:space="preserve">Miscellaneous Production Costs </t>
  </si>
  <si>
    <t>Talent</t>
  </si>
  <si>
    <t>N.</t>
  </si>
  <si>
    <t>Talent Expenses</t>
  </si>
  <si>
    <t>O.</t>
  </si>
  <si>
    <t>T.</t>
  </si>
  <si>
    <t>Total A</t>
  </si>
  <si>
    <t>Total B</t>
  </si>
  <si>
    <t>Total H</t>
  </si>
  <si>
    <t>Post</t>
  </si>
  <si>
    <t>X</t>
  </si>
  <si>
    <t>Contingencies (Not Billed)</t>
  </si>
  <si>
    <t>Post-Production Sub-Total</t>
  </si>
  <si>
    <t>Sub-Total A to K</t>
  </si>
  <si>
    <t>Notes</t>
  </si>
  <si>
    <t>MU</t>
  </si>
  <si>
    <t>TX</t>
  </si>
  <si>
    <t>Sub Total B</t>
  </si>
  <si>
    <t>Line MU</t>
  </si>
  <si>
    <t>Line TX</t>
  </si>
  <si>
    <t>R Markup</t>
  </si>
  <si>
    <t>S Markup</t>
  </si>
  <si>
    <t>R Tax</t>
  </si>
  <si>
    <t>S Tax</t>
  </si>
  <si>
    <t>(Can be overridden in sections)</t>
  </si>
  <si>
    <t>Q Markup</t>
  </si>
  <si>
    <t>Q Tax</t>
  </si>
  <si>
    <t>T Markup</t>
  </si>
  <si>
    <t>T Tax</t>
  </si>
  <si>
    <t>Post-Production Insurance</t>
  </si>
  <si>
    <t>Talent Agency Fees</t>
  </si>
  <si>
    <t>Talent Payroll Service</t>
  </si>
  <si>
    <t>Talent Wardrobe Allowance</t>
  </si>
  <si>
    <t>O/C Principals</t>
  </si>
  <si>
    <t>Office Extras</t>
  </si>
  <si>
    <t>Crowd Extras</t>
  </si>
  <si>
    <t>General Extras</t>
  </si>
  <si>
    <t>Hand Models</t>
  </si>
  <si>
    <t>Voice Over</t>
  </si>
  <si>
    <t>Fitting Fees</t>
  </si>
  <si>
    <t>Audition Fees</t>
  </si>
  <si>
    <t>SteadiCam</t>
  </si>
  <si>
    <t>Helicopter</t>
  </si>
  <si>
    <t>Crane Head</t>
  </si>
  <si>
    <t>Camera Car</t>
  </si>
  <si>
    <t>Cinedrives</t>
  </si>
  <si>
    <t>Stage Manager/Studio Security</t>
  </si>
  <si>
    <t>Meals for Crew &amp; Talent</t>
  </si>
  <si>
    <t>Air Conditioning</t>
  </si>
  <si>
    <t>Crew Parking</t>
  </si>
  <si>
    <t>Steeldeck</t>
  </si>
  <si>
    <t>Assistant Director</t>
  </si>
  <si>
    <t>1st Assistant Camera</t>
  </si>
  <si>
    <t>2nd Assistant Camera</t>
  </si>
  <si>
    <t>Local Production Super</t>
  </si>
  <si>
    <t>Camera Op</t>
  </si>
  <si>
    <t>Best Boy Electric</t>
  </si>
  <si>
    <t>3rd Electric</t>
  </si>
  <si>
    <t>Electric/Driver</t>
  </si>
  <si>
    <t>Prep/Strike/Pre Rig Crew</t>
  </si>
  <si>
    <t>Best Boy Grip</t>
  </si>
  <si>
    <t>3rd Grip</t>
  </si>
  <si>
    <t>Grip/Driver</t>
  </si>
  <si>
    <t>Crane Tech 2x</t>
  </si>
  <si>
    <t>Crane Head Tech</t>
  </si>
  <si>
    <t>Steadi Cam Op</t>
  </si>
  <si>
    <t>Choreographer</t>
  </si>
  <si>
    <t>Make-Up/Hair</t>
  </si>
  <si>
    <t>Make-Up/Hair Asst</t>
  </si>
  <si>
    <t xml:space="preserve">Asst Wardrobe </t>
  </si>
  <si>
    <t>VTR Operator</t>
  </si>
  <si>
    <t>Stunt Coordinator</t>
  </si>
  <si>
    <t>Safety Officer</t>
  </si>
  <si>
    <t>Site Rep</t>
  </si>
  <si>
    <t>Storyboard Artist</t>
  </si>
  <si>
    <t>Location Scout</t>
  </si>
  <si>
    <t>Welfare/Teacher</t>
  </si>
  <si>
    <t>Production Assistant</t>
  </si>
  <si>
    <t>State</t>
  </si>
  <si>
    <t>Email</t>
  </si>
  <si>
    <t>Date</t>
  </si>
  <si>
    <t>Pre-Production Days:</t>
  </si>
  <si>
    <t>Build &amp; Strike Days:</t>
  </si>
  <si>
    <t>Pre-Light:</t>
  </si>
  <si>
    <t>Stage Days:</t>
  </si>
  <si>
    <t>Location Days:</t>
  </si>
  <si>
    <t>Theatrical Makeup</t>
  </si>
  <si>
    <t>File Conversion &amp; Transcoding</t>
  </si>
  <si>
    <t>Actual</t>
  </si>
  <si>
    <t>Foreign Production Service Co</t>
  </si>
  <si>
    <t>VFX Producer</t>
  </si>
  <si>
    <t>Editorial Co</t>
  </si>
  <si>
    <t>Music producer</t>
  </si>
  <si>
    <t>Music Co</t>
  </si>
  <si>
    <t>VFX Co</t>
  </si>
  <si>
    <t>Estimate</t>
  </si>
  <si>
    <t>Sub Total N</t>
  </si>
  <si>
    <t>Production Total</t>
  </si>
  <si>
    <t>Wardrobe Stylist</t>
  </si>
  <si>
    <t>Production Supervisor</t>
  </si>
  <si>
    <t>Days</t>
  </si>
  <si>
    <t>Units</t>
  </si>
  <si>
    <t>Production Designer/Art Director</t>
  </si>
  <si>
    <t xml:space="preserve">Production </t>
  </si>
  <si>
    <t>A-K</t>
  </si>
  <si>
    <t>M</t>
  </si>
  <si>
    <t>N</t>
  </si>
  <si>
    <t>Production Subject to Production Fee / Insurance</t>
  </si>
  <si>
    <t>Tax V</t>
  </si>
  <si>
    <t>Description</t>
  </si>
  <si>
    <t>ppl</t>
  </si>
  <si>
    <t>Handling Fee M</t>
  </si>
  <si>
    <t>Handling Fees</t>
  </si>
  <si>
    <t>Handling Fee N</t>
  </si>
  <si>
    <t>Talent Agency &amp; Payroll</t>
  </si>
  <si>
    <t>Agency Fees</t>
  </si>
  <si>
    <t>Payroll Svc.</t>
  </si>
  <si>
    <t>Hide</t>
  </si>
  <si>
    <t>CITY</t>
  </si>
  <si>
    <t>DETAIL</t>
  </si>
  <si>
    <t>Show</t>
  </si>
  <si>
    <t>Scratch Record</t>
  </si>
  <si>
    <t>Retouching</t>
  </si>
  <si>
    <t>Standards Conversions</t>
  </si>
  <si>
    <t>Transfers</t>
  </si>
  <si>
    <t>QTY</t>
  </si>
  <si>
    <t>Markup Q:</t>
  </si>
  <si>
    <t>Tax Q:</t>
  </si>
  <si>
    <t>Markup R:</t>
  </si>
  <si>
    <t>Tax R:</t>
  </si>
  <si>
    <t>Markup T</t>
  </si>
  <si>
    <t>Tax T</t>
  </si>
  <si>
    <t>take2</t>
  </si>
  <si>
    <t>Sub Total O</t>
  </si>
  <si>
    <t>Handling O</t>
  </si>
  <si>
    <t>Advertiser</t>
  </si>
  <si>
    <t>Advertiser Address</t>
  </si>
  <si>
    <t>Advertiser Job ID</t>
  </si>
  <si>
    <t>Sound Mixer</t>
  </si>
  <si>
    <t>Art PA's</t>
  </si>
  <si>
    <t>%</t>
  </si>
  <si>
    <t>Grand Total</t>
  </si>
  <si>
    <t>PF</t>
  </si>
  <si>
    <t>Ins</t>
  </si>
  <si>
    <t>Markup S</t>
  </si>
  <si>
    <t>Tax S</t>
  </si>
  <si>
    <t/>
  </si>
  <si>
    <t>Boom Operator</t>
  </si>
  <si>
    <t>Firefighter</t>
  </si>
  <si>
    <t>Police Officers/Ranger/CHP</t>
  </si>
  <si>
    <t>Teamster Drivers / Animal Wranglers</t>
  </si>
  <si>
    <t>Media / Drives</t>
  </si>
  <si>
    <t>P1.</t>
  </si>
  <si>
    <t>Rehearsal</t>
  </si>
  <si>
    <t>Shoot</t>
  </si>
  <si>
    <t>No.</t>
  </si>
  <si>
    <t>Deliveries &amp; Messengers</t>
  </si>
  <si>
    <t>Additional Production Estimates</t>
  </si>
  <si>
    <t>Production Company</t>
  </si>
  <si>
    <t>Creative Fees</t>
  </si>
  <si>
    <t>Editor Labor</t>
  </si>
  <si>
    <t>Editor OT/Weekend</t>
  </si>
  <si>
    <t>Assistant Labor</t>
  </si>
  <si>
    <t>Assistant OT/Weekend</t>
  </si>
  <si>
    <t>Producer/ Coordinator</t>
  </si>
  <si>
    <t>Post-Production Markup</t>
  </si>
  <si>
    <t>Post-Production Tax</t>
  </si>
  <si>
    <t>Post-Production Total</t>
  </si>
  <si>
    <t>Fringes G</t>
  </si>
  <si>
    <t xml:space="preserve">SET Global Fringes / Handling Fee / Tax </t>
  </si>
  <si>
    <t xml:space="preserve">Handling </t>
  </si>
  <si>
    <t>Post MU</t>
  </si>
  <si>
    <t>Variance</t>
  </si>
  <si>
    <t>hours</t>
  </si>
  <si>
    <t>Breakdown</t>
  </si>
  <si>
    <t>Digital Dalies Transfer</t>
  </si>
  <si>
    <t>allow</t>
  </si>
  <si>
    <t>Offline Edit System</t>
  </si>
  <si>
    <t>Off-Line Graphics System</t>
  </si>
  <si>
    <t>Hi-Res Conform</t>
  </si>
  <si>
    <t>flat</t>
  </si>
  <si>
    <t>Graphics Prep</t>
  </si>
  <si>
    <t>Digital Media</t>
  </si>
  <si>
    <t>Offline Posting</t>
  </si>
  <si>
    <t>Airfare</t>
  </si>
  <si>
    <t>Hotel</t>
  </si>
  <si>
    <t>Per Diem</t>
  </si>
  <si>
    <t>Transportation</t>
  </si>
  <si>
    <t>Assistant Editor Travel</t>
  </si>
  <si>
    <t>Weekend Fee</t>
  </si>
  <si>
    <t>Reformatting 1 x 1</t>
  </si>
  <si>
    <t>Reformatting 9 x 16</t>
  </si>
  <si>
    <t>Reformatting 4 x 3</t>
  </si>
  <si>
    <t>Reformatting 5 x 4</t>
  </si>
  <si>
    <t>Reframing 1 x 1</t>
  </si>
  <si>
    <t>Reframing  9 x 16</t>
  </si>
  <si>
    <t>Reframing  4 x 3</t>
  </si>
  <si>
    <t>Reframing  5 x 4</t>
  </si>
  <si>
    <t>Social Versions</t>
  </si>
  <si>
    <t>5.1 Mix</t>
  </si>
  <si>
    <t>Music Licensing (Stock/Original)</t>
  </si>
  <si>
    <t>Weekend Key Fee</t>
  </si>
  <si>
    <t>Transfer &amp; Stock</t>
  </si>
  <si>
    <t>Data I/O</t>
  </si>
  <si>
    <t>Remote Set Up</t>
  </si>
  <si>
    <t>Remote Room</t>
  </si>
  <si>
    <t>Final Conform</t>
  </si>
  <si>
    <t>Compositing / VFX</t>
  </si>
  <si>
    <t>Flame Assistant - Roto</t>
  </si>
  <si>
    <t>2D GFX / Design</t>
  </si>
  <si>
    <t>Motion Graphics</t>
  </si>
  <si>
    <t>Color Correction</t>
  </si>
  <si>
    <t>3D Animation</t>
  </si>
  <si>
    <t>3D Modeling</t>
  </si>
  <si>
    <t>Deliverables</t>
  </si>
  <si>
    <t>flights</t>
  </si>
  <si>
    <t>Add'l Post Creative(s)</t>
  </si>
  <si>
    <t>Locations:</t>
  </si>
  <si>
    <t>Traffic Information</t>
  </si>
  <si>
    <t>Spot Titles &amp; Lengths:</t>
  </si>
  <si>
    <t>Post Tax</t>
  </si>
  <si>
    <t>Post Subject to Insurance</t>
  </si>
  <si>
    <t>[X]</t>
  </si>
  <si>
    <t>Set Supervision</t>
  </si>
  <si>
    <t>Pre-Production Labor</t>
  </si>
  <si>
    <t>Editorial Labor &amp; Creative Fees</t>
  </si>
  <si>
    <t>Markup V</t>
  </si>
  <si>
    <t>Data Transmission Charge</t>
  </si>
  <si>
    <t>Satellite/Digital Transmission</t>
  </si>
  <si>
    <t>Stock Footage</t>
  </si>
  <si>
    <t>Standards Conversion</t>
  </si>
  <si>
    <t>Tape-to-Film Transfer</t>
  </si>
  <si>
    <t>Archive Storage Devices</t>
  </si>
  <si>
    <t>Archiving/LTO</t>
  </si>
  <si>
    <t>Storage Devices</t>
  </si>
  <si>
    <t>V Tax</t>
  </si>
  <si>
    <t>V Markup</t>
  </si>
  <si>
    <t>Miscellaneous Editorial</t>
  </si>
  <si>
    <t>Section Title</t>
  </si>
  <si>
    <t>Section Description</t>
  </si>
  <si>
    <t>REMOVE A SECTION</t>
  </si>
  <si>
    <t>ADD A SECTION</t>
  </si>
  <si>
    <t>1.</t>
  </si>
  <si>
    <t>Blank</t>
  </si>
  <si>
    <t>Included</t>
  </si>
  <si>
    <t>Mark X to include in production total</t>
  </si>
  <si>
    <t>P SECTIONS</t>
  </si>
  <si>
    <t>[THIS LINE AND BELOW DO NOT PRINT]</t>
  </si>
  <si>
    <t>Included P Sections</t>
  </si>
  <si>
    <t>+</t>
  </si>
  <si>
    <t>-</t>
  </si>
  <si>
    <t>Prod Fee Subj</t>
  </si>
  <si>
    <t>Ins Subj</t>
  </si>
  <si>
    <t>P1a.</t>
  </si>
  <si>
    <t>P1b.</t>
  </si>
  <si>
    <t>Total P1</t>
  </si>
  <si>
    <t>Blank Expenses</t>
  </si>
  <si>
    <t xml:space="preserve">Blank </t>
  </si>
  <si>
    <t>=</t>
  </si>
  <si>
    <t>Visual Effects, Design &amp; Animation, Interactive</t>
  </si>
  <si>
    <t>Add New P Section</t>
  </si>
  <si>
    <t>Labor</t>
  </si>
  <si>
    <t>Expenses</t>
  </si>
  <si>
    <t>Agency</t>
  </si>
  <si>
    <t>Agency Producer</t>
  </si>
  <si>
    <t>Phone</t>
  </si>
  <si>
    <t>Agency Creative Team</t>
  </si>
  <si>
    <t>Agency Business Mgr</t>
  </si>
  <si>
    <t>Agency Address</t>
  </si>
  <si>
    <t>2001 File Conversion/Transcoding</t>
  </si>
  <si>
    <t>The conversion or transcoding of media files, typically from the camera's file format to the format required for the non-linear editing system.</t>
  </si>
  <si>
    <t>2002 Ingest Media from Files or Tape</t>
  </si>
  <si>
    <t>Transferring media files to the non-linear editing system or file server in preparation for editing.  Typically from hard drives or digitizing and transferring selected media from tape to the hard drives .</t>
  </si>
  <si>
    <t>2003 Pre-Edit Color Correction</t>
  </si>
  <si>
    <t>The color correction of certain camera file formats (Cineon, .r3d) prior to editing.</t>
  </si>
  <si>
    <t>2004 LUT Creation</t>
  </si>
  <si>
    <t>The creation of a LUT for a given set of camera media. Certain cameras record data in 4:4:4 RGB with logarithmic color space. They need a conversion file or Look up Table (LUT) to be read correctly on edit systems. An LUT can be provided by the production company or director of photography or created by the post house.</t>
  </si>
  <si>
    <t>2005 Dailies Logging</t>
  </si>
  <si>
    <t>Screening all material at the beginning of a project while selecting and logging the preferred material for use in the edit.</t>
  </si>
  <si>
    <t>2010 Off-Line Edit Suite, Bay or Room </t>
  </si>
  <si>
    <t>A dedicated room equipped with a non-linear or time-code-based editing system and essential support equipment where the creative, off-line editing takes place. </t>
  </si>
  <si>
    <t>2030 Off-Line Graphics </t>
  </si>
  <si>
    <t>The time spent creating titles, backgrounds, graphic and animation elements for the off-line edit. Off-Line graphics may not be of sufficient quality for the on-line finish. </t>
  </si>
  <si>
    <t>2040 High Resolution Re-conforming </t>
  </si>
  <si>
    <t>The time spent to re-digitize media at the highest possible resolution on a computer-based edit system. Typically for final conform. </t>
  </si>
  <si>
    <t>2050 Rough Cut Review Material </t>
  </si>
  <si>
    <t>The materials used in the off-line edit session to create rough cut review media for the agency and their clients, including DVDs, Blu Ray discs, data DVDs and CDs. </t>
  </si>
  <si>
    <t>2060 Hard Drive Rental or Purchase </t>
  </si>
  <si>
    <t>2070 Data Backup/Restore </t>
  </si>
  <si>
    <t>2080 Off-Line Work Material </t>
  </si>
  <si>
    <t>Materials generated during the editing process for archiving purposes. </t>
  </si>
  <si>
    <t>2090 File Creation &amp; Posting </t>
  </si>
  <si>
    <t>2100 Off-Line Color</t>
  </si>
  <si>
    <t>The cost to color grade and visually balance a project, scene-to-scene. May include repositioning, selective correction within a frame in preparation for the Final Edit. Generally for non-broadcast use or challenged budgets.</t>
  </si>
  <si>
    <t>2110 EDL Prep </t>
  </si>
  <si>
    <t>Preparing an edit decision list, prior to audio and online edit sessions. </t>
  </si>
  <si>
    <t>2120 Stock Footage </t>
  </si>
  <si>
    <t>2130 Stock Footage Licensing</t>
  </si>
  <si>
    <t>3010 Graphic Development </t>
  </si>
  <si>
    <t>The exploration and development of initial graphic design ideas. </t>
  </si>
  <si>
    <t>3020 Producer’s Fee </t>
  </si>
  <si>
    <t>3030 Storyboards </t>
  </si>
  <si>
    <t>3040 Mac Graphics </t>
  </si>
  <si>
    <t>3050 Digital Load/Prep </t>
  </si>
  <si>
    <t>The time spent loading and organizing all graphics elements into the workstation prior to the session. </t>
  </si>
  <si>
    <t>3060 Graphic Designer </t>
  </si>
  <si>
    <t>3070 Rendering </t>
  </si>
  <si>
    <t>3080 Digital Graphics/2D </t>
  </si>
  <si>
    <t>3090 Digital Graphics/3D </t>
  </si>
  <si>
    <t>3100 Digital Graphics/Compositing </t>
  </si>
  <si>
    <t>3110 Digital Graphics/Type Design </t>
  </si>
  <si>
    <t>3120 Archiving </t>
  </si>
  <si>
    <t>3130 Facility Overtime </t>
  </si>
  <si>
    <t>3140 Creative Fee</t>
  </si>
  <si>
    <t>4005 Mix/Sound Design Prep</t>
  </si>
  <si>
    <t>Loading and organizing all audio elements prior to the mix.</t>
  </si>
  <si>
    <t>4010 Voice Over Record </t>
  </si>
  <si>
    <t>4020 Dialog Replacement </t>
  </si>
  <si>
    <t>Re-recording synchronous dialogue for a scene where the original recording was impaired or the voice of the actor needs to be changed. </t>
  </si>
  <si>
    <t>4040 Sound Effects </t>
  </si>
  <si>
    <t>4050 Digital Editing </t>
  </si>
  <si>
    <t>Use of a digital audio workstation to edit and line up dialog, narration, music and sound effects tracks in preparation for a sound design session or a mix. </t>
  </si>
  <si>
    <t>4060 Sound Design </t>
  </si>
  <si>
    <t>4070 Transfer &amp; Stock </t>
  </si>
  <si>
    <t>Transfer time and/or stock used to move media or data from one format to another. </t>
  </si>
  <si>
    <t>4080 Visually Coded Media </t>
  </si>
  <si>
    <t>The preparation of media with visual code (e.g. time code) often required for music sessions, narration recording, sound design sessions or mixing. </t>
  </si>
  <si>
    <t>4090 Pre-load/Archiving </t>
  </si>
  <si>
    <t>Pre-loading and/or archiving media or data to or from a digital multi-track audio system before or after a sound design or mix session. </t>
  </si>
  <si>
    <t>4100 Scratch Record/Mix </t>
  </si>
  <si>
    <t>Recording a temporary voice over and balancing and equalizing multiple preliminary tracks for presentation at the rough-cut stage. </t>
  </si>
  <si>
    <t>4110 Final Mix </t>
  </si>
  <si>
    <t>4120 Audio Relay (Re-track) </t>
  </si>
  <si>
    <t>Synchronously re-recording an audio track either at the rough cut stage, when a new track is supplied or a new mix is done for presentation, or at the finishing stage, when a project is mixed (or remixed) after the initial on-line conform. </t>
  </si>
  <si>
    <t>4130 Digital Patch/Remote Studio </t>
  </si>
  <si>
    <t>4140 Facility Overtime </t>
  </si>
  <si>
    <t>4150 Miscellaneous</t>
  </si>
  <si>
    <t>5005 Color Grading/Telecine Prep</t>
  </si>
  <si>
    <t>The creation of an EDL (or XML) of the approved edit in order to match back to the raw (original) media in preparation for transfer and color grading.</t>
  </si>
  <si>
    <t>5005 File Preparation for Color Grading</t>
  </si>
  <si>
    <t>The creation of digital files of the approved cut(s) for the final color grading session. Applies to certain file-based formats.</t>
  </si>
  <si>
    <t>5010 Color Grading/Film to Tape Transfer </t>
  </si>
  <si>
    <t>5020 Pre Load/Scanning </t>
  </si>
  <si>
    <t>The preparation and injesting of material into the color grading or scanning system in preparation for the Color Grading/Film to Tape Transfer process. </t>
  </si>
  <si>
    <t>5030 Film Cleaning </t>
  </si>
  <si>
    <t>5060 Final Edit </t>
  </si>
  <si>
    <t>5070 HD Up-Res/Downconvert </t>
  </si>
  <si>
    <t>The creation of a high definition (HD) version of a project from standard definition (SD) media or the creation of a standard definition (SD) version of a project from high definition (HD) media. </t>
  </si>
  <si>
    <t>5080 Additional Machines </t>
  </si>
  <si>
    <t>5090 Motion Control Animation Stand </t>
  </si>
  <si>
    <t>5100 Tape Stock &amp; Reels </t>
  </si>
  <si>
    <t>5110 Generic Master </t>
  </si>
  <si>
    <t>First generation master which is complete except for titles or logos. For use when </t>
  </si>
  <si>
    <t>5120 Edited Master </t>
  </si>
  <si>
    <t>Completed master with color bars, slate and tone, titles and logos ready for air. </t>
  </si>
  <si>
    <t>5130 Protection Master </t>
  </si>
  <si>
    <t>A copy of the Edited Master with identical time code from which dubs are made. </t>
  </si>
  <si>
    <t>5140 Dubs/Duplicates </t>
  </si>
  <si>
    <t>Copies of the finished Edited Master. </t>
  </si>
  <si>
    <t>5150 Archiving </t>
  </si>
  <si>
    <t>5155 Archiving/LTO </t>
  </si>
  <si>
    <t>The preparation and duplication of all of the project's media and data to hard drives and/or LTO tape for long term archiving and storage. </t>
  </si>
  <si>
    <t>5155 Archive Storage Devices </t>
  </si>
  <si>
    <t>Hard drives, disks, data tapes, etc. used for long term media and data storage. </t>
  </si>
  <si>
    <t>5160 Uncompressed Files </t>
  </si>
  <si>
    <t>The creation of final uncompressed file deliverables. </t>
  </si>
  <si>
    <t>5170 Compressed File Dubs </t>
  </si>
  <si>
    <t>5200 Storage Devices </t>
  </si>
  <si>
    <t>5210 Standards Conversion </t>
  </si>
  <si>
    <t>5220 Tape-To-Film Transfer </t>
  </si>
  <si>
    <t>5230 Data Transmission Charge </t>
  </si>
  <si>
    <t>Transmitting computer data between two locations</t>
  </si>
  <si>
    <t>6170 Working Meals </t>
  </si>
  <si>
    <t>8010 Pre-Production </t>
  </si>
  <si>
    <t>8020 Editor Labor </t>
  </si>
  <si>
    <t>8030 Editor OT/Weekend </t>
  </si>
  <si>
    <t>8040 Assistant Labor </t>
  </si>
  <si>
    <t>8050 Assistant OT/Weekend </t>
  </si>
  <si>
    <t>8060 Session Supervisory Fee </t>
  </si>
  <si>
    <t>8070 Producer/Coordinator </t>
  </si>
  <si>
    <t>Use of a satellite or digital line to record a voice in one studio while simultaneously monitoring and recording it in another studio. Usually includes the cost of both studios and transmission charges, unless otherwise noted in the estimate. </t>
  </si>
  <si>
    <t>Transferring and converting media from one broadcast format to another (NTSC, PAL, SECAM, etc.). </t>
  </si>
  <si>
    <t>4030 Music (Stock/Original) </t>
  </si>
  <si>
    <t>7090 Delivery &amp; Messengers </t>
  </si>
  <si>
    <t>7100 Shipping </t>
  </si>
  <si>
    <t>7110 Inventory/Packing </t>
  </si>
  <si>
    <t>7120 Shipping to Storage </t>
  </si>
  <si>
    <t>7130 Travel </t>
  </si>
  <si>
    <t>7140 Hotel/Per Diem </t>
  </si>
  <si>
    <t>7150 Editorial Supplies </t>
  </si>
  <si>
    <t>7160 Equipment Rental </t>
  </si>
  <si>
    <t>5050 Tape-To-Tape Color Correction</t>
  </si>
  <si>
    <t>File Conversion/Transcoding</t>
  </si>
  <si>
    <t>Ingest Media from Files or Tape</t>
  </si>
  <si>
    <t>Pre-Edit Color Correction</t>
  </si>
  <si>
    <t>LUT Creation</t>
  </si>
  <si>
    <t>Dailies Logging</t>
  </si>
  <si>
    <t>Off-Line Edit Suite, Bay or Room </t>
  </si>
  <si>
    <t>Off-Line Graphics </t>
  </si>
  <si>
    <t>High Resolution Re-conforming </t>
  </si>
  <si>
    <t>Rough Cut Review Material </t>
  </si>
  <si>
    <t>Off-Line Work Material </t>
  </si>
  <si>
    <t>Off-Line Color</t>
  </si>
  <si>
    <t>EDL Prep </t>
  </si>
  <si>
    <t>Graphic Development </t>
  </si>
  <si>
    <t>Digital Load/Prep </t>
  </si>
  <si>
    <t>Mix/Sound Design Prep</t>
  </si>
  <si>
    <t>Transfer &amp; Stock </t>
  </si>
  <si>
    <t>Visually Coded Media </t>
  </si>
  <si>
    <t>Pre-load/Archiving </t>
  </si>
  <si>
    <t>Scratch Record/Mix </t>
  </si>
  <si>
    <t>Audio Relay (Re-track) </t>
  </si>
  <si>
    <t>Digital Patch/Remote Studio </t>
  </si>
  <si>
    <t>Color Grading/Telecine Prep</t>
  </si>
  <si>
    <t>File Preparation for Color Grading</t>
  </si>
  <si>
    <t>Pre Load/Scanning </t>
  </si>
  <si>
    <t>HD Up-Res/Downconvert </t>
  </si>
  <si>
    <t>Generic Master </t>
  </si>
  <si>
    <t>Edited Master </t>
  </si>
  <si>
    <t>Protection Master </t>
  </si>
  <si>
    <t>Dubs/Duplicates </t>
  </si>
  <si>
    <t>Archiving/LTO </t>
  </si>
  <si>
    <t>Archive Storage Devices </t>
  </si>
  <si>
    <t>Uncompressed Files </t>
  </si>
  <si>
    <t>Standards Conversion </t>
  </si>
  <si>
    <t>Data Transmission Charge </t>
  </si>
  <si>
    <t xml:space="preserve"> The prop master acquires, organizes, maintains and accounts for all the various props needed for the production. A prop is basically any set decoration piece that can be moved readily easily. This includes many items like guns, knives, books, phones, dish-ware, food, musical instruments, pets or any other item that needs to be present to fulfill the story line.</t>
  </si>
  <si>
    <t xml:space="preserve"> The storyboard artist creates a series of illustrations and sketches based on the director’s vision during pre-production. Each sketch represents a different camera set-up. These drawings usually include camera angles, characters and set design. The illustrations are then used to assist the other head departments in understanding their tasks.</t>
  </si>
  <si>
    <t xml:space="preserve"> The 1st AC is the chief assistant to the camera operator. The 1st assistant camera person is in charge of measuring and pulling focus during filming. The 1st AC also threads the film through the camera when a new magazine is loaded. This person also helps setup and build the camera, as well as maintain and clean the camera and lenses.</t>
  </si>
  <si>
    <t xml:space="preserve"> The 2nd AC is also known as the loader. The 2nd assistant camera person is primarily responsible for loading and unloading the new rolls of film into the different magazines, as well as maintaining and filling out all the camera reports for the film lab. This person also runs the slate or clapper to maintain sync and the correct labeling for each and every shot.</t>
  </si>
  <si>
    <t xml:space="preserve"> The camera operator physically controls and operates the camera during filming, under the direction of the D.P. (Director of Photography). The camera operator works closely with both A.C.’s as well. The camera operator controls the shot’s framing, and the camera movements as instructed by the director of photography.</t>
  </si>
  <si>
    <t xml:space="preserve"> This is another new job position that was created in response to the popular use of high-end digital video formats. The digital imaging technician uses various image manipulation methods to achieve the highest possible image quality during the production. This person usually manages the transferring and storage of the image data as well.</t>
  </si>
  <si>
    <t xml:space="preserve"> The director of photography (D.P.) is in charge of the overall visual look of the film, as seen through the camera. They recommend which cameras and lenses to use for the production. They design the shot’s framing, and the camera movements in conjunction with the director. They are also in charge of the camera crew, lighting design and collaborating with the gaffer.</t>
  </si>
  <si>
    <t xml:space="preserve"> Craft Services are the various snacks and beverages that are provided to the film crew throughout the day. This is separate from catering. The person in charge of craft service sets up and maintains a station near production that provides these snacks and beverages. The craft service person is given a budget prior to attaining all the refreshments.</t>
  </si>
  <si>
    <t xml:space="preserve"> The best boy is the lead electrician on set and is in charge of all the other electricians, similar to how the key grip is in charge of all the grips. The best boy usually operates, adjusts and balances the electrical load on the generator where required. This person is also responsible for distributing the electrical cabling properly providing the required power to each of the lights.</t>
  </si>
  <si>
    <t xml:space="preserve"> The electricians (or juicers) essentially set up and operate all the lighting instruments and cabling as instructed by the best boy or gaffer. This is a physically demanding job due to the large number of heavy lights and cabling often required. Electricians must be knowledgeable of tungsten and HMI lighting as well as changing and installing bulbs properly.</t>
  </si>
  <si>
    <t xml:space="preserve"> The gaffer is also known as the chief lighting technician. This person is primarily responsible for developing a lighting plan according to the desires of the Director of Photography. The gaffer informs the best boy and key grip on where and which lights are to be placed. The gaffer is in charge of creating the best possible lighting scenario according to the camera framing.</t>
  </si>
  <si>
    <t xml:space="preserve"> Grips essentially “shape the light” that is provided by the electricians. This includes creating pattern and shadow effects, coloring light, diffusing light or blocking light. While electricians set up the lights and cabling, grips provide everything else that is built around the lights to create the quality of light that the gaffer desires. They also provide a variety of special rigging, securing and safety measures on set.</t>
  </si>
  <si>
    <t xml:space="preserve"> The key grip is the lead grip on a film set and in charge of all the other grips. The key grip and best boy collaborate with the gaffer and D.P. to formulate the best tactic for accomplishing a given shot. The key grip oversees the proper camera rigging mechanisms as well as manages the light blocking and diffusing techniques.</t>
  </si>
  <si>
    <t xml:space="preserve"> Quite often the location scout is one of the first crew members to be contacted on a production. The location scout assists in finding the various filming locations according to the producer and director’s desires. Location scouts often have a large database of location photographs to show before traveling to the actual location for filming.</t>
  </si>
  <si>
    <t xml:space="preserve"> The 1st assistant director works with both the production manager and the director to make the shooting schedule efficient as possible. The 1st A.D. breaks the script down into a shooting schedule and also helps manage the scheduling of talent, crew and equipment needed for each shooting day. This person sometimes helps direct the background extras in a scene.</t>
  </si>
  <si>
    <t xml:space="preserve"> The 2nd A.D. works directly with the 1st A.D. to accomplish their duties. The call sheets for each shooting day are created by the 2nd assistant director. The 2nd A.D. also helps manage the scheduling of talent, crew and equipment that is needed for each day. This person also assists in directing the background extras in a movie scene.</t>
  </si>
  <si>
    <t xml:space="preserve"> Many individuals start their careers in the film industry as a production assistant. A production assistant usually does any general duty or minor task that the production heads may need. Basic duties may include dispersing walkie-talkies, setting up pop-up tents and tables, running basic errands as needed or attaining any other last-minute item that the production might need. It is essential that the P.A. has their own transportation to perform these various errands.</t>
  </si>
  <si>
    <t xml:space="preserve"> A production coordinator is responsible for coordinating the “behind the scenes” logistics, which can include renting equipment, hiring crew members, and coordinating talent. In addition, this crew member may handle the paperwork needed to organize the production. For this reason, the production coordinator is an important crew member in ensuring a production’s goals are on budget and on time.</t>
  </si>
  <si>
    <t xml:space="preserve"> The production manager works closely with the production coordinator. This person helps supervise the organization and distribution of the production budget, crew &amp; equipment scheduling, salaries, day rates, and other office related paperwork. This person reports budget needs to the line producer, while trying to keep the production under budget on a day to day basis.</t>
  </si>
  <si>
    <t xml:space="preserve"> The script supervisor works closely with the director by taking detailed notes concerning what has been shot, needs to be shot, and also notes any deviations from take to take. He/she also makes sure that the dialogue corresponds with the script. The script supervisor also takes logging notes that are essential in the post production editing process, such as locating shots and finding the best takes. Many times the script supervisor assumes the role of continuity, ensuring the consistency between scenes and shots.</t>
  </si>
  <si>
    <t xml:space="preserve"> The video assist person operates the VTR (Video Tape Recorder) during production. Most film cameras include a video tap that allows the VTR to record and instantly playback what was just filmed. Since you can’t review 35mm film without it getting processed in the laboratory first, this can be an especially useful tool on set. Video assist is the term used to describe this record and playback process. Reviewing the footage instantly allows the director to confirm performances, camera focus, framing, choreography and other elements for accuracy.</t>
  </si>
  <si>
    <t xml:space="preserve"> This person is responsible for properly positioning the microphone boom pole during the actual filming. The boom operator is the assistant to the sound mixer. Many times the boom operator is required to hold the boom pole for several minutes at a time, which can be physically demanding. The boom operator must also be able to follow the actors movements while staying clear of the camera and lights. This makes it a challenging job for achieving the best possible audio.</t>
  </si>
  <si>
    <t xml:space="preserve"> The sound mixer for film is head of the sound department and is responsible for leveling, monitoring and recording of audio during production. The sound mixer decides which microphones to use as well as placements of the microphones. This person can also mix the various sound tracks and audio signals in real time. A film sound mixer supervises the boom operator and/or sound utility person.</t>
  </si>
  <si>
    <t xml:space="preserve"> The stunt coordinator manages and coordinates all the dangerous action sequences in a movie that require a stuntman or stunt performer. The stunt coordinator always follows the appropriate safety regulations during filming to ensure the safety of every stunt performer. Types of stunts may include jumping, flipping, diving, free-falling, crashing cars, catching fire, underwater stunts and other dangerous action sequences where stunt doubles are needed.</t>
  </si>
  <si>
    <t xml:space="preserve"> The transportation coordinator, or gang boss, organizes and provides a variety of vehicles and transportation for all crew, equipment and actors to and from the filming locations. The transportation coordinator/captain deploys the appropriate vehicles and drivers at the proper times to keep the production on schedule and on budget. They also work closely with the locations manager in attaining the proper parking permits and parking locations for all vehicles.</t>
  </si>
  <si>
    <t xml:space="preserve"> The transportation driver works under the supervision of the transportation captain. Transportation drivers physically drive and operate all provided production vehicles to and from the filming locations. This includes the transport of all crew, equipment and actors safely to and from the film set while staying on schedule. Types of production vehicles may include cube trucks, passenger vans, stake beds, flatbeds, limos, cars or any other needed production vehicle.</t>
  </si>
  <si>
    <t>Grips</t>
  </si>
  <si>
    <t>Electrics</t>
  </si>
  <si>
    <t>Crane Tech</t>
  </si>
  <si>
    <t>Some cranes, such as technocranes, require dedicated operators. These technicians often accompany the crane rental and are referred by the equioment rental facility.</t>
  </si>
  <si>
    <t>The choreographer is responsible for designing and guiding execution of coordinated movement by actors</t>
  </si>
  <si>
    <t>Crew which is distinct from the crew on the shoot, and which is brought in specifically to set up for the shoot or pack up after the shoot.</t>
  </si>
  <si>
    <t>A Safety Ofiicer is necessary whenever dangerous stunts, pyrotechnics or other practical visual effects are part of the shoot</t>
  </si>
  <si>
    <t>The Site Rep is whoever the owner of a location has designated as their representative to be the responsible party on location during the shoot</t>
  </si>
  <si>
    <t>The medic is on set to facillitate any emergency medical care which may be needed.</t>
  </si>
  <si>
    <t>Firefighter/Police Officers/Ranger/CHP</t>
  </si>
  <si>
    <t>These Professionals are required for specific locations, events, props, effects or stunts on set. Police and CHP (California Highway Patrol) often facillitate traffic control or road blockages; Firefighters supervise pyrotechnics and hydrant openings; Rangers are responsible for state, municiple or national parks and other properties</t>
  </si>
  <si>
    <t>Teachers and/or welfare workers are required in most states whenever children are present on set.</t>
  </si>
  <si>
    <t>Monies dispersed to crew while travelling</t>
  </si>
  <si>
    <t>Gas, tolls, supplies and materials used by location scouts while surveying potential locations</t>
  </si>
  <si>
    <t>The Casting Director is responsible for locating appropriate talent, managing casting calls and running auditions at the direction of the director and director's production team.</t>
  </si>
  <si>
    <t>The Casting facility is where casting sessions are held.</t>
  </si>
  <si>
    <t>Monies paid by production for the use of any property required for the production. This can be property which is filmed, and also property used as holding areas for talent, parking for vehicles, etc.</t>
  </si>
  <si>
    <t>Paid permits are often required to use public areas such as roadways and parks</t>
  </si>
  <si>
    <t>A mobile home used for actors when not on set</t>
  </si>
  <si>
    <t>Supplies necessary for food prep on, or for set</t>
  </si>
  <si>
    <t>Kit rentals are paid to crew who provide tools and other supplies of their own to aid in production</t>
  </si>
  <si>
    <t>Sustainable practices refers to actions undertaken in order to conduct environmentally conscious production practices such as recycling of props, electronics, food service items, costs associated with energy efficiency  initiatives and practicesetc.</t>
  </si>
  <si>
    <t>Labeling and artwork on products often need to be adjusted prior to their being filmed in order for them to appear as they do in a natural setting. Additionally, they may need to be cleaned, reparied or otherwise dressed.</t>
  </si>
  <si>
    <t>Plants and other natural set dressing items</t>
  </si>
  <si>
    <t>Picture Vehicles are any vehicles which will appear in the filmed imagery. These are often period cars or other specialty vehicles, but can also simply being used as background elements.</t>
  </si>
  <si>
    <t>Any animal used in the production requires specific, trained handlers who will have responsibility for the animal's welfare and may guide the animal's behaviour while on camera.</t>
  </si>
  <si>
    <t>Theatrical makeup refers to any makeup used to change the appearance of an actor.</t>
  </si>
  <si>
    <t xml:space="preserve">Build Days </t>
  </si>
  <si>
    <t>Build Days are days needed to create or prepare a set for photography - for example building sets on a stage, or dressing a location.</t>
  </si>
  <si>
    <t>Pre-Lite Days</t>
  </si>
  <si>
    <t>Pre-Lite Days are any days required for technicians to prep a set or location for photography</t>
  </si>
  <si>
    <t>Shoot Days</t>
  </si>
  <si>
    <t>Any days on which the camera will roll.</t>
  </si>
  <si>
    <t>Strike Days</t>
  </si>
  <si>
    <t>Strike Days are days after shooting which are required to restore a location or stage to the condition in which it was found.</t>
  </si>
  <si>
    <t>Leadperson: The member of the art department who is in charge of swing gangs and/or set dressers and reports to the set decorator.</t>
  </si>
  <si>
    <t>Set Decorator: A person who has total charge of decorating the set with all furnishings, drapery, interior plants, and anything seen on indoor or outdoor sets. The set decorator has authority over a leadman.</t>
  </si>
  <si>
    <t>Generator</t>
  </si>
  <si>
    <t>Stage Manager</t>
  </si>
  <si>
    <t>VTR</t>
  </si>
  <si>
    <t>Dolly</t>
  </si>
  <si>
    <t>Portable power source for shooting n location</t>
  </si>
  <si>
    <t>The Stage Manager is the contact at the stage who is responsible for handling any issues related to the facility</t>
  </si>
  <si>
    <t>Scissor Lift</t>
  </si>
  <si>
    <t>Condor</t>
  </si>
  <si>
    <t>A Condor is a large crane with a platform to accommodate crew, lights and other gear when shooting on location. The largest version has a working height f 170 feet.</t>
  </si>
  <si>
    <t>Any building work performed by sub-contractors</t>
  </si>
  <si>
    <t>Work required to render a car  ready for photography. Generally only necessary when car is featured as a product and performed by specialists often certified by client.</t>
  </si>
  <si>
    <t>Video equipment for use during shoot to provide video playback and realtime display of footage as it is captured through camera, both for client and agency as well as for crew (including Director)</t>
  </si>
  <si>
    <t>Mechanical moving platform which can accept both gear and crew (most often camera, Camera operator and/ or director). Used to create smooth moving camera shots.</t>
  </si>
  <si>
    <t>Car on which a camera rig is mounted for shooting while driving. Often used for car commercials.</t>
  </si>
  <si>
    <t>Cost to develop film.</t>
  </si>
  <si>
    <t>Media and labor to creat review material in common formats from shoot.</t>
  </si>
  <si>
    <t>Special insurance is generally needed for pyrotechnics, stunts or other specific activity with liability not normally included in the coverage provided by standard production packages</t>
  </si>
  <si>
    <t>Aditions to pay for labor that are above and beyond the base rates for crew or talent ,such as taxes, withholding, any union dues or guild payments</t>
  </si>
  <si>
    <t>On Camera Principles are actors who are necessarily featured by vitue of the use of their likeness or specific action in picture . Generally identified as either: receiving direction directly from the director (as opposed to the 1st AD); speaking on camera; performing specific, scripted actions, or being clearly identifiable within frame.</t>
  </si>
  <si>
    <t>Extras are used to fill a scene, performing general actions and not directly interacting with principle actors. Extras may only take direction from the 1st AD. Once an actor is given any instruction directly by the director, they become a principal.</t>
  </si>
  <si>
    <t>Hand Models/ Parts Models</t>
  </si>
  <si>
    <t>Any actor/ performer whose only actions involve their extremities (hands, feet etc) for the purpose of displaying or interacting with a product or prop.</t>
  </si>
  <si>
    <t>Voice performance by an actor who does not appear visually within the commercial.</t>
  </si>
  <si>
    <t>Payment to talent for wardrobe fitting sessions</t>
  </si>
  <si>
    <t>Payment to talent for auditions</t>
  </si>
  <si>
    <t>Fees to agents who represent talent.</t>
  </si>
  <si>
    <t>Cost to run payroll through a professional payroll service for the purpose of withholding fringes. Can apply to any performer or crew member.</t>
  </si>
  <si>
    <t>Dialog Replacement  (ADR)</t>
  </si>
  <si>
    <t xml:space="preserve">The steadicam is a camera mounting device that utilizes a mechanical arm attached to a body harness to provide extremely smooth hand-held shots. The steadicam operator is responsible for setting up and operating the steadicam during production. </t>
  </si>
  <si>
    <t>Digital Editing (Audio)</t>
  </si>
  <si>
    <t>This technician operates the remote control for crane heads which provide camera movement while the camera is mounted on a crane</t>
  </si>
  <si>
    <t>A Scissor Lift is a powered, raisable scaffld for crew to use when hanging lights or rigging elements which must be hung from a height on stage</t>
  </si>
  <si>
    <t>Raised, weight-bearing platform for building raised set surfaces</t>
  </si>
  <si>
    <t>Leadman / Leadperson</t>
  </si>
  <si>
    <t>Scenic</t>
  </si>
  <si>
    <t>A crew member in charge of background art on set. Can include painting backgrounds.</t>
  </si>
  <si>
    <t>Assorted supplies which are often discarded after use - light gels and bounces, Luan, adhesive tapes etc</t>
  </si>
  <si>
    <t>Location Manager</t>
  </si>
  <si>
    <t>prep</t>
  </si>
  <si>
    <t>cast &amp; callback</t>
  </si>
  <si>
    <t>Production MoHo</t>
  </si>
  <si>
    <t>Jib Arm</t>
  </si>
  <si>
    <t>Pre-Roll Versions</t>
  </si>
  <si>
    <t>OT Total</t>
  </si>
  <si>
    <t>Day Total</t>
  </si>
  <si>
    <t>Section X Production Fee</t>
  </si>
  <si>
    <t>CANNOT REMOVE P1</t>
  </si>
  <si>
    <t>Each</t>
  </si>
  <si>
    <t xml:space="preserve">  </t>
  </si>
  <si>
    <t>pcs</t>
  </si>
  <si>
    <t xml:space="preserve">O/C Principals </t>
  </si>
  <si>
    <t>qty</t>
  </si>
  <si>
    <t>Limousines</t>
  </si>
  <si>
    <t>Cabs/ Ubers/ Lyfts / Other Transportation</t>
  </si>
  <si>
    <t>Assistant Production Supervisor</t>
  </si>
  <si>
    <t>Other</t>
  </si>
  <si>
    <t>Compliance Assistant</t>
  </si>
  <si>
    <t>Line No</t>
  </si>
  <si>
    <t>Line Title</t>
  </si>
  <si>
    <t>Unit Type</t>
  </si>
  <si>
    <t>Prod Fee</t>
  </si>
  <si>
    <t>First P</t>
  </si>
  <si>
    <t>Last P</t>
  </si>
  <si>
    <t>P2.</t>
  </si>
  <si>
    <t>XProdFee</t>
  </si>
  <si>
    <t>PostProdIns</t>
  </si>
  <si>
    <t>PostProdMU</t>
  </si>
  <si>
    <t>PostProdTax</t>
  </si>
  <si>
    <t>A</t>
  </si>
  <si>
    <t>B</t>
  </si>
  <si>
    <t>C</t>
  </si>
  <si>
    <t>D</t>
  </si>
  <si>
    <t>E</t>
  </si>
  <si>
    <t>F</t>
  </si>
  <si>
    <t>G</t>
  </si>
  <si>
    <t>H</t>
  </si>
  <si>
    <t>I</t>
  </si>
  <si>
    <t>J</t>
  </si>
  <si>
    <t>K</t>
  </si>
  <si>
    <t>O</t>
  </si>
  <si>
    <t>Q</t>
  </si>
  <si>
    <t>R</t>
  </si>
  <si>
    <t>S</t>
  </si>
  <si>
    <t>T</t>
  </si>
  <si>
    <t>V</t>
  </si>
  <si>
    <t>W</t>
  </si>
  <si>
    <t>Breakout Labor</t>
  </si>
  <si>
    <t>Breakout Expenses</t>
  </si>
  <si>
    <t>P3.</t>
  </si>
  <si>
    <t>Breakout Talent</t>
  </si>
  <si>
    <t>P4.</t>
  </si>
  <si>
    <t>Breakout Blank</t>
  </si>
  <si>
    <t>State OT</t>
  </si>
  <si>
    <t>Day Rate to State Law</t>
  </si>
  <si>
    <t>State Day</t>
  </si>
  <si>
    <t>Strt Total</t>
  </si>
  <si>
    <t>Prod. Fee</t>
  </si>
  <si>
    <t>Set Fee and Ins percentages here, then use the checkboxes in the table at  AM45:AY55 to choose the sections to which they should be applied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</si>
</sst>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8" formatCode="&quot;$&quot;#,##0.00_);[Red]\(&quot;$&quot;#,##0.00\)"/>
    <numFmt numFmtId="44" formatCode="_(&quot;$&quot;* #,##0.00_);_(&quot;$&quot;* \(#,##0.00\);_(&quot;$&quot;* &quot;-&quot;??_);_(@_)"/>
    <numFmt numFmtId="43" formatCode="_(* #,##0.00_);_(* \(#,##0.00\);_(* &quot;-&quot;??_);_(@_)"/>
    <numFmt numFmtId="164" formatCode="0.0"/>
    <numFmt numFmtId="165" formatCode="000"/>
    <numFmt numFmtId="166" formatCode="&quot;$&quot;#,##0.00_);[Red]\(#,##0.00\)"/>
  </numFmts>
  <fonts count="62" x14ac:knownFonts="1">
    <font>
      <sz val="12"/>
      <color theme="1"/>
      <name val="Calibri"/>
      <family val="2"/>
      <scheme val="minor"/>
    </font>
    <font>
      <sz val="12"/>
      <color theme="1"/>
      <name val="Calibri"/>
      <family val="2"/>
      <scheme val="minor"/>
    </font>
    <font>
      <sz val="12"/>
      <color theme="1"/>
      <name val="Georgia"/>
      <family val="1"/>
    </font>
    <font>
      <b/>
      <sz val="12"/>
      <color theme="1"/>
      <name val="Georgia"/>
      <family val="1"/>
    </font>
    <font>
      <b/>
      <sz val="14"/>
      <color theme="0"/>
      <name val="Georgia"/>
      <family val="1"/>
    </font>
    <font>
      <sz val="14"/>
      <color theme="0"/>
      <name val="Calibri"/>
      <family val="2"/>
      <scheme val="minor"/>
    </font>
    <font>
      <sz val="14"/>
      <color theme="1"/>
      <name val="Calibri"/>
      <family val="2"/>
      <scheme val="minor"/>
    </font>
    <font>
      <sz val="13"/>
      <color theme="1"/>
      <name val="Calibri"/>
      <family val="2"/>
      <scheme val="minor"/>
    </font>
    <font>
      <b/>
      <sz val="13"/>
      <color theme="1"/>
      <name val="Georgia"/>
      <family val="1"/>
    </font>
    <font>
      <b/>
      <sz val="16"/>
      <color theme="0"/>
      <name val="Georgia"/>
      <family val="1"/>
    </font>
    <font>
      <sz val="16"/>
      <color theme="1"/>
      <name val="Calibri"/>
      <family val="2"/>
      <scheme val="minor"/>
    </font>
    <font>
      <sz val="11"/>
      <color theme="1"/>
      <name val="Georgia"/>
      <family val="1"/>
    </font>
    <font>
      <b/>
      <sz val="12"/>
      <color theme="0"/>
      <name val="Georgia"/>
      <family val="1"/>
    </font>
    <font>
      <sz val="10"/>
      <name val="Geneva"/>
      <family val="2"/>
    </font>
    <font>
      <b/>
      <sz val="13"/>
      <color rgb="FFFF0000"/>
      <name val="Calibri"/>
      <family val="2"/>
      <scheme val="minor"/>
    </font>
    <font>
      <sz val="12"/>
      <name val="Calibri"/>
      <family val="2"/>
      <scheme val="minor"/>
    </font>
    <font>
      <sz val="8"/>
      <name val="Calibri"/>
      <family val="2"/>
      <scheme val="minor"/>
    </font>
    <font>
      <b/>
      <sz val="10"/>
      <color theme="1"/>
      <name val="Georgia"/>
      <family val="1"/>
    </font>
    <font>
      <b/>
      <sz val="12"/>
      <name val="Georgia"/>
      <family val="1"/>
    </font>
    <font>
      <sz val="12"/>
      <name val="Georgia"/>
      <family val="1"/>
    </font>
    <font>
      <b/>
      <sz val="13"/>
      <name val="Georgia"/>
      <family val="1"/>
    </font>
    <font>
      <sz val="13"/>
      <name val="Calibri"/>
      <family val="2"/>
      <scheme val="minor"/>
    </font>
    <font>
      <b/>
      <sz val="10"/>
      <name val="Georgia"/>
      <family val="1"/>
    </font>
    <font>
      <b/>
      <sz val="14"/>
      <color indexed="9"/>
      <name val="Georgia"/>
      <family val="1"/>
    </font>
    <font>
      <sz val="11"/>
      <color rgb="FF000000"/>
      <name val="Calibri"/>
      <family val="2"/>
      <scheme val="minor"/>
    </font>
    <font>
      <sz val="12"/>
      <color indexed="12"/>
      <name val="Georgia"/>
      <family val="1"/>
    </font>
    <font>
      <b/>
      <sz val="12"/>
      <color indexed="12"/>
      <name val="Georgia"/>
      <family val="1"/>
    </font>
    <font>
      <b/>
      <sz val="12"/>
      <color theme="1"/>
      <name val="Calibri"/>
      <family val="2"/>
      <scheme val="minor"/>
    </font>
    <font>
      <sz val="11"/>
      <name val="Georgia"/>
      <family val="1"/>
    </font>
    <font>
      <sz val="20"/>
      <color theme="1"/>
      <name val="Calibri"/>
      <family val="2"/>
      <scheme val="minor"/>
    </font>
    <font>
      <sz val="10"/>
      <color theme="1"/>
      <name val="Georgia"/>
      <family val="1"/>
    </font>
    <font>
      <sz val="10"/>
      <name val="Georgia"/>
      <family val="1"/>
    </font>
    <font>
      <b/>
      <sz val="10"/>
      <color theme="0"/>
      <name val="Georgia"/>
      <family val="1"/>
    </font>
    <font>
      <sz val="10"/>
      <color theme="0"/>
      <name val="Georgia"/>
      <family val="1"/>
    </font>
    <font>
      <sz val="10"/>
      <color theme="1"/>
      <name val="Calibri"/>
      <family val="2"/>
      <scheme val="minor"/>
    </font>
    <font>
      <sz val="10"/>
      <name val="Calibri"/>
      <family val="2"/>
      <scheme val="minor"/>
    </font>
    <font>
      <b/>
      <sz val="20"/>
      <color theme="0"/>
      <name val="Georgia"/>
      <family val="1"/>
    </font>
    <font>
      <sz val="12"/>
      <color theme="0"/>
      <name val="Calibri"/>
      <family val="2"/>
      <scheme val="minor"/>
    </font>
    <font>
      <sz val="16"/>
      <color theme="1"/>
      <name val="Georgia"/>
      <family val="1"/>
    </font>
    <font>
      <sz val="10"/>
      <color indexed="12"/>
      <name val="Georgia"/>
      <family val="1"/>
    </font>
    <font>
      <b/>
      <sz val="10"/>
      <color indexed="12"/>
      <name val="Georgia"/>
      <family val="1"/>
    </font>
    <font>
      <b/>
      <sz val="16"/>
      <color theme="1"/>
      <name val="Georgia"/>
      <family val="1"/>
    </font>
    <font>
      <b/>
      <sz val="11"/>
      <color theme="1"/>
      <name val="Georgia"/>
      <family val="1"/>
    </font>
    <font>
      <sz val="11"/>
      <color theme="1"/>
      <name val="Calibri"/>
      <family val="2"/>
      <scheme val="minor"/>
    </font>
    <font>
      <b/>
      <sz val="11"/>
      <color theme="0"/>
      <name val="Georgia"/>
      <family val="1"/>
    </font>
    <font>
      <b/>
      <sz val="11"/>
      <name val="Georgia"/>
      <family val="1"/>
    </font>
    <font>
      <i/>
      <sz val="11"/>
      <color theme="1"/>
      <name val="Georgia"/>
      <family val="1"/>
    </font>
    <font>
      <sz val="11"/>
      <color theme="0"/>
      <name val="Georgia"/>
      <family val="1"/>
    </font>
    <font>
      <strike/>
      <sz val="11"/>
      <name val="Georgia"/>
      <family val="1"/>
    </font>
    <font>
      <sz val="11"/>
      <color rgb="FF242729"/>
      <name val="Georgia"/>
      <family val="1"/>
    </font>
    <font>
      <sz val="11"/>
      <color rgb="FF000000"/>
      <name val="Georgia"/>
      <family val="1"/>
    </font>
    <font>
      <sz val="13"/>
      <color theme="1"/>
      <name val="Georgia"/>
      <family val="1"/>
    </font>
    <font>
      <sz val="14"/>
      <color theme="1"/>
      <name val="Georgia"/>
      <family val="1"/>
    </font>
    <font>
      <sz val="14"/>
      <color theme="0"/>
      <name val="Georgia"/>
      <family val="1"/>
    </font>
    <font>
      <b/>
      <sz val="14"/>
      <color theme="1"/>
      <name val="Georgia"/>
      <family val="1"/>
    </font>
    <font>
      <b/>
      <sz val="13"/>
      <color rgb="FFFF0000"/>
      <name val="Georgia"/>
      <family val="1"/>
    </font>
    <font>
      <sz val="13"/>
      <name val="Georgia"/>
      <family val="1"/>
    </font>
    <font>
      <sz val="12"/>
      <color rgb="FFFF0000"/>
      <name val="Calibri"/>
      <family val="2"/>
      <scheme val="minor"/>
    </font>
    <font>
      <b/>
      <sz val="14"/>
      <color rgb="FFFFFFFF"/>
      <name val="Georgia"/>
      <family val="1"/>
    </font>
    <font>
      <b/>
      <sz val="10"/>
      <color rgb="FF000000"/>
      <name val="Georgia"/>
      <family val="1"/>
    </font>
    <font>
      <b/>
      <sz val="8"/>
      <color theme="0"/>
      <name val="Georgia"/>
      <family val="1"/>
    </font>
    <font>
      <sz val="8"/>
      <color rgb="FF000000"/>
      <name val="Segoe UI"/>
      <family val="2"/>
      <charset val="1"/>
    </font>
  </fonts>
  <fills count="13">
    <fill>
      <patternFill patternType="none"/>
    </fill>
    <fill>
      <patternFill patternType="gray125"/>
    </fill>
    <fill>
      <patternFill patternType="solid">
        <fgColor theme="1"/>
        <bgColor indexed="64"/>
      </patternFill>
    </fill>
    <fill>
      <patternFill patternType="solid">
        <fgColor theme="0" tint="-4.9989318521683403E-2"/>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9"/>
        <bgColor indexed="64"/>
      </patternFill>
    </fill>
    <fill>
      <patternFill patternType="solid">
        <fgColor rgb="FFC00000"/>
        <bgColor indexed="64"/>
      </patternFill>
    </fill>
    <fill>
      <patternFill patternType="solid">
        <fgColor theme="9" tint="-0.249977111117893"/>
        <bgColor indexed="64"/>
      </patternFill>
    </fill>
    <fill>
      <patternFill patternType="solid">
        <fgColor theme="8" tint="0.79998168889431442"/>
        <bgColor indexed="64"/>
      </patternFill>
    </fill>
    <fill>
      <patternFill patternType="solid">
        <fgColor rgb="FF000000"/>
        <bgColor rgb="FF000000"/>
      </patternFill>
    </fill>
    <fill>
      <patternFill patternType="solid">
        <fgColor rgb="FFF2F2F2"/>
        <bgColor rgb="FF000000"/>
      </patternFill>
    </fill>
  </fills>
  <borders count="102">
    <border>
      <left/>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top style="thin">
        <color theme="1" tint="0.499984740745262"/>
      </top>
      <bottom/>
      <diagonal/>
    </border>
    <border>
      <left/>
      <right/>
      <top style="thin">
        <color theme="1" tint="0.499984740745262"/>
      </top>
      <bottom/>
      <diagonal/>
    </border>
    <border>
      <left/>
      <right style="thin">
        <color theme="1" tint="0.499984740745262"/>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right style="thin">
        <color theme="1" tint="0.499984740745262"/>
      </right>
      <top/>
      <bottom style="thin">
        <color theme="1" tint="0.499984740745262"/>
      </bottom>
      <diagonal/>
    </border>
    <border>
      <left/>
      <right style="thin">
        <color theme="1" tint="0.499984740745262"/>
      </right>
      <top/>
      <bottom/>
      <diagonal/>
    </border>
    <border>
      <left/>
      <right/>
      <top style="thin">
        <color rgb="FF808080"/>
      </top>
      <bottom style="thin">
        <color rgb="FF808080"/>
      </bottom>
      <diagonal/>
    </border>
    <border>
      <left/>
      <right/>
      <top style="thin">
        <color rgb="FF808080"/>
      </top>
      <bottom style="thin">
        <color theme="1" tint="0.499984740745262"/>
      </bottom>
      <diagonal/>
    </border>
    <border>
      <left style="thin">
        <color theme="1" tint="0.499984740745262"/>
      </left>
      <right/>
      <top/>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1" tint="0.499984740745262"/>
      </left>
      <right style="thin">
        <color theme="1" tint="0.499984740745262"/>
      </right>
      <top style="thin">
        <color theme="1" tint="0.499984740745262"/>
      </top>
      <bottom/>
      <diagonal/>
    </border>
    <border>
      <left style="thin">
        <color theme="1" tint="0.499984740745262"/>
      </left>
      <right style="thin">
        <color theme="1" tint="0.499984740745262"/>
      </right>
      <top/>
      <bottom style="thin">
        <color theme="1" tint="0.499984740745262"/>
      </bottom>
      <diagonal/>
    </border>
    <border>
      <left/>
      <right/>
      <top style="thin">
        <color theme="1" tint="0.499984740745262"/>
      </top>
      <bottom style="thin">
        <color theme="1"/>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
      <left/>
      <right/>
      <top style="thin">
        <color theme="1"/>
      </top>
      <bottom/>
      <diagonal/>
    </border>
    <border>
      <left/>
      <right style="thin">
        <color theme="1" tint="0.499984740745262"/>
      </right>
      <top style="thin">
        <color theme="1" tint="0.499984740745262"/>
      </top>
      <bottom style="thin">
        <color theme="1"/>
      </bottom>
      <diagonal/>
    </border>
    <border>
      <left/>
      <right style="thin">
        <color theme="1" tint="0.499984740745262"/>
      </right>
      <top style="thin">
        <color theme="1"/>
      </top>
      <bottom style="thin">
        <color theme="1"/>
      </bottom>
      <diagonal/>
    </border>
    <border>
      <left/>
      <right/>
      <top/>
      <bottom style="thin">
        <color theme="1"/>
      </bottom>
      <diagonal/>
    </border>
    <border>
      <left style="thin">
        <color theme="1"/>
      </left>
      <right/>
      <top style="thin">
        <color theme="1"/>
      </top>
      <bottom/>
      <diagonal/>
    </border>
    <border>
      <left/>
      <right/>
      <top style="thin">
        <color theme="1" tint="0.499984740745262"/>
      </top>
      <bottom style="thin">
        <color rgb="FF808080"/>
      </bottom>
      <diagonal/>
    </border>
    <border>
      <left/>
      <right/>
      <top style="thin">
        <color theme="1" tint="0.499984740745262"/>
      </top>
      <bottom style="thin">
        <color theme="0" tint="-0.499984740745262"/>
      </bottom>
      <diagonal/>
    </border>
    <border>
      <left/>
      <right style="thin">
        <color theme="0" tint="-0.499984740745262"/>
      </right>
      <top style="thin">
        <color theme="1" tint="0.499984740745262"/>
      </top>
      <bottom style="thin">
        <color theme="0" tint="-0.499984740745262"/>
      </bottom>
      <diagonal/>
    </border>
    <border>
      <left style="thin">
        <color theme="0" tint="-0.499984740745262"/>
      </left>
      <right/>
      <top style="thin">
        <color theme="1" tint="0.499984740745262"/>
      </top>
      <bottom style="thin">
        <color theme="0" tint="-0.499984740745262"/>
      </bottom>
      <diagonal/>
    </border>
    <border>
      <left/>
      <right style="thin">
        <color theme="0" tint="-0.499984740745262"/>
      </right>
      <top/>
      <bottom/>
      <diagonal/>
    </border>
    <border>
      <left/>
      <right style="thin">
        <color theme="1"/>
      </right>
      <top style="thin">
        <color theme="1" tint="0.499984740745262"/>
      </top>
      <bottom/>
      <diagonal/>
    </border>
    <border>
      <left/>
      <right style="thin">
        <color theme="1"/>
      </right>
      <top/>
      <bottom style="thin">
        <color theme="1" tint="0.499984740745262"/>
      </bottom>
      <diagonal/>
    </border>
    <border>
      <left style="thin">
        <color theme="1" tint="0.499984740745262"/>
      </left>
      <right/>
      <top/>
      <bottom style="thin">
        <color theme="1"/>
      </bottom>
      <diagonal/>
    </border>
    <border>
      <left style="thin">
        <color theme="1" tint="0.499984740745262"/>
      </left>
      <right/>
      <top style="thin">
        <color theme="1"/>
      </top>
      <bottom/>
      <diagonal/>
    </border>
    <border>
      <left/>
      <right style="thin">
        <color theme="1" tint="0.499984740745262"/>
      </right>
      <top style="thin">
        <color theme="1"/>
      </top>
      <bottom/>
      <diagonal/>
    </border>
    <border>
      <left/>
      <right/>
      <top style="thin">
        <color theme="0" tint="-0.499984740745262"/>
      </top>
      <bottom style="thin">
        <color theme="1" tint="0.499984740745262"/>
      </bottom>
      <diagonal/>
    </border>
    <border>
      <left style="thin">
        <color theme="1" tint="0.499984740745262"/>
      </left>
      <right/>
      <top style="thin">
        <color theme="0" tint="-0.499984740745262"/>
      </top>
      <bottom style="thin">
        <color theme="1" tint="0.499984740745262"/>
      </bottom>
      <diagonal/>
    </border>
    <border>
      <left/>
      <right style="thin">
        <color theme="1" tint="0.499984740745262"/>
      </right>
      <top style="thin">
        <color theme="0" tint="-0.499984740745262"/>
      </top>
      <bottom style="thin">
        <color theme="1" tint="0.499984740745262"/>
      </bottom>
      <diagonal/>
    </border>
    <border>
      <left style="thin">
        <color theme="1" tint="0.499984740745262"/>
      </left>
      <right style="thin">
        <color theme="1" tint="0.499984740745262"/>
      </right>
      <top style="thin">
        <color theme="1" tint="0.499984740745262"/>
      </top>
      <bottom style="thin">
        <color theme="1"/>
      </bottom>
      <diagonal/>
    </border>
    <border>
      <left style="thin">
        <color theme="1" tint="0.34998626667073579"/>
      </left>
      <right/>
      <top style="thin">
        <color theme="1" tint="0.34998626667073579"/>
      </top>
      <bottom style="thin">
        <color theme="1" tint="0.34998626667073579"/>
      </bottom>
      <diagonal/>
    </border>
    <border>
      <left/>
      <right/>
      <top style="thin">
        <color theme="1" tint="0.34998626667073579"/>
      </top>
      <bottom style="thin">
        <color theme="1" tint="0.34998626667073579"/>
      </bottom>
      <diagonal/>
    </border>
    <border>
      <left/>
      <right style="thin">
        <color theme="1" tint="0.34998626667073579"/>
      </right>
      <top style="thin">
        <color theme="1" tint="0.34998626667073579"/>
      </top>
      <bottom style="thin">
        <color theme="1" tint="0.34998626667073579"/>
      </bottom>
      <diagonal/>
    </border>
    <border>
      <left/>
      <right/>
      <top style="thin">
        <color theme="0" tint="-0.499984740745262"/>
      </top>
      <bottom/>
      <diagonal/>
    </border>
    <border>
      <left style="thin">
        <color theme="1" tint="0.499984740745262"/>
      </left>
      <right/>
      <top style="thin">
        <color theme="0" tint="-0.499984740745262"/>
      </top>
      <bottom/>
      <diagonal/>
    </border>
    <border>
      <left/>
      <right style="thin">
        <color theme="1" tint="0.499984740745262"/>
      </right>
      <top style="thin">
        <color theme="0" tint="-0.499984740745262"/>
      </top>
      <bottom/>
      <diagonal/>
    </border>
    <border>
      <left/>
      <right style="thin">
        <color theme="0" tint="-0.499984740745262"/>
      </right>
      <top style="thin">
        <color theme="0" tint="-0.499984740745262"/>
      </top>
      <bottom/>
      <diagonal/>
    </border>
    <border>
      <left style="thin">
        <color theme="1" tint="0.499984740745262"/>
      </left>
      <right/>
      <top style="thin">
        <color theme="1" tint="0.34998626667073579"/>
      </top>
      <bottom style="thin">
        <color theme="1" tint="0.499984740745262"/>
      </bottom>
      <diagonal/>
    </border>
    <border>
      <left/>
      <right/>
      <top style="thin">
        <color theme="1" tint="0.34998626667073579"/>
      </top>
      <bottom style="thin">
        <color theme="1" tint="0.499984740745262"/>
      </bottom>
      <diagonal/>
    </border>
    <border>
      <left/>
      <right style="thin">
        <color theme="1" tint="0.499984740745262"/>
      </right>
      <top style="thin">
        <color theme="1" tint="0.34998626667073579"/>
      </top>
      <bottom style="thin">
        <color theme="1" tint="0.499984740745262"/>
      </bottom>
      <diagonal/>
    </border>
    <border>
      <left style="thin">
        <color auto="1"/>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diagonal/>
    </border>
    <border>
      <left style="thin">
        <color theme="1" tint="0.499984740745262"/>
      </left>
      <right/>
      <top style="thin">
        <color theme="1" tint="0.499984740745262"/>
      </top>
      <bottom style="thin">
        <color theme="1"/>
      </bottom>
      <diagonal/>
    </border>
    <border>
      <left style="thin">
        <color theme="1" tint="0.499984740745262"/>
      </left>
      <right/>
      <top style="thin">
        <color theme="1"/>
      </top>
      <bottom style="thin">
        <color theme="1"/>
      </bottom>
      <diagonal/>
    </border>
    <border>
      <left style="thin">
        <color indexed="64"/>
      </left>
      <right style="thin">
        <color indexed="64"/>
      </right>
      <top style="thin">
        <color indexed="64"/>
      </top>
      <bottom style="thin">
        <color indexed="64"/>
      </bottom>
      <diagonal/>
    </border>
    <border>
      <left/>
      <right style="thin">
        <color theme="1" tint="0.499984740745262"/>
      </right>
      <top style="thin">
        <color theme="0" tint="-0.24994659260841701"/>
      </top>
      <bottom style="thin">
        <color theme="1" tint="0.499984740745262"/>
      </bottom>
      <diagonal/>
    </border>
    <border>
      <left/>
      <right/>
      <top style="thin">
        <color theme="0" tint="-0.24994659260841701"/>
      </top>
      <bottom style="thin">
        <color theme="1" tint="0.499984740745262"/>
      </bottom>
      <diagonal/>
    </border>
    <border>
      <left style="thin">
        <color theme="1" tint="0.499984740745262"/>
      </left>
      <right/>
      <top style="thin">
        <color theme="0" tint="-0.24994659260841701"/>
      </top>
      <bottom style="thin">
        <color theme="1" tint="0.499984740745262"/>
      </bottom>
      <diagonal/>
    </border>
    <border>
      <left style="thin">
        <color theme="1" tint="0.499984740745262"/>
      </left>
      <right/>
      <top/>
      <bottom style="thin">
        <color theme="0" tint="-0.24994659260841701"/>
      </bottom>
      <diagonal/>
    </border>
    <border>
      <left/>
      <right/>
      <top/>
      <bottom style="thin">
        <color theme="0" tint="-0.24994659260841701"/>
      </bottom>
      <diagonal/>
    </border>
    <border>
      <left/>
      <right/>
      <top style="thin">
        <color theme="1" tint="0.499984740745262"/>
      </top>
      <bottom style="thin">
        <color auto="1"/>
      </bottom>
      <diagonal/>
    </border>
    <border>
      <left style="thin">
        <color auto="1"/>
      </left>
      <right/>
      <top style="thin">
        <color auto="1"/>
      </top>
      <bottom style="thin">
        <color theme="1" tint="0.499984740745262"/>
      </bottom>
      <diagonal/>
    </border>
    <border>
      <left/>
      <right/>
      <top style="thin">
        <color auto="1"/>
      </top>
      <bottom style="thin">
        <color theme="1" tint="0.499984740745262"/>
      </bottom>
      <diagonal/>
    </border>
    <border>
      <left/>
      <right style="thin">
        <color auto="1"/>
      </right>
      <top style="thin">
        <color auto="1"/>
      </top>
      <bottom style="thin">
        <color theme="1" tint="0.499984740745262"/>
      </bottom>
      <diagonal/>
    </border>
    <border>
      <left style="thin">
        <color auto="1"/>
      </left>
      <right/>
      <top style="thin">
        <color theme="1" tint="0.499984740745262"/>
      </top>
      <bottom style="thin">
        <color theme="1" tint="0.499984740745262"/>
      </bottom>
      <diagonal/>
    </border>
    <border>
      <left/>
      <right style="thin">
        <color auto="1"/>
      </right>
      <top style="thin">
        <color theme="1" tint="0.499984740745262"/>
      </top>
      <bottom style="thin">
        <color theme="1" tint="0.499984740745262"/>
      </bottom>
      <diagonal/>
    </border>
    <border>
      <left style="thin">
        <color auto="1"/>
      </left>
      <right/>
      <top style="thin">
        <color theme="1" tint="0.499984740745262"/>
      </top>
      <bottom/>
      <diagonal/>
    </border>
    <border>
      <left/>
      <right style="thin">
        <color auto="1"/>
      </right>
      <top style="thin">
        <color theme="1" tint="0.499984740745262"/>
      </top>
      <bottom/>
      <diagonal/>
    </border>
    <border>
      <left style="thin">
        <color auto="1"/>
      </left>
      <right/>
      <top/>
      <bottom style="thin">
        <color theme="1" tint="0.499984740745262"/>
      </bottom>
      <diagonal/>
    </border>
    <border>
      <left/>
      <right style="thin">
        <color auto="1"/>
      </right>
      <top/>
      <bottom style="thin">
        <color theme="1"/>
      </bottom>
      <diagonal/>
    </border>
    <border>
      <left/>
      <right style="thin">
        <color auto="1"/>
      </right>
      <top style="thin">
        <color theme="1"/>
      </top>
      <bottom/>
      <diagonal/>
    </border>
    <border>
      <left style="thin">
        <color auto="1"/>
      </left>
      <right/>
      <top/>
      <bottom style="thin">
        <color auto="1"/>
      </bottom>
      <diagonal/>
    </border>
    <border>
      <left/>
      <right/>
      <top/>
      <bottom style="thin">
        <color auto="1"/>
      </bottom>
      <diagonal/>
    </border>
    <border>
      <left/>
      <right style="thin">
        <color theme="1" tint="0.499984740745262"/>
      </right>
      <top/>
      <bottom style="thin">
        <color auto="1"/>
      </bottom>
      <diagonal/>
    </border>
    <border>
      <left style="thin">
        <color theme="1"/>
      </left>
      <right/>
      <top/>
      <bottom style="thin">
        <color auto="1"/>
      </bottom>
      <diagonal/>
    </border>
    <border>
      <left/>
      <right style="thin">
        <color auto="1"/>
      </right>
      <top/>
      <bottom style="thin">
        <color auto="1"/>
      </bottom>
      <diagonal/>
    </border>
    <border>
      <left style="thin">
        <color auto="1"/>
      </left>
      <right style="thin">
        <color theme="1" tint="0.499984740745262"/>
      </right>
      <top style="thin">
        <color auto="1"/>
      </top>
      <bottom style="thin">
        <color auto="1"/>
      </bottom>
      <diagonal/>
    </border>
    <border>
      <left style="thin">
        <color theme="1" tint="0.499984740745262"/>
      </left>
      <right/>
      <top style="thin">
        <color auto="1"/>
      </top>
      <bottom style="thin">
        <color auto="1"/>
      </bottom>
      <diagonal/>
    </border>
    <border>
      <left/>
      <right style="thin">
        <color theme="1" tint="0.499984740745262"/>
      </right>
      <top style="thin">
        <color theme="1" tint="0.499984740745262"/>
      </top>
      <bottom style="thin">
        <color theme="0" tint="-0.499984740745262"/>
      </bottom>
      <diagonal/>
    </border>
    <border>
      <left style="thin">
        <color theme="0" tint="-0.499984740745262"/>
      </left>
      <right/>
      <top style="thin">
        <color theme="1" tint="0.499984740745262"/>
      </top>
      <bottom style="thin">
        <color theme="1" tint="0.499984740745262"/>
      </bottom>
      <diagonal/>
    </border>
    <border>
      <left style="thin">
        <color theme="1" tint="0.499984740745262"/>
      </left>
      <right/>
      <top style="thin">
        <color theme="1" tint="0.499984740745262"/>
      </top>
      <bottom style="thin">
        <color auto="1"/>
      </bottom>
      <diagonal/>
    </border>
    <border>
      <left/>
      <right style="thin">
        <color theme="1" tint="0.499984740745262"/>
      </right>
      <top style="thin">
        <color theme="1" tint="0.499984740745262"/>
      </top>
      <bottom style="thin">
        <color auto="1"/>
      </bottom>
      <diagonal/>
    </border>
    <border>
      <left/>
      <right style="thin">
        <color theme="1" tint="0.499984740745262"/>
      </right>
      <top style="thin">
        <color auto="1"/>
      </top>
      <bottom style="thin">
        <color auto="1"/>
      </bottom>
      <diagonal/>
    </border>
    <border>
      <left style="thin">
        <color theme="1" tint="0.499984740745262"/>
      </left>
      <right/>
      <top/>
      <bottom style="thin">
        <color auto="1"/>
      </bottom>
      <diagonal/>
    </border>
    <border>
      <left style="thin">
        <color theme="1" tint="0.499984740745262"/>
      </left>
      <right/>
      <top style="thin">
        <color auto="1"/>
      </top>
      <bottom style="thin">
        <color theme="1" tint="0.499984740745262"/>
      </bottom>
      <diagonal/>
    </border>
    <border>
      <left/>
      <right style="thin">
        <color theme="1" tint="0.499984740745262"/>
      </right>
      <top style="thin">
        <color auto="1"/>
      </top>
      <bottom style="thin">
        <color theme="1" tint="0.499984740745262"/>
      </bottom>
      <diagonal/>
    </border>
    <border>
      <left style="thin">
        <color theme="4"/>
      </left>
      <right style="thin">
        <color theme="4"/>
      </right>
      <top style="thin">
        <color theme="4"/>
      </top>
      <bottom style="thin">
        <color theme="4"/>
      </bottom>
      <diagonal/>
    </border>
    <border>
      <left style="thin">
        <color theme="0"/>
      </left>
      <right/>
      <top/>
      <bottom style="thin">
        <color theme="1" tint="0.499984740745262"/>
      </bottom>
      <diagonal/>
    </border>
    <border>
      <left style="thin">
        <color rgb="FF808080"/>
      </left>
      <right/>
      <top/>
      <bottom style="thin">
        <color rgb="FF808080"/>
      </bottom>
      <diagonal/>
    </border>
    <border>
      <left/>
      <right/>
      <top/>
      <bottom style="thin">
        <color rgb="FF808080"/>
      </bottom>
      <diagonal/>
    </border>
    <border>
      <left style="thin">
        <color rgb="FFFFFFFF"/>
      </left>
      <right/>
      <top/>
      <bottom style="thin">
        <color rgb="FF808080"/>
      </bottom>
      <diagonal/>
    </border>
    <border>
      <left style="thin">
        <color rgb="FF808080"/>
      </left>
      <right/>
      <top style="thin">
        <color rgb="FF808080"/>
      </top>
      <bottom/>
      <diagonal/>
    </border>
    <border>
      <left/>
      <right style="thin">
        <color rgb="FF808080"/>
      </right>
      <top style="thin">
        <color rgb="FF808080"/>
      </top>
      <bottom/>
      <diagonal/>
    </border>
    <border>
      <left/>
      <right style="thin">
        <color rgb="FF808080"/>
      </right>
      <top/>
      <bottom style="thin">
        <color rgb="FF808080"/>
      </bottom>
      <diagonal/>
    </border>
    <border>
      <left style="thin">
        <color rgb="FF808080"/>
      </left>
      <right/>
      <top/>
      <bottom style="thin">
        <color theme="1" tint="0.499984740745262"/>
      </bottom>
      <diagonal/>
    </border>
    <border>
      <left/>
      <right style="thin">
        <color rgb="FF808080"/>
      </right>
      <top/>
      <bottom style="thin">
        <color theme="1" tint="0.499984740745262"/>
      </bottom>
      <diagonal/>
    </border>
  </borders>
  <cellStyleXfs count="6">
    <xf numFmtId="0" fontId="0" fillId="0" borderId="0"/>
    <xf numFmtId="43"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13" fillId="0" borderId="0"/>
    <xf numFmtId="8" fontId="13" fillId="0" borderId="0" applyFont="0" applyFill="0" applyBorder="0" applyAlignment="0" applyProtection="0"/>
  </cellStyleXfs>
  <cellXfs count="1061">
    <xf numFmtId="0" fontId="0" fillId="0" borderId="0" xfId="0"/>
    <xf numFmtId="0" fontId="2" fillId="0" borderId="0" xfId="0" applyFont="1"/>
    <xf numFmtId="0" fontId="3" fillId="0" borderId="0" xfId="0" applyFont="1"/>
    <xf numFmtId="0" fontId="2" fillId="3" borderId="3" xfId="0" applyFont="1" applyFill="1" applyBorder="1"/>
    <xf numFmtId="0" fontId="4" fillId="2" borderId="0" xfId="0" applyFont="1" applyFill="1" applyAlignment="1">
      <alignment horizontal="right"/>
    </xf>
    <xf numFmtId="0" fontId="4" fillId="2" borderId="0" xfId="0" applyFont="1" applyFill="1"/>
    <xf numFmtId="0" fontId="6" fillId="0" borderId="0" xfId="0" applyFont="1"/>
    <xf numFmtId="0" fontId="7" fillId="0" borderId="0" xfId="0" applyFont="1"/>
    <xf numFmtId="0" fontId="10" fillId="0" borderId="0" xfId="0" applyFont="1"/>
    <xf numFmtId="0" fontId="3" fillId="0" borderId="9" xfId="0" applyFont="1" applyBorder="1"/>
    <xf numFmtId="0" fontId="2" fillId="0" borderId="9" xfId="0" applyFont="1" applyBorder="1"/>
    <xf numFmtId="0" fontId="0" fillId="0" borderId="9" xfId="0" applyBorder="1"/>
    <xf numFmtId="0" fontId="2" fillId="0" borderId="0" xfId="0" quotePrefix="1" applyFont="1"/>
    <xf numFmtId="0" fontId="2" fillId="0" borderId="0" xfId="0" applyFont="1" applyAlignment="1">
      <alignment horizontal="center"/>
    </xf>
    <xf numFmtId="0" fontId="2" fillId="0" borderId="9" xfId="0" quotePrefix="1" applyFont="1" applyBorder="1"/>
    <xf numFmtId="0" fontId="2" fillId="0" borderId="9" xfId="0" applyFont="1" applyBorder="1" applyAlignment="1">
      <alignment horizontal="center"/>
    </xf>
    <xf numFmtId="2" fontId="2" fillId="0" borderId="9" xfId="0" applyNumberFormat="1" applyFont="1" applyBorder="1"/>
    <xf numFmtId="0" fontId="4" fillId="2" borderId="0" xfId="0" applyFont="1" applyFill="1" applyAlignment="1">
      <alignment horizontal="left"/>
    </xf>
    <xf numFmtId="0" fontId="3" fillId="3" borderId="2" xfId="0" applyFont="1" applyFill="1" applyBorder="1" applyAlignment="1">
      <alignment horizontal="left"/>
    </xf>
    <xf numFmtId="0" fontId="7" fillId="0" borderId="0" xfId="0" applyFont="1" applyAlignment="1">
      <alignment horizontal="left"/>
    </xf>
    <xf numFmtId="0" fontId="0" fillId="0" borderId="0" xfId="0" applyAlignment="1">
      <alignment horizontal="left"/>
    </xf>
    <xf numFmtId="0" fontId="3" fillId="3" borderId="3" xfId="0" applyFont="1" applyFill="1" applyBorder="1" applyAlignment="1">
      <alignment horizontal="left"/>
    </xf>
    <xf numFmtId="43" fontId="2" fillId="3" borderId="3" xfId="1" applyFont="1" applyFill="1" applyBorder="1"/>
    <xf numFmtId="43" fontId="0" fillId="0" borderId="0" xfId="1" applyFont="1"/>
    <xf numFmtId="43" fontId="7" fillId="0" borderId="0" xfId="1" applyFont="1"/>
    <xf numFmtId="43" fontId="2" fillId="3" borderId="4" xfId="1" applyFont="1" applyFill="1" applyBorder="1"/>
    <xf numFmtId="43" fontId="2" fillId="0" borderId="9" xfId="1" applyFont="1" applyFill="1" applyBorder="1"/>
    <xf numFmtId="0" fontId="0" fillId="0" borderId="0" xfId="0" applyAlignment="1">
      <alignment horizontal="right"/>
    </xf>
    <xf numFmtId="0" fontId="4" fillId="2" borderId="15" xfId="0" applyFont="1" applyFill="1" applyBorder="1" applyAlignment="1">
      <alignment horizontal="right"/>
    </xf>
    <xf numFmtId="0" fontId="7" fillId="0" borderId="0" xfId="0" applyFont="1" applyAlignment="1">
      <alignment horizontal="center"/>
    </xf>
    <xf numFmtId="2" fontId="7" fillId="0" borderId="0" xfId="1" applyNumberFormat="1" applyFont="1"/>
    <xf numFmtId="0" fontId="7" fillId="0" borderId="0" xfId="0" applyFont="1" applyAlignment="1">
      <alignment horizontal="right"/>
    </xf>
    <xf numFmtId="0" fontId="3" fillId="0" borderId="9" xfId="0" applyFont="1" applyBorder="1" applyAlignment="1">
      <alignment horizontal="right"/>
    </xf>
    <xf numFmtId="0" fontId="2" fillId="0" borderId="9" xfId="0" applyFont="1" applyBorder="1" applyAlignment="1">
      <alignment horizontal="right"/>
    </xf>
    <xf numFmtId="0" fontId="7" fillId="0" borderId="0" xfId="0" applyFont="1" applyAlignment="1">
      <alignment vertical="center"/>
    </xf>
    <xf numFmtId="0" fontId="3" fillId="0" borderId="0" xfId="0" applyFont="1" applyAlignment="1">
      <alignment horizontal="right" vertical="center"/>
    </xf>
    <xf numFmtId="0" fontId="0" fillId="0" borderId="0" xfId="0" applyAlignment="1">
      <alignment vertical="center"/>
    </xf>
    <xf numFmtId="0" fontId="0" fillId="0" borderId="0" xfId="0" applyAlignment="1">
      <alignment horizontal="center"/>
    </xf>
    <xf numFmtId="0" fontId="3" fillId="0" borderId="0" xfId="0" applyFont="1" applyAlignment="1">
      <alignment horizontal="center"/>
    </xf>
    <xf numFmtId="0" fontId="15" fillId="0" borderId="0" xfId="0" applyFont="1"/>
    <xf numFmtId="0" fontId="4" fillId="2" borderId="0" xfId="0" applyFont="1" applyFill="1" applyAlignment="1">
      <alignment horizontal="center"/>
    </xf>
    <xf numFmtId="0" fontId="2" fillId="0" borderId="0" xfId="0" applyFont="1" applyAlignment="1">
      <alignment horizontal="right"/>
    </xf>
    <xf numFmtId="2" fontId="0" fillId="0" borderId="0" xfId="1" applyNumberFormat="1" applyFont="1"/>
    <xf numFmtId="2" fontId="2" fillId="0" borderId="9" xfId="1" applyNumberFormat="1" applyFont="1" applyFill="1" applyBorder="1"/>
    <xf numFmtId="2" fontId="7" fillId="0" borderId="0" xfId="0" applyNumberFormat="1" applyFont="1"/>
    <xf numFmtId="2" fontId="0" fillId="0" borderId="0" xfId="0" applyNumberFormat="1"/>
    <xf numFmtId="0" fontId="7" fillId="0" borderId="0" xfId="0" applyFont="1" applyProtection="1">
      <protection locked="0"/>
    </xf>
    <xf numFmtId="2" fontId="2" fillId="0" borderId="0" xfId="1" applyNumberFormat="1" applyFont="1" applyBorder="1" applyAlignment="1"/>
    <xf numFmtId="43" fontId="2" fillId="0" borderId="3" xfId="1" applyFont="1" applyFill="1" applyBorder="1"/>
    <xf numFmtId="0" fontId="11" fillId="0" borderId="16" xfId="0" quotePrefix="1" applyFont="1" applyBorder="1" applyProtection="1">
      <protection locked="0"/>
    </xf>
    <xf numFmtId="0" fontId="11" fillId="0" borderId="16" xfId="0" applyFont="1" applyBorder="1" applyAlignment="1" applyProtection="1">
      <alignment horizontal="center"/>
      <protection locked="0"/>
    </xf>
    <xf numFmtId="0" fontId="11" fillId="0" borderId="0" xfId="0" applyFont="1"/>
    <xf numFmtId="43" fontId="2" fillId="0" borderId="0" xfId="1" applyFont="1" applyFill="1" applyBorder="1"/>
    <xf numFmtId="43" fontId="5" fillId="2" borderId="5" xfId="1" applyFont="1" applyFill="1" applyBorder="1"/>
    <xf numFmtId="43" fontId="5" fillId="2" borderId="6" xfId="1" applyFont="1" applyFill="1" applyBorder="1"/>
    <xf numFmtId="43" fontId="5" fillId="2" borderId="7" xfId="1" applyFont="1" applyFill="1" applyBorder="1"/>
    <xf numFmtId="43" fontId="2" fillId="0" borderId="0" xfId="1" applyFont="1" applyBorder="1" applyAlignment="1">
      <alignment horizontal="right"/>
    </xf>
    <xf numFmtId="0" fontId="2" fillId="0" borderId="30" xfId="0" applyFont="1" applyBorder="1" applyProtection="1">
      <protection locked="0"/>
    </xf>
    <xf numFmtId="0" fontId="11" fillId="0" borderId="30" xfId="0" applyFont="1" applyBorder="1" applyProtection="1">
      <protection locked="0"/>
    </xf>
    <xf numFmtId="0" fontId="11" fillId="0" borderId="30" xfId="0" quotePrefix="1" applyFont="1" applyBorder="1" applyProtection="1">
      <protection locked="0"/>
    </xf>
    <xf numFmtId="0" fontId="7" fillId="0" borderId="30" xfId="0" applyFont="1" applyBorder="1"/>
    <xf numFmtId="0" fontId="2" fillId="0" borderId="16" xfId="0" applyFont="1" applyBorder="1" applyProtection="1">
      <protection locked="0"/>
    </xf>
    <xf numFmtId="0" fontId="7" fillId="0" borderId="16" xfId="0" applyFont="1" applyBorder="1"/>
    <xf numFmtId="2" fontId="7" fillId="0" borderId="0" xfId="1" applyNumberFormat="1" applyFont="1" applyAlignment="1">
      <alignment shrinkToFit="1"/>
    </xf>
    <xf numFmtId="2" fontId="2" fillId="0" borderId="9" xfId="1" applyNumberFormat="1" applyFont="1" applyFill="1" applyBorder="1" applyAlignment="1">
      <alignment shrinkToFit="1"/>
    </xf>
    <xf numFmtId="2" fontId="2" fillId="0" borderId="0" xfId="1" applyNumberFormat="1" applyFont="1" applyBorder="1" applyAlignment="1">
      <alignment shrinkToFit="1"/>
    </xf>
    <xf numFmtId="2" fontId="0" fillId="0" borderId="0" xfId="1" applyNumberFormat="1" applyFont="1" applyAlignment="1">
      <alignment shrinkToFit="1"/>
    </xf>
    <xf numFmtId="0" fontId="11" fillId="0" borderId="30" xfId="0" applyFont="1" applyBorder="1" applyAlignment="1" applyProtection="1">
      <alignment horizontal="center"/>
      <protection locked="0"/>
    </xf>
    <xf numFmtId="0" fontId="20" fillId="0" borderId="0" xfId="0" applyFont="1" applyAlignment="1">
      <alignment horizontal="right"/>
    </xf>
    <xf numFmtId="0" fontId="4" fillId="2" borderId="11" xfId="0" applyFont="1" applyFill="1" applyBorder="1"/>
    <xf numFmtId="2" fontId="0" fillId="0" borderId="0" xfId="0" applyNumberFormat="1" applyAlignment="1">
      <alignment horizontal="center"/>
    </xf>
    <xf numFmtId="0" fontId="20" fillId="0" borderId="0" xfId="0" applyFont="1"/>
    <xf numFmtId="0" fontId="18" fillId="0" borderId="0" xfId="0" applyFont="1"/>
    <xf numFmtId="0" fontId="0" fillId="4" borderId="0" xfId="0" applyFill="1"/>
    <xf numFmtId="2" fontId="11" fillId="0" borderId="30" xfId="0" applyNumberFormat="1" applyFont="1" applyBorder="1" applyAlignment="1" applyProtection="1">
      <alignment horizontal="center"/>
      <protection locked="0"/>
    </xf>
    <xf numFmtId="0" fontId="0" fillId="0" borderId="0" xfId="0" applyAlignment="1">
      <alignment shrinkToFit="1"/>
    </xf>
    <xf numFmtId="2" fontId="2" fillId="0" borderId="0" xfId="0" applyNumberFormat="1" applyFont="1" applyAlignment="1">
      <alignment shrinkToFit="1"/>
    </xf>
    <xf numFmtId="43" fontId="2" fillId="0" borderId="6" xfId="1" applyFont="1" applyBorder="1"/>
    <xf numFmtId="43" fontId="2" fillId="0" borderId="0" xfId="1" applyFont="1" applyBorder="1"/>
    <xf numFmtId="0" fontId="14" fillId="0" borderId="0" xfId="0" applyFont="1" applyAlignment="1">
      <alignment vertical="center" wrapText="1"/>
    </xf>
    <xf numFmtId="0" fontId="4" fillId="2" borderId="16" xfId="0" applyFont="1" applyFill="1" applyBorder="1"/>
    <xf numFmtId="0" fontId="24" fillId="0" borderId="0" xfId="0" applyFont="1"/>
    <xf numFmtId="0" fontId="18" fillId="0" borderId="0" xfId="0" applyFont="1" applyAlignment="1">
      <alignment vertical="center"/>
    </xf>
    <xf numFmtId="0" fontId="3" fillId="3" borderId="46" xfId="0" applyFont="1" applyFill="1" applyBorder="1" applyAlignment="1">
      <alignment shrinkToFit="1"/>
    </xf>
    <xf numFmtId="0" fontId="3" fillId="3" borderId="47" xfId="0" applyFont="1" applyFill="1" applyBorder="1" applyAlignment="1">
      <alignment horizontal="right"/>
    </xf>
    <xf numFmtId="0" fontId="0" fillId="3" borderId="46" xfId="0" applyFill="1" applyBorder="1"/>
    <xf numFmtId="0" fontId="3" fillId="3" borderId="8" xfId="0" applyFont="1" applyFill="1" applyBorder="1" applyAlignment="1">
      <alignment horizontal="right"/>
    </xf>
    <xf numFmtId="0" fontId="0" fillId="3" borderId="9" xfId="0" applyFill="1" applyBorder="1"/>
    <xf numFmtId="2" fontId="11" fillId="0" borderId="30" xfId="0" applyNumberFormat="1" applyFont="1" applyBorder="1" applyProtection="1">
      <protection locked="0"/>
    </xf>
    <xf numFmtId="2" fontId="11" fillId="0" borderId="16" xfId="0" applyNumberFormat="1" applyFont="1" applyBorder="1" applyProtection="1">
      <protection locked="0"/>
    </xf>
    <xf numFmtId="0" fontId="3" fillId="0" borderId="0" xfId="0" applyFont="1" applyAlignment="1">
      <alignment horizontal="center" vertical="center"/>
    </xf>
    <xf numFmtId="166" fontId="25" fillId="0" borderId="0" xfId="5" applyNumberFormat="1" applyFont="1" applyFill="1" applyBorder="1" applyProtection="1">
      <protection hidden="1"/>
    </xf>
    <xf numFmtId="40" fontId="26" fillId="0" borderId="0" xfId="4" applyNumberFormat="1" applyFont="1" applyProtection="1">
      <protection hidden="1"/>
    </xf>
    <xf numFmtId="166" fontId="26" fillId="0" borderId="0" xfId="4" applyNumberFormat="1" applyFont="1" applyProtection="1">
      <protection hidden="1"/>
    </xf>
    <xf numFmtId="0" fontId="2" fillId="0" borderId="3" xfId="0" applyFont="1" applyBorder="1" applyAlignment="1" applyProtection="1">
      <alignment vertical="center"/>
      <protection locked="0"/>
    </xf>
    <xf numFmtId="0" fontId="2" fillId="0" borderId="16" xfId="0" applyFont="1" applyBorder="1" applyAlignment="1" applyProtection="1">
      <alignment vertical="center"/>
      <protection locked="0"/>
    </xf>
    <xf numFmtId="0" fontId="2" fillId="0" borderId="30" xfId="0" applyFont="1" applyBorder="1" applyAlignment="1" applyProtection="1">
      <alignment vertical="center"/>
      <protection locked="0"/>
    </xf>
    <xf numFmtId="0" fontId="19" fillId="0" borderId="3" xfId="0" applyFont="1" applyBorder="1" applyAlignment="1" applyProtection="1">
      <alignment vertical="center"/>
      <protection locked="0"/>
    </xf>
    <xf numFmtId="0" fontId="19" fillId="0" borderId="30" xfId="0" applyFont="1" applyBorder="1" applyProtection="1">
      <protection locked="0"/>
    </xf>
    <xf numFmtId="0" fontId="28" fillId="0" borderId="30" xfId="0" applyFont="1" applyBorder="1" applyProtection="1">
      <protection locked="0"/>
    </xf>
    <xf numFmtId="0" fontId="28" fillId="0" borderId="30" xfId="0" quotePrefix="1" applyFont="1" applyBorder="1" applyProtection="1">
      <protection locked="0"/>
    </xf>
    <xf numFmtId="0" fontId="28" fillId="0" borderId="30" xfId="0" applyFont="1" applyBorder="1" applyAlignment="1" applyProtection="1">
      <alignment horizontal="center"/>
      <protection locked="0"/>
    </xf>
    <xf numFmtId="0" fontId="21" fillId="0" borderId="30" xfId="0" applyFont="1" applyBorder="1"/>
    <xf numFmtId="2" fontId="28" fillId="0" borderId="30" xfId="0" applyNumberFormat="1" applyFont="1" applyBorder="1" applyProtection="1">
      <protection locked="0"/>
    </xf>
    <xf numFmtId="0" fontId="32" fillId="2" borderId="2" xfId="0" applyFont="1" applyFill="1" applyBorder="1" applyAlignment="1">
      <alignment vertical="center"/>
    </xf>
    <xf numFmtId="0" fontId="32" fillId="2" borderId="3" xfId="0" applyFont="1" applyFill="1" applyBorder="1" applyAlignment="1">
      <alignment vertical="center"/>
    </xf>
    <xf numFmtId="0" fontId="30" fillId="0" borderId="0" xfId="0" applyFont="1" applyAlignment="1">
      <alignment horizontal="right"/>
    </xf>
    <xf numFmtId="0" fontId="17" fillId="0" borderId="0" xfId="0" applyFont="1" applyAlignment="1">
      <alignment horizontal="left"/>
    </xf>
    <xf numFmtId="0" fontId="17" fillId="0" borderId="57" xfId="0" applyFont="1" applyBorder="1" applyAlignment="1">
      <alignment horizontal="left"/>
    </xf>
    <xf numFmtId="0" fontId="33" fillId="0" borderId="0" xfId="0" applyFont="1" applyAlignment="1">
      <alignment horizontal="right"/>
    </xf>
    <xf numFmtId="0" fontId="30" fillId="0" borderId="0" xfId="0" applyFont="1"/>
    <xf numFmtId="0" fontId="34" fillId="0" borderId="0" xfId="0" applyFont="1"/>
    <xf numFmtId="0" fontId="17" fillId="6" borderId="2" xfId="0" applyFont="1" applyFill="1" applyBorder="1" applyAlignment="1">
      <alignment horizontal="left"/>
    </xf>
    <xf numFmtId="0" fontId="17" fillId="6" borderId="3" xfId="0" applyFont="1" applyFill="1" applyBorder="1" applyAlignment="1">
      <alignment horizontal="right"/>
    </xf>
    <xf numFmtId="0" fontId="17" fillId="0" borderId="0" xfId="0" applyFont="1" applyAlignment="1">
      <alignment horizontal="center"/>
    </xf>
    <xf numFmtId="0" fontId="30" fillId="0" borderId="0" xfId="0" applyFont="1" applyAlignment="1">
      <alignment vertical="center"/>
    </xf>
    <xf numFmtId="0" fontId="17" fillId="3" borderId="3" xfId="0" applyFont="1" applyFill="1" applyBorder="1"/>
    <xf numFmtId="0" fontId="17" fillId="3" borderId="6" xfId="0" applyFont="1" applyFill="1" applyBorder="1"/>
    <xf numFmtId="2" fontId="22" fillId="3" borderId="6" xfId="0" applyNumberFormat="1" applyFont="1" applyFill="1" applyBorder="1" applyAlignment="1">
      <alignment horizontal="center"/>
    </xf>
    <xf numFmtId="2" fontId="22" fillId="3" borderId="3" xfId="0" applyNumberFormat="1" applyFont="1" applyFill="1" applyBorder="1"/>
    <xf numFmtId="0" fontId="22" fillId="3" borderId="3" xfId="0" applyFont="1" applyFill="1" applyBorder="1"/>
    <xf numFmtId="0" fontId="3" fillId="3" borderId="2" xfId="0" applyFont="1" applyFill="1" applyBorder="1" applyAlignment="1">
      <alignment vertical="center"/>
    </xf>
    <xf numFmtId="0" fontId="3" fillId="3" borderId="3" xfId="0" applyFont="1" applyFill="1" applyBorder="1" applyAlignment="1">
      <alignment vertical="center"/>
    </xf>
    <xf numFmtId="0" fontId="17" fillId="3" borderId="3" xfId="0" applyFont="1" applyFill="1" applyBorder="1" applyAlignment="1">
      <alignment vertical="center"/>
    </xf>
    <xf numFmtId="0" fontId="17" fillId="3" borderId="6" xfId="0" applyFont="1" applyFill="1" applyBorder="1" applyAlignment="1">
      <alignment vertical="center"/>
    </xf>
    <xf numFmtId="2" fontId="22" fillId="3" borderId="6" xfId="0" applyNumberFormat="1" applyFont="1" applyFill="1" applyBorder="1" applyAlignment="1">
      <alignment horizontal="center" vertical="center"/>
    </xf>
    <xf numFmtId="0" fontId="22" fillId="3" borderId="3" xfId="0" applyFont="1" applyFill="1" applyBorder="1" applyAlignment="1">
      <alignment vertical="center"/>
    </xf>
    <xf numFmtId="0" fontId="22" fillId="3" borderId="2" xfId="0" applyFont="1" applyFill="1" applyBorder="1" applyAlignment="1">
      <alignment horizontal="center"/>
    </xf>
    <xf numFmtId="0" fontId="17" fillId="3" borderId="2" xfId="0" applyFont="1" applyFill="1" applyBorder="1"/>
    <xf numFmtId="0" fontId="22" fillId="3" borderId="1" xfId="0" applyFont="1" applyFill="1" applyBorder="1" applyAlignment="1">
      <alignment horizontal="center"/>
    </xf>
    <xf numFmtId="0" fontId="30" fillId="3" borderId="3" xfId="0" applyFont="1" applyFill="1" applyBorder="1"/>
    <xf numFmtId="0" fontId="34" fillId="3" borderId="3" xfId="0" applyFont="1" applyFill="1" applyBorder="1"/>
    <xf numFmtId="0" fontId="35" fillId="3" borderId="3" xfId="0" applyFont="1" applyFill="1" applyBorder="1"/>
    <xf numFmtId="0" fontId="22" fillId="3" borderId="6" xfId="0" applyFont="1" applyFill="1" applyBorder="1" applyAlignment="1">
      <alignment horizontal="center"/>
    </xf>
    <xf numFmtId="0" fontId="31" fillId="3" borderId="3" xfId="0" applyFont="1" applyFill="1" applyBorder="1"/>
    <xf numFmtId="0" fontId="17" fillId="3" borderId="2" xfId="0" applyFont="1" applyFill="1" applyBorder="1" applyAlignment="1">
      <alignment vertical="center"/>
    </xf>
    <xf numFmtId="0" fontId="22" fillId="3" borderId="18" xfId="0" applyFont="1" applyFill="1" applyBorder="1" applyAlignment="1">
      <alignment vertical="center"/>
    </xf>
    <xf numFmtId="0" fontId="17" fillId="3" borderId="63" xfId="0" applyFont="1" applyFill="1" applyBorder="1" applyAlignment="1">
      <alignment vertical="top"/>
    </xf>
    <xf numFmtId="0" fontId="17" fillId="3" borderId="62" xfId="0" applyFont="1" applyFill="1" applyBorder="1" applyAlignment="1">
      <alignment vertical="top"/>
    </xf>
    <xf numFmtId="0" fontId="22" fillId="3" borderId="62" xfId="0" applyFont="1" applyFill="1" applyBorder="1" applyAlignment="1">
      <alignment vertical="center"/>
    </xf>
    <xf numFmtId="2" fontId="22" fillId="3" borderId="62" xfId="0" applyNumberFormat="1" applyFont="1" applyFill="1" applyBorder="1" applyAlignment="1">
      <alignment vertical="center"/>
    </xf>
    <xf numFmtId="0" fontId="22" fillId="3" borderId="62" xfId="0" applyFont="1" applyFill="1" applyBorder="1"/>
    <xf numFmtId="43" fontId="22" fillId="3" borderId="62" xfId="1" applyFont="1" applyFill="1" applyBorder="1" applyAlignment="1">
      <alignment vertical="center"/>
    </xf>
    <xf numFmtId="43" fontId="22" fillId="3" borderId="61" xfId="1" applyFont="1" applyFill="1" applyBorder="1" applyAlignment="1">
      <alignment vertical="center"/>
    </xf>
    <xf numFmtId="0" fontId="30" fillId="3" borderId="6" xfId="0" applyFont="1" applyFill="1" applyBorder="1" applyAlignment="1">
      <alignment vertical="center"/>
    </xf>
    <xf numFmtId="0" fontId="31" fillId="3" borderId="6" xfId="0" applyFont="1" applyFill="1" applyBorder="1" applyAlignment="1">
      <alignment vertical="center"/>
    </xf>
    <xf numFmtId="164" fontId="22" fillId="3" borderId="6" xfId="0" applyNumberFormat="1" applyFont="1" applyFill="1" applyBorder="1" applyAlignment="1">
      <alignment vertical="center"/>
    </xf>
    <xf numFmtId="0" fontId="30" fillId="3" borderId="9" xfId="0" applyFont="1" applyFill="1" applyBorder="1" applyAlignment="1">
      <alignment vertical="center"/>
    </xf>
    <xf numFmtId="0" fontId="31" fillId="3" borderId="9" xfId="0" applyFont="1" applyFill="1" applyBorder="1" applyAlignment="1">
      <alignment vertical="center"/>
    </xf>
    <xf numFmtId="164" fontId="22" fillId="3" borderId="9" xfId="0" applyNumberFormat="1" applyFont="1" applyFill="1" applyBorder="1" applyAlignment="1">
      <alignment horizontal="center" vertical="center"/>
    </xf>
    <xf numFmtId="0" fontId="17" fillId="3" borderId="5" xfId="0" applyFont="1" applyFill="1" applyBorder="1" applyAlignment="1">
      <alignment horizontal="left" vertical="center"/>
    </xf>
    <xf numFmtId="0" fontId="17" fillId="3" borderId="8" xfId="0" applyFont="1" applyFill="1" applyBorder="1" applyAlignment="1">
      <alignment horizontal="left" vertical="center"/>
    </xf>
    <xf numFmtId="0" fontId="17" fillId="3" borderId="2" xfId="0" applyFont="1" applyFill="1" applyBorder="1" applyAlignment="1">
      <alignment horizontal="right"/>
    </xf>
    <xf numFmtId="0" fontId="17" fillId="3" borderId="3" xfId="0" applyFont="1" applyFill="1" applyBorder="1" applyAlignment="1">
      <alignment horizontal="left"/>
    </xf>
    <xf numFmtId="2" fontId="22" fillId="3" borderId="3" xfId="1" applyNumberFormat="1" applyFont="1" applyFill="1" applyBorder="1" applyAlignment="1">
      <alignment horizontal="center" vertical="center"/>
    </xf>
    <xf numFmtId="43" fontId="22" fillId="3" borderId="3" xfId="1" applyFont="1" applyFill="1" applyBorder="1" applyAlignment="1">
      <alignment vertical="center"/>
    </xf>
    <xf numFmtId="43" fontId="22" fillId="3" borderId="4" xfId="1" applyFont="1" applyFill="1" applyBorder="1" applyAlignment="1">
      <alignment vertical="center"/>
    </xf>
    <xf numFmtId="43" fontId="22" fillId="3" borderId="3" xfId="1" applyFont="1" applyFill="1" applyBorder="1" applyAlignment="1"/>
    <xf numFmtId="43" fontId="22" fillId="3" borderId="4" xfId="1" applyFont="1" applyFill="1" applyBorder="1" applyAlignment="1"/>
    <xf numFmtId="0" fontId="17" fillId="3" borderId="5" xfId="0" applyFont="1" applyFill="1" applyBorder="1" applyAlignment="1">
      <alignment vertical="center"/>
    </xf>
    <xf numFmtId="0" fontId="17" fillId="3" borderId="8" xfId="0" applyFont="1" applyFill="1" applyBorder="1" applyAlignment="1">
      <alignment vertical="center"/>
    </xf>
    <xf numFmtId="0" fontId="31" fillId="3" borderId="9" xfId="0" applyFont="1" applyFill="1" applyBorder="1" applyAlignment="1">
      <alignment horizontal="center" vertical="center"/>
    </xf>
    <xf numFmtId="2" fontId="22" fillId="3" borderId="3" xfId="1" applyNumberFormat="1" applyFont="1" applyFill="1" applyBorder="1" applyAlignment="1">
      <alignment vertical="center"/>
    </xf>
    <xf numFmtId="0" fontId="17" fillId="3" borderId="5" xfId="0" applyFont="1" applyFill="1" applyBorder="1" applyAlignment="1">
      <alignment horizontal="right" vertical="center"/>
    </xf>
    <xf numFmtId="0" fontId="17" fillId="3" borderId="8" xfId="0" applyFont="1" applyFill="1" applyBorder="1" applyAlignment="1">
      <alignment horizontal="right" vertical="center"/>
    </xf>
    <xf numFmtId="0" fontId="17" fillId="0" borderId="0" xfId="0" applyFont="1" applyAlignment="1">
      <alignment horizontal="right" vertical="center"/>
    </xf>
    <xf numFmtId="0" fontId="17" fillId="0" borderId="0" xfId="0" applyFont="1"/>
    <xf numFmtId="0" fontId="29" fillId="0" borderId="0" xfId="0" applyFont="1" applyAlignment="1">
      <alignment vertical="center"/>
    </xf>
    <xf numFmtId="44" fontId="17" fillId="0" borderId="3" xfId="3" applyFont="1" applyFill="1" applyBorder="1" applyAlignment="1">
      <alignment horizontal="center"/>
    </xf>
    <xf numFmtId="44" fontId="17" fillId="0" borderId="4" xfId="3" applyFont="1" applyFill="1" applyBorder="1" applyAlignment="1">
      <alignment horizontal="center"/>
    </xf>
    <xf numFmtId="44" fontId="17" fillId="0" borderId="0" xfId="3" applyFont="1" applyFill="1" applyBorder="1" applyAlignment="1">
      <alignment horizontal="center"/>
    </xf>
    <xf numFmtId="0" fontId="34" fillId="0" borderId="0" xfId="0" applyFont="1" applyAlignment="1">
      <alignment vertical="center"/>
    </xf>
    <xf numFmtId="0" fontId="12" fillId="2" borderId="0" xfId="4" applyFont="1" applyFill="1" applyAlignment="1" applyProtection="1">
      <alignment vertical="center"/>
      <protection hidden="1"/>
    </xf>
    <xf numFmtId="0" fontId="17" fillId="6" borderId="3" xfId="0" applyFont="1" applyFill="1" applyBorder="1" applyAlignment="1">
      <alignment horizontal="left"/>
    </xf>
    <xf numFmtId="43" fontId="2" fillId="0" borderId="4" xfId="1" applyFont="1" applyBorder="1"/>
    <xf numFmtId="43" fontId="2" fillId="0" borderId="10" xfId="1" applyFont="1" applyBorder="1"/>
    <xf numFmtId="0" fontId="17" fillId="3" borderId="9" xfId="0" applyFont="1" applyFill="1" applyBorder="1" applyAlignment="1">
      <alignment horizontal="left" vertical="center"/>
    </xf>
    <xf numFmtId="0" fontId="17" fillId="3" borderId="9" xfId="0" applyFont="1" applyFill="1" applyBorder="1" applyAlignment="1">
      <alignment vertical="center"/>
    </xf>
    <xf numFmtId="0" fontId="22" fillId="3" borderId="3" xfId="0" applyFont="1" applyFill="1" applyBorder="1" applyAlignment="1">
      <alignment horizontal="center" vertical="center"/>
    </xf>
    <xf numFmtId="43" fontId="2" fillId="0" borderId="9" xfId="1" applyFont="1" applyBorder="1"/>
    <xf numFmtId="0" fontId="0" fillId="0" borderId="5" xfId="0" applyBorder="1"/>
    <xf numFmtId="0" fontId="0" fillId="4" borderId="6" xfId="0" applyFill="1" applyBorder="1"/>
    <xf numFmtId="0" fontId="0" fillId="4" borderId="8" xfId="0" applyFill="1" applyBorder="1"/>
    <xf numFmtId="0" fontId="0" fillId="4" borderId="9" xfId="0" applyFill="1" applyBorder="1"/>
    <xf numFmtId="0" fontId="4" fillId="2" borderId="0" xfId="0" applyFont="1" applyFill="1" applyAlignment="1">
      <alignment horizontal="right" shrinkToFit="1"/>
    </xf>
    <xf numFmtId="0" fontId="17" fillId="3" borderId="29" xfId="0" applyFont="1" applyFill="1" applyBorder="1"/>
    <xf numFmtId="0" fontId="30" fillId="0" borderId="0" xfId="0" applyFont="1" applyProtection="1">
      <protection locked="0"/>
    </xf>
    <xf numFmtId="0" fontId="12" fillId="2" borderId="0" xfId="0" applyFont="1" applyFill="1" applyAlignment="1">
      <alignment horizontal="left"/>
    </xf>
    <xf numFmtId="0" fontId="30" fillId="0" borderId="9" xfId="0" applyFont="1" applyBorder="1" applyAlignment="1">
      <alignment horizontal="right"/>
    </xf>
    <xf numFmtId="0" fontId="30" fillId="0" borderId="9" xfId="0" applyFont="1" applyBorder="1"/>
    <xf numFmtId="0" fontId="30" fillId="0" borderId="9" xfId="0" quotePrefix="1" applyFont="1" applyBorder="1"/>
    <xf numFmtId="2" fontId="30" fillId="0" borderId="9" xfId="0" applyNumberFormat="1" applyFont="1" applyBorder="1"/>
    <xf numFmtId="0" fontId="30" fillId="0" borderId="9" xfId="0" applyFont="1" applyBorder="1" applyAlignment="1">
      <alignment horizontal="center"/>
    </xf>
    <xf numFmtId="43" fontId="30" fillId="0" borderId="9" xfId="1" applyFont="1" applyBorder="1"/>
    <xf numFmtId="43" fontId="30" fillId="0" borderId="10" xfId="1" applyFont="1" applyBorder="1"/>
    <xf numFmtId="43" fontId="30" fillId="0" borderId="0" xfId="1" applyFont="1" applyBorder="1"/>
    <xf numFmtId="43" fontId="30" fillId="0" borderId="4" xfId="1" applyFont="1" applyBorder="1"/>
    <xf numFmtId="0" fontId="34" fillId="0" borderId="0" xfId="0" applyFont="1" applyAlignment="1">
      <alignment horizontal="right"/>
    </xf>
    <xf numFmtId="2" fontId="34" fillId="0" borderId="0" xfId="1" applyNumberFormat="1" applyFont="1" applyAlignment="1">
      <alignment shrinkToFit="1"/>
    </xf>
    <xf numFmtId="43" fontId="34" fillId="0" borderId="0" xfId="1" applyFont="1"/>
    <xf numFmtId="0" fontId="38" fillId="0" borderId="0" xfId="0" applyFont="1"/>
    <xf numFmtId="0" fontId="34" fillId="0" borderId="0" xfId="0" applyFont="1" applyAlignment="1">
      <alignment horizontal="center"/>
    </xf>
    <xf numFmtId="0" fontId="34" fillId="0" borderId="0" xfId="0" applyFont="1" applyAlignment="1">
      <alignment horizontal="left"/>
    </xf>
    <xf numFmtId="2" fontId="34" fillId="0" borderId="0" xfId="1" applyNumberFormat="1" applyFont="1"/>
    <xf numFmtId="0" fontId="12" fillId="2" borderId="2" xfId="0" applyFont="1" applyFill="1" applyBorder="1" applyAlignment="1">
      <alignment horizontal="left"/>
    </xf>
    <xf numFmtId="0" fontId="12" fillId="2" borderId="3" xfId="0" applyFont="1" applyFill="1" applyBorder="1"/>
    <xf numFmtId="0" fontId="37" fillId="2" borderId="3" xfId="0" applyFont="1" applyFill="1" applyBorder="1"/>
    <xf numFmtId="43" fontId="37" fillId="2" borderId="3" xfId="1" applyFont="1" applyFill="1" applyBorder="1"/>
    <xf numFmtId="0" fontId="0" fillId="5" borderId="0" xfId="0" applyFill="1"/>
    <xf numFmtId="0" fontId="12" fillId="2" borderId="14" xfId="0" applyFont="1" applyFill="1" applyBorder="1" applyAlignment="1">
      <alignment horizontal="left"/>
    </xf>
    <xf numFmtId="0" fontId="0" fillId="4" borderId="14" xfId="0" applyFill="1" applyBorder="1"/>
    <xf numFmtId="0" fontId="0" fillId="4" borderId="11" xfId="0" applyFill="1" applyBorder="1"/>
    <xf numFmtId="0" fontId="12" fillId="2" borderId="8" xfId="0" applyFont="1" applyFill="1" applyBorder="1" applyAlignment="1">
      <alignment horizontal="left"/>
    </xf>
    <xf numFmtId="0" fontId="12" fillId="2" borderId="9" xfId="0" applyFont="1" applyFill="1" applyBorder="1" applyAlignment="1">
      <alignment horizontal="left"/>
    </xf>
    <xf numFmtId="0" fontId="34" fillId="4" borderId="14" xfId="0" applyFont="1" applyFill="1" applyBorder="1"/>
    <xf numFmtId="0" fontId="34" fillId="4" borderId="0" xfId="0" applyFont="1" applyFill="1"/>
    <xf numFmtId="0" fontId="34" fillId="4" borderId="11" xfId="0" applyFont="1" applyFill="1" applyBorder="1"/>
    <xf numFmtId="0" fontId="34" fillId="5" borderId="0" xfId="0" applyFont="1" applyFill="1"/>
    <xf numFmtId="0" fontId="30" fillId="6" borderId="3" xfId="0" applyFont="1" applyFill="1" applyBorder="1"/>
    <xf numFmtId="0" fontId="34" fillId="6" borderId="3" xfId="0" applyFont="1" applyFill="1" applyBorder="1"/>
    <xf numFmtId="43" fontId="17" fillId="6" borderId="3" xfId="1" applyFont="1" applyFill="1" applyBorder="1" applyAlignment="1"/>
    <xf numFmtId="43" fontId="17" fillId="6" borderId="3" xfId="1" applyFont="1" applyFill="1" applyBorder="1" applyAlignment="1">
      <alignment horizontal="right"/>
    </xf>
    <xf numFmtId="43" fontId="30" fillId="0" borderId="0" xfId="1" applyFont="1" applyBorder="1" applyAlignment="1">
      <alignment horizontal="right"/>
    </xf>
    <xf numFmtId="44" fontId="17" fillId="0" borderId="0" xfId="3" applyFont="1" applyFill="1" applyBorder="1" applyAlignment="1">
      <alignment horizontal="center" vertical="center"/>
    </xf>
    <xf numFmtId="43" fontId="30" fillId="6" borderId="3" xfId="1" applyFont="1" applyFill="1" applyBorder="1"/>
    <xf numFmtId="0" fontId="34" fillId="6" borderId="55" xfId="0" applyFont="1" applyFill="1" applyBorder="1"/>
    <xf numFmtId="0" fontId="34" fillId="6" borderId="56" xfId="0" applyFont="1" applyFill="1" applyBorder="1"/>
    <xf numFmtId="0" fontId="30" fillId="0" borderId="0" xfId="0" applyFont="1" applyAlignment="1">
      <alignment horizontal="center"/>
    </xf>
    <xf numFmtId="166" fontId="39" fillId="0" borderId="0" xfId="5" applyNumberFormat="1" applyFont="1" applyFill="1" applyBorder="1" applyProtection="1">
      <protection hidden="1"/>
    </xf>
    <xf numFmtId="40" fontId="40" fillId="0" borderId="0" xfId="4" applyNumberFormat="1" applyFont="1" applyProtection="1">
      <protection hidden="1"/>
    </xf>
    <xf numFmtId="166" fontId="40" fillId="0" borderId="0" xfId="4" applyNumberFormat="1" applyFont="1" applyProtection="1">
      <protection hidden="1"/>
    </xf>
    <xf numFmtId="9" fontId="17" fillId="0" borderId="0" xfId="2" applyFont="1" applyFill="1" applyBorder="1" applyAlignment="1" applyProtection="1">
      <alignment horizontal="center" vertical="center"/>
      <protection locked="0"/>
    </xf>
    <xf numFmtId="0" fontId="9" fillId="9" borderId="14" xfId="0" applyFont="1" applyFill="1" applyBorder="1" applyAlignment="1">
      <alignment horizontal="center" vertical="center"/>
    </xf>
    <xf numFmtId="0" fontId="30" fillId="3" borderId="62" xfId="0" applyFont="1" applyFill="1" applyBorder="1"/>
    <xf numFmtId="0" fontId="31" fillId="3" borderId="62" xfId="0" applyFont="1" applyFill="1" applyBorder="1"/>
    <xf numFmtId="0" fontId="30" fillId="4" borderId="5" xfId="0" applyFont="1" applyFill="1" applyBorder="1"/>
    <xf numFmtId="0" fontId="30" fillId="4" borderId="6" xfId="0" applyFont="1" applyFill="1" applyBorder="1"/>
    <xf numFmtId="0" fontId="30" fillId="4" borderId="7" xfId="0" applyFont="1" applyFill="1" applyBorder="1"/>
    <xf numFmtId="2" fontId="30" fillId="0" borderId="0" xfId="0" applyNumberFormat="1" applyFont="1"/>
    <xf numFmtId="0" fontId="30" fillId="4" borderId="14" xfId="0" applyFont="1" applyFill="1" applyBorder="1"/>
    <xf numFmtId="0" fontId="30" fillId="4" borderId="0" xfId="0" applyFont="1" applyFill="1"/>
    <xf numFmtId="0" fontId="30" fillId="4" borderId="11" xfId="0" applyFont="1" applyFill="1" applyBorder="1"/>
    <xf numFmtId="0" fontId="30" fillId="4" borderId="8" xfId="0" applyFont="1" applyFill="1" applyBorder="1"/>
    <xf numFmtId="0" fontId="30" fillId="4" borderId="9" xfId="0" applyFont="1" applyFill="1" applyBorder="1"/>
    <xf numFmtId="0" fontId="30" fillId="4" borderId="10" xfId="0" applyFont="1" applyFill="1" applyBorder="1"/>
    <xf numFmtId="165" fontId="30" fillId="0" borderId="9" xfId="0" applyNumberFormat="1" applyFont="1" applyBorder="1"/>
    <xf numFmtId="0" fontId="30" fillId="0" borderId="9" xfId="0" applyFont="1" applyBorder="1" applyProtection="1">
      <protection locked="0"/>
    </xf>
    <xf numFmtId="0" fontId="30" fillId="0" borderId="9" xfId="0" quotePrefix="1" applyFont="1" applyBorder="1" applyProtection="1">
      <protection locked="0"/>
    </xf>
    <xf numFmtId="2" fontId="30" fillId="0" borderId="9" xfId="0" applyNumberFormat="1" applyFont="1" applyBorder="1" applyProtection="1">
      <protection locked="0"/>
    </xf>
    <xf numFmtId="0" fontId="30" fillId="0" borderId="9" xfId="0" applyFont="1" applyBorder="1" applyAlignment="1" applyProtection="1">
      <alignment horizontal="center"/>
      <protection locked="0"/>
    </xf>
    <xf numFmtId="43" fontId="30" fillId="0" borderId="6" xfId="1" applyFont="1" applyBorder="1" applyAlignment="1"/>
    <xf numFmtId="43" fontId="30" fillId="0" borderId="3" xfId="1" applyFont="1" applyBorder="1" applyAlignment="1"/>
    <xf numFmtId="0" fontId="31" fillId="3" borderId="62" xfId="0" applyFont="1" applyFill="1" applyBorder="1" applyAlignment="1">
      <alignment vertical="center"/>
    </xf>
    <xf numFmtId="2" fontId="31" fillId="3" borderId="62" xfId="0" applyNumberFormat="1" applyFont="1" applyFill="1" applyBorder="1" applyAlignment="1">
      <alignment vertical="center"/>
    </xf>
    <xf numFmtId="43" fontId="31" fillId="3" borderId="62" xfId="1" applyFont="1" applyFill="1" applyBorder="1" applyAlignment="1">
      <alignment vertical="center"/>
    </xf>
    <xf numFmtId="43" fontId="31" fillId="3" borderId="61" xfId="1" applyFont="1" applyFill="1" applyBorder="1" applyAlignment="1">
      <alignment vertical="center"/>
    </xf>
    <xf numFmtId="0" fontId="41" fillId="3" borderId="7" xfId="0" quotePrefix="1" applyFont="1" applyFill="1" applyBorder="1" applyAlignment="1">
      <alignment horizontal="center" vertical="center"/>
    </xf>
    <xf numFmtId="43" fontId="22" fillId="3" borderId="0" xfId="1" applyFont="1" applyFill="1" applyBorder="1" applyAlignment="1">
      <alignment horizontal="center" vertical="center"/>
    </xf>
    <xf numFmtId="43" fontId="22" fillId="0" borderId="0" xfId="1" applyFont="1" applyFill="1" applyBorder="1" applyAlignment="1">
      <alignment horizontal="center" vertical="center"/>
    </xf>
    <xf numFmtId="0" fontId="34" fillId="0" borderId="0" xfId="0" applyFont="1" applyAlignment="1">
      <alignment shrinkToFit="1"/>
    </xf>
    <xf numFmtId="0" fontId="12" fillId="2" borderId="9" xfId="0" applyFont="1" applyFill="1" applyBorder="1" applyAlignment="1">
      <alignment horizontal="left" shrinkToFit="1"/>
    </xf>
    <xf numFmtId="44" fontId="17" fillId="0" borderId="0" xfId="3" applyFont="1" applyFill="1" applyBorder="1" applyAlignment="1">
      <alignment horizontal="center" shrinkToFit="1"/>
    </xf>
    <xf numFmtId="0" fontId="17" fillId="6" borderId="42" xfId="0" applyFont="1" applyFill="1" applyBorder="1" applyAlignment="1">
      <alignment horizontal="center" vertical="center" shrinkToFit="1"/>
    </xf>
    <xf numFmtId="0" fontId="30" fillId="0" borderId="3" xfId="0" applyFont="1" applyBorder="1"/>
    <xf numFmtId="0" fontId="30" fillId="0" borderId="3" xfId="0" applyFont="1" applyBorder="1" applyProtection="1">
      <protection locked="0"/>
    </xf>
    <xf numFmtId="0" fontId="31" fillId="0" borderId="3" xfId="0" applyFont="1" applyBorder="1" applyProtection="1">
      <protection locked="0"/>
    </xf>
    <xf numFmtId="0" fontId="31" fillId="0" borderId="0" xfId="0" applyFont="1" applyProtection="1">
      <protection locked="0"/>
    </xf>
    <xf numFmtId="0" fontId="0" fillId="4" borderId="7" xfId="0" applyFill="1" applyBorder="1"/>
    <xf numFmtId="0" fontId="17" fillId="0" borderId="6" xfId="0" applyFont="1" applyBorder="1" applyAlignment="1">
      <alignment vertical="center"/>
    </xf>
    <xf numFmtId="0" fontId="17" fillId="0" borderId="7" xfId="0" applyFont="1" applyBorder="1" applyAlignment="1">
      <alignment vertical="center"/>
    </xf>
    <xf numFmtId="0" fontId="0" fillId="0" borderId="0" xfId="0" applyAlignment="1">
      <alignment horizontal="center" shrinkToFit="1"/>
    </xf>
    <xf numFmtId="0" fontId="4" fillId="2" borderId="0" xfId="0" applyFont="1" applyFill="1" applyAlignment="1">
      <alignment horizontal="center" shrinkToFit="1"/>
    </xf>
    <xf numFmtId="0" fontId="4" fillId="2" borderId="0" xfId="0" applyFont="1" applyFill="1" applyAlignment="1">
      <alignment shrinkToFit="1"/>
    </xf>
    <xf numFmtId="0" fontId="17" fillId="3" borderId="6" xfId="0" applyFont="1" applyFill="1" applyBorder="1" applyAlignment="1">
      <alignment shrinkToFit="1"/>
    </xf>
    <xf numFmtId="0" fontId="17" fillId="6" borderId="82" xfId="0" applyFont="1" applyFill="1" applyBorder="1" applyAlignment="1" applyProtection="1">
      <alignment horizontal="center" vertical="center"/>
      <protection locked="0"/>
    </xf>
    <xf numFmtId="0" fontId="0" fillId="0" borderId="0" xfId="0" applyProtection="1">
      <protection locked="0"/>
    </xf>
    <xf numFmtId="0" fontId="12" fillId="2" borderId="0" xfId="0" applyFont="1" applyFill="1" applyAlignment="1">
      <alignment horizontal="center"/>
    </xf>
    <xf numFmtId="0" fontId="12" fillId="2" borderId="11" xfId="0" applyFont="1" applyFill="1" applyBorder="1" applyAlignment="1">
      <alignment horizontal="center"/>
    </xf>
    <xf numFmtId="0" fontId="8" fillId="0" borderId="0" xfId="0" applyFont="1" applyAlignment="1">
      <alignment horizontal="right"/>
    </xf>
    <xf numFmtId="0" fontId="11" fillId="0" borderId="3" xfId="0" applyFont="1" applyBorder="1"/>
    <xf numFmtId="0" fontId="4" fillId="2" borderId="16" xfId="0" applyFont="1" applyFill="1" applyBorder="1" applyAlignment="1">
      <alignment horizontal="left"/>
    </xf>
    <xf numFmtId="0" fontId="8" fillId="0" borderId="6" xfId="0" applyFont="1" applyBorder="1" applyAlignment="1">
      <alignment horizontal="right"/>
    </xf>
    <xf numFmtId="0" fontId="8" fillId="0" borderId="7" xfId="0" applyFont="1" applyBorder="1" applyAlignment="1">
      <alignment horizontal="right"/>
    </xf>
    <xf numFmtId="0" fontId="37" fillId="2" borderId="4" xfId="0" applyFont="1" applyFill="1" applyBorder="1"/>
    <xf numFmtId="0" fontId="0" fillId="0" borderId="14" xfId="0" applyBorder="1"/>
    <xf numFmtId="0" fontId="43" fillId="0" borderId="14" xfId="0" applyFont="1" applyBorder="1"/>
    <xf numFmtId="0" fontId="42" fillId="0" borderId="0" xfId="0" applyFont="1" applyAlignment="1" applyProtection="1">
      <alignment vertical="center"/>
      <protection locked="0"/>
    </xf>
    <xf numFmtId="0" fontId="43" fillId="0" borderId="0" xfId="0" applyFont="1"/>
    <xf numFmtId="0" fontId="43" fillId="0" borderId="0" xfId="0" applyFont="1" applyAlignment="1">
      <alignment shrinkToFit="1"/>
    </xf>
    <xf numFmtId="0" fontId="11" fillId="0" borderId="0" xfId="0" applyFont="1" applyAlignment="1" applyProtection="1">
      <alignment vertical="center"/>
      <protection locked="0"/>
    </xf>
    <xf numFmtId="0" fontId="42" fillId="0" borderId="14" xfId="0" applyFont="1" applyBorder="1" applyAlignment="1" applyProtection="1">
      <alignment vertical="center"/>
      <protection locked="0"/>
    </xf>
    <xf numFmtId="0" fontId="11" fillId="0" borderId="0" xfId="0" applyFont="1" applyAlignment="1">
      <alignment vertical="center"/>
    </xf>
    <xf numFmtId="43" fontId="11" fillId="0" borderId="0" xfId="1" applyFont="1" applyBorder="1" applyAlignment="1">
      <alignment horizontal="right" vertical="center"/>
    </xf>
    <xf numFmtId="0" fontId="42" fillId="6" borderId="18" xfId="0" applyFont="1" applyFill="1" applyBorder="1" applyAlignment="1">
      <alignment horizontal="center" vertical="center"/>
    </xf>
    <xf numFmtId="0" fontId="11" fillId="6" borderId="8" xfId="0" applyFont="1" applyFill="1" applyBorder="1" applyAlignment="1">
      <alignment vertical="center"/>
    </xf>
    <xf numFmtId="0" fontId="11" fillId="6" borderId="9" xfId="0" applyFont="1" applyFill="1" applyBorder="1" applyAlignment="1">
      <alignment vertical="center"/>
    </xf>
    <xf numFmtId="43" fontId="11" fillId="0" borderId="0" xfId="1" applyFont="1" applyBorder="1" applyAlignment="1">
      <alignment horizontal="center" vertical="center"/>
    </xf>
    <xf numFmtId="0" fontId="11" fillId="0" borderId="0" xfId="0" quotePrefix="1" applyFont="1" applyAlignment="1">
      <alignment vertical="center"/>
    </xf>
    <xf numFmtId="44" fontId="42" fillId="0" borderId="0" xfId="3" applyFont="1" applyFill="1" applyBorder="1" applyAlignment="1">
      <alignment horizontal="center" vertical="center"/>
    </xf>
    <xf numFmtId="0" fontId="43" fillId="0" borderId="0" xfId="0" applyFont="1" applyProtection="1">
      <protection locked="0"/>
    </xf>
    <xf numFmtId="43" fontId="11" fillId="0" borderId="0" xfId="1" applyFont="1" applyBorder="1" applyAlignment="1">
      <alignment vertical="center"/>
    </xf>
    <xf numFmtId="43" fontId="11" fillId="0" borderId="0" xfId="1" applyFont="1" applyBorder="1" applyAlignment="1">
      <alignment horizontal="center"/>
    </xf>
    <xf numFmtId="0" fontId="11" fillId="0" borderId="6" xfId="0" applyFont="1" applyBorder="1" applyAlignment="1">
      <alignment horizontal="right"/>
    </xf>
    <xf numFmtId="0" fontId="11" fillId="0" borderId="0" xfId="0" applyFont="1" applyAlignment="1">
      <alignment horizontal="center"/>
    </xf>
    <xf numFmtId="0" fontId="11" fillId="0" borderId="0" xfId="0" applyFont="1" applyAlignment="1">
      <alignment horizontal="right"/>
    </xf>
    <xf numFmtId="0" fontId="46" fillId="0" borderId="0" xfId="0" applyFont="1" applyAlignment="1">
      <alignment horizontal="left"/>
    </xf>
    <xf numFmtId="0" fontId="47" fillId="0" borderId="0" xfId="0" applyFont="1"/>
    <xf numFmtId="44" fontId="42" fillId="0" borderId="0" xfId="3" applyFont="1" applyFill="1" applyBorder="1" applyAlignment="1">
      <alignment horizontal="center"/>
    </xf>
    <xf numFmtId="0" fontId="20" fillId="0" borderId="6" xfId="0" applyFont="1" applyBorder="1"/>
    <xf numFmtId="0" fontId="11" fillId="0" borderId="3" xfId="0" applyFont="1" applyBorder="1" applyProtection="1">
      <protection locked="0"/>
    </xf>
    <xf numFmtId="0" fontId="11" fillId="0" borderId="3" xfId="0" quotePrefix="1" applyFont="1" applyBorder="1" applyProtection="1">
      <protection locked="0"/>
    </xf>
    <xf numFmtId="0" fontId="11" fillId="0" borderId="3" xfId="0" applyFont="1" applyBorder="1" applyAlignment="1" applyProtection="1">
      <alignment horizontal="center"/>
      <protection locked="0"/>
    </xf>
    <xf numFmtId="0" fontId="11" fillId="0" borderId="3" xfId="0" applyFont="1" applyBorder="1" applyAlignment="1" applyProtection="1">
      <alignment horizontal="center" vertical="center"/>
      <protection locked="0"/>
    </xf>
    <xf numFmtId="0" fontId="28" fillId="0" borderId="3" xfId="0" applyFont="1" applyBorder="1" applyProtection="1">
      <protection locked="0"/>
    </xf>
    <xf numFmtId="0" fontId="28" fillId="0" borderId="3" xfId="0" quotePrefix="1" applyFont="1" applyBorder="1" applyProtection="1">
      <protection locked="0"/>
    </xf>
    <xf numFmtId="0" fontId="28" fillId="0" borderId="3" xfId="0" applyFont="1" applyBorder="1" applyAlignment="1" applyProtection="1">
      <alignment horizontal="center"/>
      <protection locked="0"/>
    </xf>
    <xf numFmtId="0" fontId="42" fillId="0" borderId="0" xfId="0" applyFont="1"/>
    <xf numFmtId="0" fontId="49" fillId="0" borderId="0" xfId="0" applyFont="1" applyAlignment="1">
      <alignment horizontal="center" vertical="center"/>
    </xf>
    <xf numFmtId="0" fontId="50" fillId="0" borderId="12" xfId="0" applyFont="1" applyBorder="1"/>
    <xf numFmtId="0" fontId="50" fillId="0" borderId="12" xfId="0" applyFont="1" applyBorder="1" applyAlignment="1">
      <alignment horizontal="center"/>
    </xf>
    <xf numFmtId="0" fontId="50" fillId="0" borderId="29" xfId="0" applyFont="1" applyBorder="1"/>
    <xf numFmtId="2" fontId="11" fillId="0" borderId="3" xfId="0" applyNumberFormat="1" applyFont="1" applyBorder="1" applyProtection="1">
      <protection locked="0"/>
    </xf>
    <xf numFmtId="0" fontId="51" fillId="0" borderId="0" xfId="0" applyFont="1"/>
    <xf numFmtId="0" fontId="52" fillId="0" borderId="0" xfId="0" applyFont="1"/>
    <xf numFmtId="0" fontId="11" fillId="0" borderId="30" xfId="0" applyFont="1" applyBorder="1"/>
    <xf numFmtId="0" fontId="42" fillId="0" borderId="0" xfId="0" applyFont="1" applyAlignment="1">
      <alignment horizontal="right" vertical="center"/>
    </xf>
    <xf numFmtId="0" fontId="11" fillId="0" borderId="16" xfId="0" applyFont="1" applyBorder="1" applyProtection="1">
      <protection locked="0"/>
    </xf>
    <xf numFmtId="0" fontId="11" fillId="0" borderId="16" xfId="0" applyFont="1" applyBorder="1"/>
    <xf numFmtId="0" fontId="11" fillId="0" borderId="0" xfId="0" applyFont="1" applyAlignment="1">
      <alignment horizontal="right" vertical="top" wrapText="1"/>
    </xf>
    <xf numFmtId="0" fontId="51" fillId="0" borderId="0" xfId="0" applyFont="1" applyAlignment="1">
      <alignment vertical="center"/>
    </xf>
    <xf numFmtId="0" fontId="11" fillId="0" borderId="3" xfId="0" applyFont="1" applyBorder="1" applyAlignment="1" applyProtection="1">
      <alignment vertical="center"/>
      <protection locked="0"/>
    </xf>
    <xf numFmtId="0" fontId="11" fillId="0" borderId="30" xfId="0" applyFont="1" applyBorder="1" applyAlignment="1" applyProtection="1">
      <alignment vertical="center"/>
      <protection locked="0"/>
    </xf>
    <xf numFmtId="0" fontId="11" fillId="0" borderId="16" xfId="0" applyFont="1" applyBorder="1" applyAlignment="1" applyProtection="1">
      <alignment vertical="center"/>
      <protection locked="0"/>
    </xf>
    <xf numFmtId="0" fontId="11" fillId="0" borderId="3" xfId="0" applyFont="1" applyBorder="1" applyAlignment="1">
      <alignment vertical="center"/>
    </xf>
    <xf numFmtId="0" fontId="11" fillId="0" borderId="3" xfId="0" quotePrefix="1" applyFont="1" applyBorder="1" applyAlignment="1" applyProtection="1">
      <alignment vertical="center"/>
      <protection locked="0"/>
    </xf>
    <xf numFmtId="0" fontId="11" fillId="0" borderId="3" xfId="0" quotePrefix="1" applyFont="1" applyBorder="1" applyAlignment="1" applyProtection="1">
      <alignment horizontal="center" vertical="center"/>
      <protection locked="0"/>
    </xf>
    <xf numFmtId="1" fontId="11" fillId="0" borderId="3" xfId="0" applyNumberFormat="1" applyFont="1" applyBorder="1" applyAlignment="1">
      <alignment horizontal="center" vertical="center"/>
    </xf>
    <xf numFmtId="0" fontId="42" fillId="0" borderId="0" xfId="0" applyFont="1" applyAlignment="1">
      <alignment horizontal="center"/>
    </xf>
    <xf numFmtId="0" fontId="11" fillId="0" borderId="3" xfId="0" quotePrefix="1" applyFont="1" applyBorder="1" applyAlignment="1" applyProtection="1">
      <alignment horizontal="center"/>
      <protection locked="0"/>
    </xf>
    <xf numFmtId="0" fontId="11" fillId="0" borderId="9" xfId="0" applyFont="1" applyBorder="1" applyProtection="1">
      <protection locked="0"/>
    </xf>
    <xf numFmtId="0" fontId="11" fillId="0" borderId="9" xfId="0" quotePrefix="1" applyFont="1" applyBorder="1" applyProtection="1">
      <protection locked="0"/>
    </xf>
    <xf numFmtId="0" fontId="11" fillId="0" borderId="9" xfId="0" applyFont="1" applyBorder="1" applyAlignment="1" applyProtection="1">
      <alignment horizontal="center"/>
      <protection locked="0"/>
    </xf>
    <xf numFmtId="0" fontId="11" fillId="0" borderId="9" xfId="0" applyFont="1" applyBorder="1"/>
    <xf numFmtId="0" fontId="11" fillId="4" borderId="0" xfId="0" applyFont="1" applyFill="1"/>
    <xf numFmtId="0" fontId="11" fillId="0" borderId="11" xfId="0" applyFont="1" applyBorder="1"/>
    <xf numFmtId="2" fontId="11" fillId="0" borderId="3" xfId="0" applyNumberFormat="1" applyFont="1" applyBorder="1" applyAlignment="1" applyProtection="1">
      <alignment horizontal="center"/>
      <protection locked="0"/>
    </xf>
    <xf numFmtId="43" fontId="11" fillId="0" borderId="0" xfId="1" applyFont="1" applyFill="1" applyBorder="1" applyAlignment="1"/>
    <xf numFmtId="0" fontId="44" fillId="8" borderId="60" xfId="0" quotePrefix="1" applyFont="1" applyFill="1" applyBorder="1" applyAlignment="1">
      <alignment horizontal="center" vertical="center"/>
    </xf>
    <xf numFmtId="43" fontId="11" fillId="0" borderId="0" xfId="1" applyFont="1" applyBorder="1" applyAlignment="1"/>
    <xf numFmtId="0" fontId="53" fillId="2" borderId="0" xfId="0" applyFont="1" applyFill="1"/>
    <xf numFmtId="2" fontId="53" fillId="2" borderId="0" xfId="1" applyNumberFormat="1" applyFont="1" applyFill="1"/>
    <xf numFmtId="43" fontId="53" fillId="2" borderId="5" xfId="1" applyFont="1" applyFill="1" applyBorder="1"/>
    <xf numFmtId="43" fontId="53" fillId="2" borderId="6" xfId="1" applyFont="1" applyFill="1" applyBorder="1"/>
    <xf numFmtId="2" fontId="53" fillId="2" borderId="0" xfId="1" applyNumberFormat="1" applyFont="1" applyFill="1" applyBorder="1"/>
    <xf numFmtId="43" fontId="53" fillId="2" borderId="0" xfId="1" applyFont="1" applyFill="1" applyBorder="1"/>
    <xf numFmtId="43" fontId="53" fillId="2" borderId="11" xfId="1" applyFont="1" applyFill="1" applyBorder="1"/>
    <xf numFmtId="2" fontId="53" fillId="2" borderId="0" xfId="1" applyNumberFormat="1" applyFont="1" applyFill="1" applyAlignment="1">
      <alignment shrinkToFit="1"/>
    </xf>
    <xf numFmtId="43" fontId="53" fillId="2" borderId="14" xfId="1" applyFont="1" applyFill="1" applyBorder="1"/>
    <xf numFmtId="0" fontId="54" fillId="0" borderId="0" xfId="0" applyFont="1" applyAlignment="1">
      <alignment horizontal="center"/>
    </xf>
    <xf numFmtId="0" fontId="4" fillId="2" borderId="9" xfId="0" applyFont="1" applyFill="1" applyBorder="1"/>
    <xf numFmtId="2" fontId="53" fillId="2" borderId="0" xfId="0" applyNumberFormat="1" applyFont="1" applyFill="1"/>
    <xf numFmtId="43" fontId="53" fillId="2" borderId="7" xfId="1" applyFont="1" applyFill="1" applyBorder="1"/>
    <xf numFmtId="0" fontId="52" fillId="0" borderId="0" xfId="0" applyFont="1" applyAlignment="1">
      <alignment vertical="center"/>
    </xf>
    <xf numFmtId="0" fontId="4" fillId="2" borderId="15" xfId="0" applyFont="1" applyFill="1" applyBorder="1" applyAlignment="1">
      <alignment horizontal="right" vertical="center"/>
    </xf>
    <xf numFmtId="0" fontId="4" fillId="2" borderId="16" xfId="0" applyFont="1" applyFill="1" applyBorder="1" applyAlignment="1">
      <alignment horizontal="left" vertical="center"/>
    </xf>
    <xf numFmtId="0" fontId="4" fillId="2" borderId="16" xfId="0" applyFont="1" applyFill="1" applyBorder="1" applyAlignment="1">
      <alignment vertical="center"/>
    </xf>
    <xf numFmtId="0" fontId="53" fillId="2" borderId="16" xfId="0" applyFont="1" applyFill="1" applyBorder="1" applyAlignment="1">
      <alignment vertical="center"/>
    </xf>
    <xf numFmtId="2" fontId="53" fillId="2" borderId="16" xfId="0" applyNumberFormat="1" applyFont="1" applyFill="1" applyBorder="1" applyAlignment="1">
      <alignment vertical="center"/>
    </xf>
    <xf numFmtId="0" fontId="54" fillId="0" borderId="0" xfId="0" applyFont="1" applyAlignment="1">
      <alignment horizontal="right" vertical="center"/>
    </xf>
    <xf numFmtId="0" fontId="54" fillId="0" borderId="0" xfId="0" applyFont="1" applyAlignment="1">
      <alignment vertical="center"/>
    </xf>
    <xf numFmtId="0" fontId="53" fillId="2" borderId="16" xfId="0" applyFont="1" applyFill="1" applyBorder="1"/>
    <xf numFmtId="2" fontId="53" fillId="2" borderId="16" xfId="0" applyNumberFormat="1" applyFont="1" applyFill="1" applyBorder="1"/>
    <xf numFmtId="0" fontId="54" fillId="0" borderId="0" xfId="0" applyFont="1"/>
    <xf numFmtId="0" fontId="53" fillId="2" borderId="0" xfId="0" applyFont="1" applyFill="1" applyAlignment="1">
      <alignment horizontal="center"/>
    </xf>
    <xf numFmtId="0" fontId="53" fillId="2" borderId="5" xfId="0" applyFont="1" applyFill="1" applyBorder="1"/>
    <xf numFmtId="0" fontId="53" fillId="2" borderId="0" xfId="0" applyFont="1" applyFill="1" applyAlignment="1">
      <alignment shrinkToFit="1"/>
    </xf>
    <xf numFmtId="43" fontId="53" fillId="2" borderId="0" xfId="1" applyFont="1" applyFill="1"/>
    <xf numFmtId="0" fontId="4" fillId="2" borderId="0" xfId="0" applyFont="1" applyFill="1" applyAlignment="1">
      <alignment horizontal="right" vertical="center"/>
    </xf>
    <xf numFmtId="0" fontId="4" fillId="2" borderId="0" xfId="0" applyFont="1" applyFill="1" applyAlignment="1">
      <alignment horizontal="left" vertical="center"/>
    </xf>
    <xf numFmtId="0" fontId="4" fillId="2" borderId="0" xfId="0" applyFont="1" applyFill="1" applyAlignment="1">
      <alignment vertical="center"/>
    </xf>
    <xf numFmtId="0" fontId="53" fillId="2" borderId="0" xfId="0" applyFont="1" applyFill="1" applyAlignment="1">
      <alignment vertical="center"/>
    </xf>
    <xf numFmtId="2" fontId="53" fillId="2" borderId="0" xfId="0" applyNumberFormat="1" applyFont="1" applyFill="1" applyAlignment="1">
      <alignment vertical="center"/>
    </xf>
    <xf numFmtId="43" fontId="53" fillId="2" borderId="0" xfId="1" applyFont="1" applyFill="1" applyBorder="1" applyAlignment="1">
      <alignment vertical="center"/>
    </xf>
    <xf numFmtId="43" fontId="53" fillId="2" borderId="11" xfId="1" applyFont="1" applyFill="1" applyBorder="1" applyAlignment="1">
      <alignment vertical="center"/>
    </xf>
    <xf numFmtId="0" fontId="51" fillId="0" borderId="0" xfId="0" applyFont="1" applyAlignment="1">
      <alignment horizontal="left"/>
    </xf>
    <xf numFmtId="0" fontId="51" fillId="0" borderId="0" xfId="0" applyFont="1" applyAlignment="1">
      <alignment horizontal="center"/>
    </xf>
    <xf numFmtId="43" fontId="51" fillId="0" borderId="0" xfId="1" applyFont="1"/>
    <xf numFmtId="0" fontId="55" fillId="0" borderId="0" xfId="0" applyFont="1"/>
    <xf numFmtId="0" fontId="51" fillId="0" borderId="6" xfId="0" applyFont="1" applyBorder="1" applyAlignment="1">
      <alignment horizontal="right"/>
    </xf>
    <xf numFmtId="0" fontId="51" fillId="0" borderId="6" xfId="0" applyFont="1" applyBorder="1"/>
    <xf numFmtId="0" fontId="51" fillId="0" borderId="0" xfId="0" applyFont="1" applyAlignment="1">
      <alignment horizontal="right"/>
    </xf>
    <xf numFmtId="0" fontId="51" fillId="0" borderId="0" xfId="0" applyFont="1" applyAlignment="1" applyProtection="1">
      <alignment horizontal="left" vertical="center"/>
      <protection locked="0"/>
    </xf>
    <xf numFmtId="0" fontId="51" fillId="0" borderId="0" xfId="0" applyFont="1" applyProtection="1">
      <protection locked="0"/>
    </xf>
    <xf numFmtId="0" fontId="8" fillId="0" borderId="0" xfId="0" applyFont="1" applyAlignment="1">
      <alignment horizontal="center"/>
    </xf>
    <xf numFmtId="165" fontId="2" fillId="0" borderId="0" xfId="0" applyNumberFormat="1" applyFont="1"/>
    <xf numFmtId="165" fontId="2" fillId="0" borderId="6" xfId="0" applyNumberFormat="1" applyFont="1" applyBorder="1"/>
    <xf numFmtId="0" fontId="2" fillId="0" borderId="6" xfId="0" applyFont="1" applyBorder="1" applyProtection="1">
      <protection locked="0"/>
    </xf>
    <xf numFmtId="43" fontId="2" fillId="0" borderId="0" xfId="1" applyFont="1" applyFill="1" applyBorder="1" applyAlignment="1"/>
    <xf numFmtId="43" fontId="2" fillId="0" borderId="0" xfId="1" applyFont="1" applyBorder="1" applyAlignment="1"/>
    <xf numFmtId="1" fontId="0" fillId="0" borderId="0" xfId="0" applyNumberFormat="1"/>
    <xf numFmtId="43" fontId="0" fillId="0" borderId="0" xfId="0" applyNumberFormat="1"/>
    <xf numFmtId="0" fontId="44" fillId="8" borderId="0" xfId="0" quotePrefix="1" applyFont="1" applyFill="1" applyAlignment="1">
      <alignment horizontal="center"/>
    </xf>
    <xf numFmtId="0" fontId="0" fillId="10" borderId="92" xfId="0" applyFill="1" applyBorder="1"/>
    <xf numFmtId="0" fontId="57" fillId="10" borderId="92" xfId="0" applyFont="1" applyFill="1" applyBorder="1"/>
    <xf numFmtId="0" fontId="57" fillId="0" borderId="0" xfId="0" applyFont="1"/>
    <xf numFmtId="0" fontId="45" fillId="0" borderId="1" xfId="4" applyFont="1" applyBorder="1" applyAlignment="1" applyProtection="1">
      <alignment horizontal="center" vertical="center"/>
      <protection locked="0"/>
    </xf>
    <xf numFmtId="0" fontId="45" fillId="0" borderId="1" xfId="0" applyFont="1" applyBorder="1" applyAlignment="1" applyProtection="1">
      <alignment horizontal="center" vertical="center"/>
      <protection locked="0"/>
    </xf>
    <xf numFmtId="0" fontId="58" fillId="11" borderId="95" xfId="0" applyFont="1" applyFill="1" applyBorder="1"/>
    <xf numFmtId="4" fontId="0" fillId="0" borderId="0" xfId="3" applyNumberFormat="1" applyFont="1"/>
    <xf numFmtId="4" fontId="0" fillId="10" borderId="92" xfId="0" applyNumberFormat="1" applyFill="1" applyBorder="1"/>
    <xf numFmtId="164" fontId="45" fillId="0" borderId="1" xfId="4" applyNumberFormat="1" applyFont="1" applyBorder="1" applyAlignment="1" applyProtection="1">
      <alignment horizontal="center" vertical="center"/>
      <protection locked="0"/>
    </xf>
    <xf numFmtId="0" fontId="45" fillId="0" borderId="1" xfId="4" quotePrefix="1" applyFont="1" applyBorder="1" applyAlignment="1" applyProtection="1">
      <alignment horizontal="center" vertical="center" wrapText="1"/>
      <protection locked="0"/>
    </xf>
    <xf numFmtId="0" fontId="45" fillId="0" borderId="54" xfId="0" applyFont="1" applyBorder="1" applyAlignment="1" applyProtection="1">
      <alignment horizontal="center" vertical="center"/>
      <protection locked="0"/>
    </xf>
    <xf numFmtId="0" fontId="45" fillId="0" borderId="54" xfId="0" applyFont="1" applyBorder="1" applyAlignment="1" applyProtection="1">
      <alignment horizontal="center"/>
      <protection locked="0"/>
    </xf>
    <xf numFmtId="0" fontId="28" fillId="0" borderId="60" xfId="0" applyFont="1" applyBorder="1" applyAlignment="1" applyProtection="1">
      <alignment horizontal="center" vertical="center" shrinkToFit="1"/>
      <protection locked="0"/>
    </xf>
    <xf numFmtId="0" fontId="45" fillId="0" borderId="1" xfId="0" applyFont="1" applyBorder="1" applyAlignment="1" applyProtection="1">
      <alignment horizontal="center"/>
      <protection locked="0"/>
    </xf>
    <xf numFmtId="0" fontId="28" fillId="0" borderId="1" xfId="0" applyFont="1" applyBorder="1" applyAlignment="1" applyProtection="1">
      <alignment horizontal="center"/>
      <protection locked="0"/>
    </xf>
    <xf numFmtId="0" fontId="28" fillId="0" borderId="2" xfId="0" applyFont="1" applyBorder="1" applyAlignment="1">
      <alignment horizontal="right"/>
    </xf>
    <xf numFmtId="0" fontId="28" fillId="0" borderId="3" xfId="0" applyFont="1" applyBorder="1" applyAlignment="1">
      <alignment horizontal="right"/>
    </xf>
    <xf numFmtId="0" fontId="11" fillId="0" borderId="3" xfId="0" applyFont="1" applyBorder="1"/>
    <xf numFmtId="43" fontId="28" fillId="0" borderId="3" xfId="1" applyFont="1" applyFill="1" applyBorder="1" applyAlignment="1">
      <alignment shrinkToFit="1"/>
    </xf>
    <xf numFmtId="43" fontId="28" fillId="0" borderId="4" xfId="1" applyFont="1" applyFill="1" applyBorder="1" applyAlignment="1">
      <alignment shrinkToFit="1"/>
    </xf>
    <xf numFmtId="0" fontId="17" fillId="0" borderId="2" xfId="0" applyFont="1" applyBorder="1" applyAlignment="1">
      <alignment horizontal="left" vertical="center" shrinkToFit="1"/>
    </xf>
    <xf numFmtId="0" fontId="17" fillId="0" borderId="3" xfId="0" applyFont="1" applyBorder="1" applyAlignment="1">
      <alignment horizontal="left" vertical="center" shrinkToFit="1"/>
    </xf>
    <xf numFmtId="0" fontId="17" fillId="0" borderId="4" xfId="0" applyFont="1" applyBorder="1" applyAlignment="1">
      <alignment horizontal="left" vertical="center" shrinkToFit="1"/>
    </xf>
    <xf numFmtId="44" fontId="32" fillId="2" borderId="2" xfId="3" applyFont="1" applyFill="1" applyBorder="1" applyAlignment="1">
      <alignment horizontal="center" shrinkToFit="1"/>
    </xf>
    <xf numFmtId="44" fontId="32" fillId="2" borderId="3" xfId="3" applyFont="1" applyFill="1" applyBorder="1" applyAlignment="1">
      <alignment horizontal="center" shrinkToFit="1"/>
    </xf>
    <xf numFmtId="44" fontId="32" fillId="2" borderId="4" xfId="3" applyFont="1" applyFill="1" applyBorder="1" applyAlignment="1">
      <alignment horizontal="center" shrinkToFit="1"/>
    </xf>
    <xf numFmtId="0" fontId="42" fillId="0" borderId="2" xfId="0" applyFont="1" applyBorder="1" applyAlignment="1">
      <alignment horizontal="left"/>
    </xf>
    <xf numFmtId="0" fontId="42" fillId="0" borderId="3" xfId="0" applyFont="1" applyBorder="1" applyAlignment="1">
      <alignment horizontal="left"/>
    </xf>
    <xf numFmtId="43" fontId="11" fillId="0" borderId="1" xfId="1" applyFont="1" applyFill="1" applyBorder="1" applyAlignment="1">
      <alignment vertical="center"/>
    </xf>
    <xf numFmtId="0" fontId="0" fillId="0" borderId="1" xfId="0" applyBorder="1" applyAlignment="1">
      <alignment vertical="center"/>
    </xf>
    <xf numFmtId="0" fontId="11" fillId="0" borderId="2" xfId="0" applyFont="1" applyBorder="1" applyAlignment="1">
      <alignment horizontal="right" vertical="center"/>
    </xf>
    <xf numFmtId="0" fontId="11" fillId="0" borderId="3" xfId="0" applyFont="1" applyBorder="1" applyAlignment="1">
      <alignment horizontal="right" vertical="center"/>
    </xf>
    <xf numFmtId="0" fontId="11" fillId="0" borderId="3" xfId="0" applyFont="1" applyBorder="1" applyAlignment="1">
      <alignment vertical="center"/>
    </xf>
    <xf numFmtId="43" fontId="11" fillId="0" borderId="3" xfId="0" applyNumberFormat="1" applyFont="1" applyBorder="1" applyAlignment="1">
      <alignment vertical="center" shrinkToFit="1"/>
    </xf>
    <xf numFmtId="43" fontId="11" fillId="0" borderId="4" xfId="0" applyNumberFormat="1" applyFont="1" applyBorder="1" applyAlignment="1">
      <alignment vertical="center" shrinkToFit="1"/>
    </xf>
    <xf numFmtId="43" fontId="11" fillId="0" borderId="1" xfId="1" applyFont="1" applyFill="1" applyBorder="1" applyAlignment="1">
      <alignment horizontal="center" vertical="center"/>
    </xf>
    <xf numFmtId="43" fontId="11" fillId="0" borderId="1" xfId="1" applyFont="1" applyFill="1" applyBorder="1" applyAlignment="1">
      <alignment horizontal="right" vertical="center" shrinkToFit="1"/>
    </xf>
    <xf numFmtId="0" fontId="32" fillId="2" borderId="6" xfId="0" applyFont="1" applyFill="1" applyBorder="1" applyAlignment="1">
      <alignment horizontal="left"/>
    </xf>
    <xf numFmtId="43" fontId="28" fillId="0" borderId="3" xfId="0" applyNumberFormat="1" applyFont="1" applyBorder="1" applyAlignment="1">
      <alignment shrinkToFit="1"/>
    </xf>
    <xf numFmtId="43" fontId="28" fillId="0" borderId="4" xfId="0" applyNumberFormat="1" applyFont="1" applyBorder="1" applyAlignment="1">
      <alignment shrinkToFit="1"/>
    </xf>
    <xf numFmtId="43" fontId="11" fillId="0" borderId="3" xfId="1" applyFont="1" applyBorder="1" applyAlignment="1">
      <alignment horizontal="center" vertical="center"/>
    </xf>
    <xf numFmtId="43" fontId="11" fillId="0" borderId="4" xfId="1" applyFont="1" applyBorder="1" applyAlignment="1">
      <alignment horizontal="center" vertical="center"/>
    </xf>
    <xf numFmtId="43" fontId="11" fillId="0" borderId="3" xfId="1" applyFont="1" applyBorder="1" applyAlignment="1">
      <alignment shrinkToFit="1"/>
    </xf>
    <xf numFmtId="43" fontId="11" fillId="0" borderId="4" xfId="1" applyFont="1" applyBorder="1" applyAlignment="1">
      <alignment shrinkToFit="1"/>
    </xf>
    <xf numFmtId="0" fontId="11" fillId="0" borderId="54" xfId="0" applyFont="1" applyBorder="1" applyAlignment="1">
      <alignment vertical="center" shrinkToFit="1"/>
    </xf>
    <xf numFmtId="0" fontId="11" fillId="0" borderId="55" xfId="0" applyFont="1" applyBorder="1" applyAlignment="1">
      <alignment vertical="center" shrinkToFit="1"/>
    </xf>
    <xf numFmtId="43" fontId="11" fillId="0" borderId="55" xfId="0" applyNumberFormat="1" applyFont="1" applyBorder="1"/>
    <xf numFmtId="43" fontId="11" fillId="0" borderId="56" xfId="0" applyNumberFormat="1" applyFont="1" applyBorder="1"/>
    <xf numFmtId="0" fontId="11" fillId="0" borderId="1" xfId="0" applyFont="1" applyBorder="1" applyAlignment="1">
      <alignment vertical="center"/>
    </xf>
    <xf numFmtId="0" fontId="11" fillId="0" borderId="3" xfId="0" applyFont="1" applyBorder="1" applyAlignment="1">
      <alignment horizontal="left"/>
    </xf>
    <xf numFmtId="44" fontId="32" fillId="2" borderId="0" xfId="0" applyNumberFormat="1" applyFont="1" applyFill="1" applyAlignment="1">
      <alignment horizontal="center"/>
    </xf>
    <xf numFmtId="44" fontId="32" fillId="2" borderId="57" xfId="0" applyNumberFormat="1" applyFont="1" applyFill="1" applyBorder="1" applyAlignment="1">
      <alignment horizontal="center"/>
    </xf>
    <xf numFmtId="0" fontId="42" fillId="0" borderId="0" xfId="0" applyFont="1" applyAlignment="1" applyProtection="1">
      <alignment vertical="center"/>
      <protection locked="0"/>
    </xf>
    <xf numFmtId="0" fontId="11" fillId="0" borderId="0" xfId="0" applyFont="1" applyAlignment="1">
      <alignment vertical="center"/>
    </xf>
    <xf numFmtId="0" fontId="11" fillId="0" borderId="0" xfId="0" applyFont="1" applyAlignment="1" applyProtection="1">
      <alignment vertical="center"/>
      <protection locked="0"/>
    </xf>
    <xf numFmtId="0" fontId="42" fillId="0" borderId="6" xfId="0" applyFont="1" applyBorder="1" applyAlignment="1" applyProtection="1">
      <alignment horizontal="left" vertical="center"/>
      <protection locked="0"/>
    </xf>
    <xf numFmtId="0" fontId="42" fillId="0" borderId="0" xfId="0" applyFont="1" applyAlignment="1" applyProtection="1">
      <alignment vertical="center" wrapText="1"/>
      <protection locked="0"/>
    </xf>
    <xf numFmtId="0" fontId="42" fillId="0" borderId="14" xfId="0" applyFont="1" applyBorder="1" applyAlignment="1" applyProtection="1">
      <alignment horizontal="left" vertical="center"/>
      <protection locked="0"/>
    </xf>
    <xf numFmtId="0" fontId="42" fillId="0" borderId="0" xfId="0" applyFont="1" applyAlignment="1" applyProtection="1">
      <alignment horizontal="left" vertical="center"/>
      <protection locked="0"/>
    </xf>
    <xf numFmtId="0" fontId="11" fillId="0" borderId="0" xfId="0" applyFont="1"/>
    <xf numFmtId="16" fontId="11" fillId="0" borderId="0" xfId="0" applyNumberFormat="1" applyFont="1" applyAlignment="1" applyProtection="1">
      <alignment vertical="center"/>
      <protection locked="0"/>
    </xf>
    <xf numFmtId="16" fontId="11" fillId="0" borderId="6" xfId="0" applyNumberFormat="1" applyFont="1" applyBorder="1" applyAlignment="1" applyProtection="1">
      <alignment vertical="center"/>
      <protection locked="0"/>
    </xf>
    <xf numFmtId="0" fontId="11" fillId="0" borderId="2" xfId="0" applyFont="1" applyBorder="1" applyAlignment="1">
      <alignment vertical="center"/>
    </xf>
    <xf numFmtId="43" fontId="11" fillId="0" borderId="2" xfId="1" applyFont="1" applyBorder="1" applyAlignment="1">
      <alignment horizontal="right" vertical="center" shrinkToFit="1"/>
    </xf>
    <xf numFmtId="43" fontId="11" fillId="0" borderId="3" xfId="1" applyFont="1" applyBorder="1" applyAlignment="1">
      <alignment horizontal="right" vertical="center" shrinkToFit="1"/>
    </xf>
    <xf numFmtId="43" fontId="11" fillId="0" borderId="4" xfId="1" applyFont="1" applyBorder="1" applyAlignment="1">
      <alignment horizontal="right" vertical="center" shrinkToFit="1"/>
    </xf>
    <xf numFmtId="43" fontId="11" fillId="0" borderId="2" xfId="1" applyFont="1" applyBorder="1" applyAlignment="1">
      <alignment horizontal="center" vertical="center" shrinkToFit="1"/>
    </xf>
    <xf numFmtId="43" fontId="11" fillId="0" borderId="3" xfId="1" applyFont="1" applyBorder="1" applyAlignment="1">
      <alignment horizontal="center" vertical="center" shrinkToFit="1"/>
    </xf>
    <xf numFmtId="43" fontId="11" fillId="0" borderId="4" xfId="1" applyFont="1" applyBorder="1" applyAlignment="1">
      <alignment horizontal="center" vertical="center" shrinkToFit="1"/>
    </xf>
    <xf numFmtId="43" fontId="11" fillId="0" borderId="59" xfId="1" applyFont="1" applyBorder="1" applyAlignment="1">
      <alignment vertical="center"/>
    </xf>
    <xf numFmtId="43" fontId="11" fillId="0" borderId="22" xfId="1" applyFont="1" applyBorder="1" applyAlignment="1">
      <alignment vertical="center"/>
    </xf>
    <xf numFmtId="43" fontId="11" fillId="0" borderId="26" xfId="1" applyFont="1" applyBorder="1" applyAlignment="1">
      <alignment vertical="center"/>
    </xf>
    <xf numFmtId="0" fontId="32" fillId="2" borderId="53" xfId="0" applyFont="1" applyFill="1" applyBorder="1" applyAlignment="1">
      <alignment vertical="center"/>
    </xf>
    <xf numFmtId="0" fontId="32" fillId="2" borderId="0" xfId="0" applyFont="1" applyFill="1" applyAlignment="1">
      <alignment vertical="center"/>
    </xf>
    <xf numFmtId="43" fontId="17" fillId="6" borderId="2" xfId="1" applyFont="1" applyFill="1" applyBorder="1" applyAlignment="1">
      <alignment horizontal="center" shrinkToFit="1"/>
    </xf>
    <xf numFmtId="43" fontId="17" fillId="6" borderId="3" xfId="1" applyFont="1" applyFill="1" applyBorder="1" applyAlignment="1">
      <alignment horizontal="center" shrinkToFit="1"/>
    </xf>
    <xf numFmtId="43" fontId="17" fillId="6" borderId="4" xfId="1" applyFont="1" applyFill="1" applyBorder="1" applyAlignment="1">
      <alignment horizontal="center" shrinkToFit="1"/>
    </xf>
    <xf numFmtId="44" fontId="32" fillId="2" borderId="2" xfId="3" applyFont="1" applyFill="1" applyBorder="1" applyAlignment="1">
      <alignment horizontal="center" vertical="center" shrinkToFit="1"/>
    </xf>
    <xf numFmtId="44" fontId="32" fillId="2" borderId="3" xfId="3" applyFont="1" applyFill="1" applyBorder="1" applyAlignment="1">
      <alignment horizontal="center" vertical="center" shrinkToFit="1"/>
    </xf>
    <xf numFmtId="44" fontId="32" fillId="2" borderId="4" xfId="3" applyFont="1" applyFill="1" applyBorder="1" applyAlignment="1">
      <alignment horizontal="center" vertical="center" shrinkToFit="1"/>
    </xf>
    <xf numFmtId="0" fontId="17" fillId="6" borderId="1" xfId="0" applyFont="1" applyFill="1" applyBorder="1" applyAlignment="1">
      <alignment horizontal="center" vertical="center"/>
    </xf>
    <xf numFmtId="43" fontId="11" fillId="0" borderId="1" xfId="1" applyFont="1" applyBorder="1" applyAlignment="1">
      <alignment vertical="center"/>
    </xf>
    <xf numFmtId="0" fontId="42" fillId="6" borderId="1" xfId="0" applyFont="1" applyFill="1" applyBorder="1" applyAlignment="1">
      <alignment horizontal="center" vertical="center"/>
    </xf>
    <xf numFmtId="0" fontId="44" fillId="2" borderId="0" xfId="4" applyFont="1" applyFill="1" applyAlignment="1" applyProtection="1">
      <alignment horizontal="left" vertical="center" wrapText="1"/>
      <protection hidden="1"/>
    </xf>
    <xf numFmtId="43" fontId="11" fillId="0" borderId="3" xfId="1" applyFont="1" applyBorder="1" applyAlignment="1">
      <alignment vertical="center" shrinkToFit="1"/>
    </xf>
    <xf numFmtId="43" fontId="11" fillId="0" borderId="4" xfId="1" applyFont="1" applyBorder="1" applyAlignment="1">
      <alignment vertical="center" shrinkToFit="1"/>
    </xf>
    <xf numFmtId="43" fontId="11" fillId="0" borderId="3" xfId="1" applyFont="1" applyBorder="1" applyAlignment="1">
      <alignment horizontal="right" vertical="center"/>
    </xf>
    <xf numFmtId="43" fontId="11" fillId="0" borderId="4" xfId="1" applyFont="1" applyBorder="1" applyAlignment="1">
      <alignment horizontal="right" vertical="center"/>
    </xf>
    <xf numFmtId="0" fontId="11" fillId="0" borderId="0" xfId="0" applyFont="1" applyAlignment="1" applyProtection="1">
      <alignment horizontal="left" vertical="top"/>
      <protection locked="0"/>
    </xf>
    <xf numFmtId="0" fontId="12" fillId="2" borderId="9" xfId="0" applyFont="1" applyFill="1" applyBorder="1" applyAlignment="1">
      <alignment horizontal="center"/>
    </xf>
    <xf numFmtId="43" fontId="17" fillId="6" borderId="3" xfId="1" applyFont="1" applyFill="1" applyBorder="1" applyAlignment="1">
      <alignment horizontal="center"/>
    </xf>
    <xf numFmtId="43" fontId="17" fillId="6" borderId="4" xfId="1" applyFont="1" applyFill="1" applyBorder="1" applyAlignment="1">
      <alignment horizontal="center"/>
    </xf>
    <xf numFmtId="0" fontId="42" fillId="0" borderId="8" xfId="0" applyFont="1" applyBorder="1" applyAlignment="1" applyProtection="1">
      <alignment horizontal="left" vertical="center"/>
      <protection locked="0"/>
    </xf>
    <xf numFmtId="0" fontId="42" fillId="0" borderId="9" xfId="0" applyFont="1" applyBorder="1" applyAlignment="1" applyProtection="1">
      <alignment horizontal="left" vertical="center"/>
      <protection locked="0"/>
    </xf>
    <xf numFmtId="0" fontId="42" fillId="0" borderId="5" xfId="0" applyFont="1" applyBorder="1" applyAlignment="1" applyProtection="1">
      <alignment horizontal="left" vertical="center"/>
      <protection locked="0"/>
    </xf>
    <xf numFmtId="0" fontId="22" fillId="6" borderId="37" xfId="0" applyFont="1" applyFill="1" applyBorder="1" applyAlignment="1">
      <alignment horizontal="center" vertical="center"/>
    </xf>
    <xf numFmtId="0" fontId="22" fillId="6" borderId="24" xfId="0" applyFont="1" applyFill="1" applyBorder="1" applyAlignment="1">
      <alignment horizontal="center" vertical="center"/>
    </xf>
    <xf numFmtId="0" fontId="22" fillId="6" borderId="38" xfId="0" applyFont="1" applyFill="1" applyBorder="1" applyAlignment="1">
      <alignment horizontal="center" vertical="center"/>
    </xf>
    <xf numFmtId="0" fontId="22" fillId="6" borderId="8" xfId="0" applyFont="1" applyFill="1" applyBorder="1" applyAlignment="1">
      <alignment horizontal="center" vertical="center"/>
    </xf>
    <xf numFmtId="0" fontId="22" fillId="6" borderId="9" xfId="0" applyFont="1" applyFill="1" applyBorder="1" applyAlignment="1">
      <alignment horizontal="center" vertical="center"/>
    </xf>
    <xf numFmtId="0" fontId="22" fillId="6" borderId="10" xfId="0" applyFont="1" applyFill="1" applyBorder="1" applyAlignment="1">
      <alignment horizontal="center" vertical="center"/>
    </xf>
    <xf numFmtId="0" fontId="22" fillId="6" borderId="5" xfId="0" applyFont="1" applyFill="1" applyBorder="1" applyAlignment="1">
      <alignment horizontal="center" vertical="center" wrapText="1"/>
    </xf>
    <xf numFmtId="0" fontId="22" fillId="6" borderId="6" xfId="0" applyFont="1" applyFill="1" applyBorder="1" applyAlignment="1">
      <alignment horizontal="center" vertical="center" wrapText="1"/>
    </xf>
    <xf numFmtId="0" fontId="22" fillId="6" borderId="7" xfId="0" applyFont="1" applyFill="1" applyBorder="1" applyAlignment="1">
      <alignment horizontal="center" vertical="center" wrapText="1"/>
    </xf>
    <xf numFmtId="0" fontId="22" fillId="6" borderId="8" xfId="0" applyFont="1" applyFill="1" applyBorder="1" applyAlignment="1">
      <alignment horizontal="center" vertical="center" wrapText="1"/>
    </xf>
    <xf numFmtId="0" fontId="22" fillId="6" borderId="9" xfId="0" applyFont="1" applyFill="1" applyBorder="1" applyAlignment="1">
      <alignment horizontal="center" vertical="center" wrapText="1"/>
    </xf>
    <xf numFmtId="0" fontId="22" fillId="6" borderId="10" xfId="0" applyFont="1" applyFill="1" applyBorder="1" applyAlignment="1">
      <alignment horizontal="center" vertical="center" wrapText="1"/>
    </xf>
    <xf numFmtId="9" fontId="22" fillId="0" borderId="5" xfId="2" applyFont="1" applyFill="1" applyBorder="1" applyAlignment="1" applyProtection="1">
      <alignment horizontal="center" vertical="center"/>
      <protection locked="0"/>
    </xf>
    <xf numFmtId="9" fontId="22" fillId="0" borderId="6" xfId="2" applyFont="1" applyFill="1" applyBorder="1" applyAlignment="1" applyProtection="1">
      <alignment horizontal="center" vertical="center"/>
      <protection locked="0"/>
    </xf>
    <xf numFmtId="9" fontId="22" fillId="0" borderId="7" xfId="2" applyFont="1" applyFill="1" applyBorder="1" applyAlignment="1" applyProtection="1">
      <alignment horizontal="center" vertical="center"/>
      <protection locked="0"/>
    </xf>
    <xf numFmtId="9" fontId="22" fillId="0" borderId="8" xfId="2" applyFont="1" applyFill="1" applyBorder="1" applyAlignment="1" applyProtection="1">
      <alignment horizontal="center" vertical="center"/>
      <protection locked="0"/>
    </xf>
    <xf numFmtId="9" fontId="22" fillId="0" borderId="9" xfId="2" applyFont="1" applyFill="1" applyBorder="1" applyAlignment="1" applyProtection="1">
      <alignment horizontal="center" vertical="center"/>
      <protection locked="0"/>
    </xf>
    <xf numFmtId="9" fontId="22" fillId="0" borderId="10" xfId="2" applyFont="1" applyFill="1" applyBorder="1" applyAlignment="1" applyProtection="1">
      <alignment horizontal="center" vertical="center"/>
      <protection locked="0"/>
    </xf>
    <xf numFmtId="0" fontId="17" fillId="6" borderId="36" xfId="0" applyFont="1" applyFill="1" applyBorder="1" applyAlignment="1">
      <alignment horizontal="center" vertical="center"/>
    </xf>
    <xf numFmtId="0" fontId="17" fillId="6" borderId="27" xfId="0" applyFont="1" applyFill="1" applyBorder="1" applyAlignment="1">
      <alignment horizontal="center" vertical="center"/>
    </xf>
    <xf numFmtId="0" fontId="17" fillId="6" borderId="75" xfId="0" applyFont="1" applyFill="1" applyBorder="1" applyAlignment="1">
      <alignment horizontal="center" vertical="center"/>
    </xf>
    <xf numFmtId="9" fontId="17" fillId="0" borderId="5" xfId="2" applyFont="1" applyFill="1" applyBorder="1" applyAlignment="1" applyProtection="1">
      <alignment horizontal="center" vertical="center"/>
      <protection locked="0"/>
    </xf>
    <xf numFmtId="9" fontId="17" fillId="0" borderId="6" xfId="2" applyFont="1" applyFill="1" applyBorder="1" applyAlignment="1" applyProtection="1">
      <alignment horizontal="center" vertical="center"/>
      <protection locked="0"/>
    </xf>
    <xf numFmtId="9" fontId="17" fillId="0" borderId="7" xfId="2" applyFont="1" applyFill="1" applyBorder="1" applyAlignment="1" applyProtection="1">
      <alignment horizontal="center" vertical="center"/>
      <protection locked="0"/>
    </xf>
    <xf numFmtId="9" fontId="17" fillId="0" borderId="8" xfId="2" applyFont="1" applyFill="1" applyBorder="1" applyAlignment="1" applyProtection="1">
      <alignment horizontal="center" vertical="center"/>
      <protection locked="0"/>
    </xf>
    <xf numFmtId="9" fontId="17" fillId="0" borderId="9" xfId="2" applyFont="1" applyFill="1" applyBorder="1" applyAlignment="1" applyProtection="1">
      <alignment horizontal="center" vertical="center"/>
      <protection locked="0"/>
    </xf>
    <xf numFmtId="9" fontId="17" fillId="0" borderId="10" xfId="2" applyFont="1" applyFill="1" applyBorder="1" applyAlignment="1" applyProtection="1">
      <alignment horizontal="center" vertical="center"/>
      <protection locked="0"/>
    </xf>
    <xf numFmtId="9" fontId="17" fillId="0" borderId="72" xfId="2" applyFont="1" applyFill="1" applyBorder="1" applyAlignment="1" applyProtection="1">
      <alignment horizontal="center" vertical="center"/>
      <protection locked="0"/>
    </xf>
    <xf numFmtId="9" fontId="17" fillId="0" borderId="77" xfId="2" applyFont="1" applyFill="1" applyBorder="1" applyAlignment="1" applyProtection="1">
      <alignment horizontal="center" vertical="center"/>
      <protection locked="0"/>
    </xf>
    <xf numFmtId="9" fontId="17" fillId="0" borderId="78" xfId="2" applyFont="1" applyFill="1" applyBorder="1" applyAlignment="1" applyProtection="1">
      <alignment horizontal="center" vertical="center"/>
      <protection locked="0"/>
    </xf>
    <xf numFmtId="9" fontId="17" fillId="0" borderId="79" xfId="2" applyFont="1" applyFill="1" applyBorder="1" applyAlignment="1" applyProtection="1">
      <alignment horizontal="center" vertical="center"/>
      <protection locked="0"/>
    </xf>
    <xf numFmtId="0" fontId="17" fillId="6" borderId="5" xfId="0" applyFont="1" applyFill="1" applyBorder="1" applyAlignment="1">
      <alignment horizontal="center" vertical="center"/>
    </xf>
    <xf numFmtId="0" fontId="17" fillId="6" borderId="6" xfId="0" applyFont="1" applyFill="1" applyBorder="1" applyAlignment="1">
      <alignment horizontal="center" vertical="center"/>
    </xf>
    <xf numFmtId="0" fontId="17" fillId="6" borderId="7" xfId="0" applyFont="1" applyFill="1" applyBorder="1" applyAlignment="1">
      <alignment horizontal="center" vertical="center"/>
    </xf>
    <xf numFmtId="0" fontId="17" fillId="6" borderId="8" xfId="0" applyFont="1" applyFill="1" applyBorder="1" applyAlignment="1">
      <alignment horizontal="center" vertical="center"/>
    </xf>
    <xf numFmtId="0" fontId="17" fillId="6" borderId="9" xfId="0" applyFont="1" applyFill="1" applyBorder="1" applyAlignment="1">
      <alignment horizontal="center" vertical="center"/>
    </xf>
    <xf numFmtId="0" fontId="17" fillId="6" borderId="10" xfId="0" applyFont="1" applyFill="1" applyBorder="1" applyAlignment="1">
      <alignment horizontal="center" vertical="center"/>
    </xf>
    <xf numFmtId="0" fontId="12" fillId="2" borderId="2" xfId="4" applyFont="1" applyFill="1" applyBorder="1" applyAlignment="1" applyProtection="1">
      <alignment horizontal="center" vertical="center"/>
      <protection hidden="1"/>
    </xf>
    <xf numFmtId="0" fontId="12" fillId="2" borderId="3" xfId="4" applyFont="1" applyFill="1" applyBorder="1" applyAlignment="1" applyProtection="1">
      <alignment horizontal="center" vertical="center"/>
      <protection hidden="1"/>
    </xf>
    <xf numFmtId="0" fontId="12" fillId="2" borderId="4" xfId="4" applyFont="1" applyFill="1" applyBorder="1" applyAlignment="1" applyProtection="1">
      <alignment horizontal="center" vertical="center"/>
      <protection hidden="1"/>
    </xf>
    <xf numFmtId="0" fontId="34" fillId="6" borderId="2" xfId="0" applyFont="1" applyFill="1" applyBorder="1" applyAlignment="1">
      <alignment horizontal="center"/>
    </xf>
    <xf numFmtId="0" fontId="34" fillId="6" borderId="3" xfId="0" applyFont="1" applyFill="1" applyBorder="1" applyAlignment="1">
      <alignment horizontal="center"/>
    </xf>
    <xf numFmtId="0" fontId="34" fillId="6" borderId="4" xfId="0" applyFont="1" applyFill="1" applyBorder="1" applyAlignment="1">
      <alignment horizontal="center"/>
    </xf>
    <xf numFmtId="0" fontId="60" fillId="2" borderId="14" xfId="4" applyFont="1" applyFill="1" applyBorder="1" applyAlignment="1" applyProtection="1">
      <alignment horizontal="center" vertical="center" wrapText="1"/>
      <protection hidden="1"/>
    </xf>
    <xf numFmtId="0" fontId="60" fillId="2" borderId="0" xfId="4" applyFont="1" applyFill="1" applyAlignment="1" applyProtection="1">
      <alignment horizontal="center" vertical="center" wrapText="1"/>
      <protection hidden="1"/>
    </xf>
    <xf numFmtId="0" fontId="60" fillId="2" borderId="57" xfId="4" applyFont="1" applyFill="1" applyBorder="1" applyAlignment="1" applyProtection="1">
      <alignment horizontal="center" vertical="center" wrapText="1"/>
      <protection hidden="1"/>
    </xf>
    <xf numFmtId="0" fontId="22" fillId="6" borderId="5" xfId="0" applyFont="1" applyFill="1" applyBorder="1" applyAlignment="1">
      <alignment horizontal="center" vertical="center"/>
    </xf>
    <xf numFmtId="0" fontId="22" fillId="6" borderId="6" xfId="0" applyFont="1" applyFill="1" applyBorder="1" applyAlignment="1">
      <alignment horizontal="center" vertical="center"/>
    </xf>
    <xf numFmtId="0" fontId="22" fillId="6" borderId="7" xfId="0" applyFont="1" applyFill="1" applyBorder="1" applyAlignment="1">
      <alignment horizontal="center" vertical="center"/>
    </xf>
    <xf numFmtId="10" fontId="22" fillId="0" borderId="5" xfId="2" applyNumberFormat="1" applyFont="1" applyFill="1" applyBorder="1" applyAlignment="1" applyProtection="1">
      <alignment horizontal="center" vertical="center"/>
      <protection locked="0"/>
    </xf>
    <xf numFmtId="10" fontId="22" fillId="0" borderId="6" xfId="2" applyNumberFormat="1" applyFont="1" applyFill="1" applyBorder="1" applyAlignment="1" applyProtection="1">
      <alignment horizontal="center" vertical="center"/>
      <protection locked="0"/>
    </xf>
    <xf numFmtId="10" fontId="22" fillId="0" borderId="7" xfId="2" applyNumberFormat="1" applyFont="1" applyFill="1" applyBorder="1" applyAlignment="1" applyProtection="1">
      <alignment horizontal="center" vertical="center"/>
      <protection locked="0"/>
    </xf>
    <xf numFmtId="10" fontId="22" fillId="0" borderId="8" xfId="2" applyNumberFormat="1" applyFont="1" applyFill="1" applyBorder="1" applyAlignment="1" applyProtection="1">
      <alignment horizontal="center" vertical="center"/>
      <protection locked="0"/>
    </xf>
    <xf numFmtId="10" fontId="22" fillId="0" borderId="9" xfId="2" applyNumberFormat="1" applyFont="1" applyFill="1" applyBorder="1" applyAlignment="1" applyProtection="1">
      <alignment horizontal="center" vertical="center"/>
      <protection locked="0"/>
    </xf>
    <xf numFmtId="10" fontId="22" fillId="0" borderId="10" xfId="2" applyNumberFormat="1" applyFont="1" applyFill="1" applyBorder="1" applyAlignment="1" applyProtection="1">
      <alignment horizontal="center" vertical="center"/>
      <protection locked="0"/>
    </xf>
    <xf numFmtId="10" fontId="22" fillId="0" borderId="34" xfId="2" applyNumberFormat="1" applyFont="1" applyFill="1" applyBorder="1" applyAlignment="1" applyProtection="1">
      <alignment horizontal="center" vertical="center"/>
      <protection locked="0"/>
    </xf>
    <xf numFmtId="10" fontId="22" fillId="0" borderId="35" xfId="2" applyNumberFormat="1" applyFont="1" applyFill="1" applyBorder="1" applyAlignment="1" applyProtection="1">
      <alignment horizontal="center" vertical="center"/>
      <protection locked="0"/>
    </xf>
    <xf numFmtId="0" fontId="42" fillId="0" borderId="6" xfId="0" applyFont="1" applyBorder="1" applyAlignment="1" applyProtection="1">
      <alignment vertical="center"/>
      <protection locked="0"/>
    </xf>
    <xf numFmtId="0" fontId="42" fillId="0" borderId="2" xfId="0" applyFont="1" applyBorder="1" applyAlignment="1">
      <alignment vertical="center"/>
    </xf>
    <xf numFmtId="0" fontId="42" fillId="0" borderId="3" xfId="0" applyFont="1" applyBorder="1" applyAlignment="1">
      <alignment vertical="center"/>
    </xf>
    <xf numFmtId="44" fontId="32" fillId="2" borderId="3" xfId="3" applyFont="1" applyFill="1" applyBorder="1" applyAlignment="1">
      <alignment vertical="center" shrinkToFit="1"/>
    </xf>
    <xf numFmtId="44" fontId="32" fillId="2" borderId="4" xfId="3" applyFont="1" applyFill="1" applyBorder="1" applyAlignment="1">
      <alignment vertical="center" shrinkToFit="1"/>
    </xf>
    <xf numFmtId="43" fontId="28" fillId="0" borderId="3" xfId="1" applyFont="1" applyBorder="1" applyAlignment="1">
      <alignment vertical="center" shrinkToFit="1"/>
    </xf>
    <xf numFmtId="43" fontId="28" fillId="0" borderId="4" xfId="1" applyFont="1" applyBorder="1" applyAlignment="1">
      <alignment vertical="center" shrinkToFit="1"/>
    </xf>
    <xf numFmtId="44" fontId="11" fillId="0" borderId="3" xfId="3" applyFont="1" applyFill="1" applyBorder="1" applyAlignment="1">
      <alignment horizontal="center" vertical="center"/>
    </xf>
    <xf numFmtId="44" fontId="11" fillId="0" borderId="4" xfId="3" applyFont="1" applyFill="1" applyBorder="1" applyAlignment="1">
      <alignment horizontal="center" vertical="center"/>
    </xf>
    <xf numFmtId="43" fontId="11" fillId="0" borderId="3" xfId="1" applyFont="1" applyFill="1" applyBorder="1" applyAlignment="1">
      <alignment vertical="center" shrinkToFit="1"/>
    </xf>
    <xf numFmtId="43" fontId="11" fillId="0" borderId="4" xfId="1" applyFont="1" applyFill="1" applyBorder="1" applyAlignment="1">
      <alignment vertical="center" shrinkToFit="1"/>
    </xf>
    <xf numFmtId="43" fontId="11" fillId="0" borderId="58" xfId="1" applyFont="1" applyBorder="1" applyAlignment="1">
      <alignment vertical="center"/>
    </xf>
    <xf numFmtId="43" fontId="11" fillId="0" borderId="20" xfId="1" applyFont="1" applyBorder="1" applyAlignment="1">
      <alignment vertical="center"/>
    </xf>
    <xf numFmtId="43" fontId="11" fillId="0" borderId="25" xfId="1" applyFont="1" applyBorder="1" applyAlignment="1">
      <alignment vertical="center"/>
    </xf>
    <xf numFmtId="0" fontId="12" fillId="2" borderId="5" xfId="4" applyFont="1" applyFill="1" applyBorder="1" applyAlignment="1" applyProtection="1">
      <alignment horizontal="center"/>
      <protection hidden="1"/>
    </xf>
    <xf numFmtId="0" fontId="12" fillId="2" borderId="6" xfId="4" applyFont="1" applyFill="1" applyBorder="1" applyAlignment="1" applyProtection="1">
      <alignment horizontal="center"/>
      <protection hidden="1"/>
    </xf>
    <xf numFmtId="0" fontId="12" fillId="2" borderId="7" xfId="4" applyFont="1" applyFill="1" applyBorder="1" applyAlignment="1" applyProtection="1">
      <alignment horizontal="center"/>
      <protection hidden="1"/>
    </xf>
    <xf numFmtId="0" fontId="17" fillId="6" borderId="14" xfId="0" applyFont="1" applyFill="1" applyBorder="1" applyAlignment="1">
      <alignment horizontal="center" vertical="center"/>
    </xf>
    <xf numFmtId="0" fontId="17" fillId="6" borderId="0" xfId="0" applyFont="1" applyFill="1" applyAlignment="1">
      <alignment horizontal="center" vertical="center"/>
    </xf>
    <xf numFmtId="0" fontId="17" fillId="6" borderId="11" xfId="0" applyFont="1" applyFill="1" applyBorder="1" applyAlignment="1">
      <alignment horizontal="center" vertical="center"/>
    </xf>
    <xf numFmtId="0" fontId="34" fillId="6" borderId="70" xfId="0" applyFont="1" applyFill="1" applyBorder="1" applyAlignment="1">
      <alignment horizontal="center"/>
    </xf>
    <xf numFmtId="0" fontId="34" fillId="6" borderId="71" xfId="0" applyFont="1" applyFill="1" applyBorder="1" applyAlignment="1">
      <alignment horizontal="center"/>
    </xf>
    <xf numFmtId="44" fontId="22" fillId="6" borderId="3" xfId="0" applyNumberFormat="1" applyFont="1" applyFill="1" applyBorder="1" applyAlignment="1">
      <alignment horizontal="right"/>
    </xf>
    <xf numFmtId="44" fontId="22" fillId="6" borderId="4" xfId="0" applyNumberFormat="1" applyFont="1" applyFill="1" applyBorder="1" applyAlignment="1">
      <alignment horizontal="right"/>
    </xf>
    <xf numFmtId="9" fontId="17" fillId="0" borderId="28" xfId="2" applyFont="1" applyFill="1" applyBorder="1" applyAlignment="1" applyProtection="1">
      <alignment horizontal="center" vertical="center"/>
      <protection locked="0"/>
    </xf>
    <xf numFmtId="9" fontId="17" fillId="0" borderId="24" xfId="2" applyFont="1" applyFill="1" applyBorder="1" applyAlignment="1" applyProtection="1">
      <alignment horizontal="center" vertical="center"/>
      <protection locked="0"/>
    </xf>
    <xf numFmtId="9" fontId="17" fillId="0" borderId="76" xfId="2" applyFont="1" applyFill="1" applyBorder="1" applyAlignment="1" applyProtection="1">
      <alignment horizontal="center" vertical="center"/>
      <protection locked="0"/>
    </xf>
    <xf numFmtId="9" fontId="17" fillId="0" borderId="80" xfId="2" applyFont="1" applyFill="1" applyBorder="1" applyAlignment="1" applyProtection="1">
      <alignment horizontal="center" vertical="center"/>
      <protection locked="0"/>
    </xf>
    <xf numFmtId="9" fontId="17" fillId="0" borderId="81" xfId="2" applyFont="1" applyFill="1" applyBorder="1" applyAlignment="1" applyProtection="1">
      <alignment horizontal="center" vertical="center"/>
      <protection locked="0"/>
    </xf>
    <xf numFmtId="0" fontId="17" fillId="6" borderId="72" xfId="0" applyFont="1" applyFill="1" applyBorder="1" applyAlignment="1">
      <alignment horizontal="center" vertical="center"/>
    </xf>
    <xf numFmtId="0" fontId="17" fillId="6" borderId="74" xfId="0" applyFont="1" applyFill="1" applyBorder="1" applyAlignment="1">
      <alignment horizontal="center" vertical="center"/>
    </xf>
    <xf numFmtId="0" fontId="17" fillId="6" borderId="73" xfId="0" applyFont="1" applyFill="1" applyBorder="1" applyAlignment="1">
      <alignment horizontal="center" vertical="center"/>
    </xf>
    <xf numFmtId="0" fontId="12" fillId="2" borderId="67" xfId="4" applyFont="1" applyFill="1" applyBorder="1" applyAlignment="1" applyProtection="1">
      <alignment horizontal="center" vertical="center"/>
      <protection hidden="1"/>
    </xf>
    <xf numFmtId="0" fontId="12" fillId="2" borderId="68" xfId="4" applyFont="1" applyFill="1" applyBorder="1" applyAlignment="1" applyProtection="1">
      <alignment horizontal="center" vertical="center"/>
      <protection hidden="1"/>
    </xf>
    <xf numFmtId="0" fontId="12" fillId="2" borderId="69" xfId="4" applyFont="1" applyFill="1" applyBorder="1" applyAlignment="1" applyProtection="1">
      <alignment horizontal="center" vertical="center"/>
      <protection hidden="1"/>
    </xf>
    <xf numFmtId="0" fontId="11" fillId="0" borderId="4" xfId="0" applyFont="1" applyBorder="1"/>
    <xf numFmtId="0" fontId="17" fillId="6" borderId="3" xfId="0" applyFont="1" applyFill="1" applyBorder="1" applyAlignment="1">
      <alignment horizontal="left"/>
    </xf>
    <xf numFmtId="0" fontId="17" fillId="6" borderId="4" xfId="0" applyFont="1" applyFill="1" applyBorder="1" applyAlignment="1">
      <alignment horizontal="left"/>
    </xf>
    <xf numFmtId="0" fontId="28" fillId="0" borderId="4" xfId="0" applyFont="1" applyBorder="1" applyAlignment="1">
      <alignment horizontal="right"/>
    </xf>
    <xf numFmtId="0" fontId="11" fillId="0" borderId="2" xfId="0" quotePrefix="1" applyFont="1" applyBorder="1" applyAlignment="1">
      <alignment horizontal="right" vertical="center"/>
    </xf>
    <xf numFmtId="0" fontId="11" fillId="0" borderId="3" xfId="0" quotePrefix="1" applyFont="1" applyBorder="1" applyAlignment="1">
      <alignment horizontal="right" vertical="center"/>
    </xf>
    <xf numFmtId="0" fontId="22" fillId="0" borderId="0" xfId="0" applyFont="1" applyAlignment="1">
      <alignment horizontal="center"/>
    </xf>
    <xf numFmtId="43" fontId="28" fillId="0" borderId="3" xfId="1" applyFont="1" applyBorder="1" applyAlignment="1">
      <alignment shrinkToFit="1"/>
    </xf>
    <xf numFmtId="43" fontId="28" fillId="0" borderId="4" xfId="1" applyFont="1" applyBorder="1" applyAlignment="1">
      <alignment shrinkToFit="1"/>
    </xf>
    <xf numFmtId="0" fontId="17" fillId="6" borderId="9" xfId="0" applyFont="1" applyFill="1" applyBorder="1"/>
    <xf numFmtId="0" fontId="17" fillId="6" borderId="10" xfId="0" applyFont="1" applyFill="1" applyBorder="1"/>
    <xf numFmtId="0" fontId="11" fillId="0" borderId="4" xfId="0" applyFont="1" applyBorder="1" applyAlignment="1">
      <alignment vertical="center"/>
    </xf>
    <xf numFmtId="0" fontId="11" fillId="0" borderId="83" xfId="0" applyFont="1" applyBorder="1"/>
    <xf numFmtId="0" fontId="11" fillId="0" borderId="55" xfId="0" applyFont="1" applyBorder="1"/>
    <xf numFmtId="0" fontId="11" fillId="0" borderId="56" xfId="0" applyFont="1" applyBorder="1"/>
    <xf numFmtId="0" fontId="11" fillId="0" borderId="3" xfId="0" applyFont="1" applyBorder="1" applyAlignment="1" applyProtection="1">
      <alignment vertical="center"/>
      <protection locked="0"/>
    </xf>
    <xf numFmtId="0" fontId="30" fillId="6" borderId="3" xfId="0" applyFont="1" applyFill="1" applyBorder="1"/>
    <xf numFmtId="0" fontId="30" fillId="6" borderId="4" xfId="0" applyFont="1" applyFill="1" applyBorder="1"/>
    <xf numFmtId="0" fontId="17" fillId="0" borderId="90" xfId="0" applyFont="1" applyBorder="1" applyAlignment="1">
      <alignment horizontal="left" vertical="center" shrinkToFit="1"/>
    </xf>
    <xf numFmtId="0" fontId="17" fillId="0" borderId="68" xfId="0" applyFont="1" applyBorder="1" applyAlignment="1">
      <alignment horizontal="left" vertical="center" shrinkToFit="1"/>
    </xf>
    <xf numFmtId="0" fontId="17" fillId="0" borderId="91" xfId="0" applyFont="1" applyBorder="1" applyAlignment="1">
      <alignment horizontal="left" vertical="center" shrinkToFit="1"/>
    </xf>
    <xf numFmtId="0" fontId="42" fillId="3" borderId="54" xfId="0" applyFont="1" applyFill="1" applyBorder="1" applyAlignment="1">
      <alignment horizontal="left"/>
    </xf>
    <xf numFmtId="0" fontId="42" fillId="3" borderId="55" xfId="0" applyFont="1" applyFill="1" applyBorder="1" applyAlignment="1">
      <alignment horizontal="left"/>
    </xf>
    <xf numFmtId="0" fontId="42" fillId="3" borderId="56" xfId="0" applyFont="1" applyFill="1" applyBorder="1" applyAlignment="1">
      <alignment horizontal="left"/>
    </xf>
    <xf numFmtId="43" fontId="11" fillId="3" borderId="83" xfId="0" applyNumberFormat="1" applyFont="1" applyFill="1" applyBorder="1"/>
    <xf numFmtId="43" fontId="11" fillId="3" borderId="55" xfId="0" applyNumberFormat="1" applyFont="1" applyFill="1" applyBorder="1"/>
    <xf numFmtId="43" fontId="11" fillId="3" borderId="56" xfId="0" applyNumberFormat="1" applyFont="1" applyFill="1" applyBorder="1"/>
    <xf numFmtId="0" fontId="11" fillId="3" borderId="54" xfId="0" applyFont="1" applyFill="1" applyBorder="1" applyAlignment="1">
      <alignment vertical="center" shrinkToFit="1"/>
    </xf>
    <xf numFmtId="0" fontId="11" fillId="3" borderId="55" xfId="0" applyFont="1" applyFill="1" applyBorder="1" applyAlignment="1">
      <alignment vertical="center" shrinkToFit="1"/>
    </xf>
    <xf numFmtId="0" fontId="11" fillId="3" borderId="88" xfId="0" applyFont="1" applyFill="1" applyBorder="1" applyAlignment="1">
      <alignment vertical="center" shrinkToFit="1"/>
    </xf>
    <xf numFmtId="0" fontId="17" fillId="6" borderId="86" xfId="0" applyFont="1" applyFill="1" applyBorder="1" applyAlignment="1">
      <alignment vertical="center" shrinkToFit="1"/>
    </xf>
    <xf numFmtId="0" fontId="17" fillId="6" borderId="66" xfId="0" applyFont="1" applyFill="1" applyBorder="1" applyAlignment="1">
      <alignment vertical="center" shrinkToFit="1"/>
    </xf>
    <xf numFmtId="0" fontId="17" fillId="6" borderId="87" xfId="0" applyFont="1" applyFill="1" applyBorder="1" applyAlignment="1">
      <alignment vertical="center" shrinkToFit="1"/>
    </xf>
    <xf numFmtId="0" fontId="30" fillId="6" borderId="86" xfId="0" applyFont="1" applyFill="1" applyBorder="1" applyAlignment="1">
      <alignment horizontal="center" vertical="center"/>
    </xf>
    <xf numFmtId="0" fontId="30" fillId="6" borderId="66" xfId="0" applyFont="1" applyFill="1" applyBorder="1" applyAlignment="1">
      <alignment horizontal="center" vertical="center"/>
    </xf>
    <xf numFmtId="0" fontId="30" fillId="6" borderId="87" xfId="0" applyFont="1" applyFill="1" applyBorder="1" applyAlignment="1">
      <alignment horizontal="center" vertical="center"/>
    </xf>
    <xf numFmtId="0" fontId="17" fillId="0" borderId="5" xfId="0" applyFont="1" applyBorder="1" applyAlignment="1">
      <alignment horizontal="left" vertical="center"/>
    </xf>
    <xf numFmtId="0" fontId="17" fillId="0" borderId="6" xfId="0" applyFont="1" applyBorder="1" applyAlignment="1">
      <alignment horizontal="left" vertical="center"/>
    </xf>
    <xf numFmtId="0" fontId="17" fillId="0" borderId="7" xfId="0" applyFont="1" applyBorder="1" applyAlignment="1">
      <alignment horizontal="left" vertical="center"/>
    </xf>
    <xf numFmtId="0" fontId="17" fillId="0" borderId="89" xfId="0" applyFont="1" applyBorder="1" applyAlignment="1">
      <alignment horizontal="left" vertical="center"/>
    </xf>
    <xf numFmtId="0" fontId="17" fillId="0" borderId="78" xfId="0" applyFont="1" applyBorder="1" applyAlignment="1">
      <alignment horizontal="left" vertical="center"/>
    </xf>
    <xf numFmtId="0" fontId="17" fillId="0" borderId="79" xfId="0" applyFont="1" applyBorder="1" applyAlignment="1">
      <alignment horizontal="left" vertical="center"/>
    </xf>
    <xf numFmtId="0" fontId="36" fillId="9" borderId="11" xfId="0" quotePrefix="1" applyFont="1" applyFill="1" applyBorder="1" applyAlignment="1" applyProtection="1">
      <alignment horizontal="center" vertical="center"/>
      <protection locked="0"/>
    </xf>
    <xf numFmtId="0" fontId="36" fillId="9" borderId="79" xfId="0" quotePrefix="1" applyFont="1" applyFill="1" applyBorder="1" applyAlignment="1" applyProtection="1">
      <alignment horizontal="center" vertical="center"/>
      <protection locked="0"/>
    </xf>
    <xf numFmtId="43" fontId="11" fillId="0" borderId="3" xfId="1" applyFont="1" applyFill="1" applyBorder="1" applyAlignment="1">
      <alignment shrinkToFit="1"/>
    </xf>
    <xf numFmtId="43" fontId="11" fillId="0" borderId="4" xfId="1" applyFont="1" applyFill="1" applyBorder="1" applyAlignment="1">
      <alignment shrinkToFit="1"/>
    </xf>
    <xf numFmtId="0" fontId="32" fillId="2" borderId="9" xfId="0" applyFont="1" applyFill="1" applyBorder="1"/>
    <xf numFmtId="43" fontId="11" fillId="0" borderId="21" xfId="1" applyFont="1" applyBorder="1" applyAlignment="1"/>
    <xf numFmtId="43" fontId="11" fillId="0" borderId="22" xfId="1" applyFont="1" applyBorder="1" applyAlignment="1"/>
    <xf numFmtId="43" fontId="11" fillId="0" borderId="23" xfId="1" applyFont="1" applyBorder="1" applyAlignment="1"/>
    <xf numFmtId="0" fontId="30" fillId="0" borderId="14" xfId="0" applyFont="1" applyBorder="1" applyAlignment="1" applyProtection="1">
      <alignment horizontal="left" vertical="center"/>
      <protection locked="0"/>
    </xf>
    <xf numFmtId="0" fontId="30" fillId="0" borderId="0" xfId="0" applyFont="1" applyAlignment="1" applyProtection="1">
      <alignment horizontal="left" vertical="center"/>
      <protection locked="0"/>
    </xf>
    <xf numFmtId="0" fontId="30" fillId="0" borderId="11" xfId="0" applyFont="1" applyBorder="1" applyAlignment="1" applyProtection="1">
      <alignment horizontal="left" vertical="center"/>
      <protection locked="0"/>
    </xf>
    <xf numFmtId="0" fontId="17" fillId="0" borderId="14" xfId="0" applyFont="1" applyBorder="1" applyAlignment="1" applyProtection="1">
      <alignment horizontal="left" vertical="center"/>
      <protection locked="0"/>
    </xf>
    <xf numFmtId="0" fontId="17" fillId="0" borderId="0" xfId="0" applyFont="1" applyAlignment="1" applyProtection="1">
      <alignment horizontal="left" vertical="center"/>
      <protection locked="0"/>
    </xf>
    <xf numFmtId="0" fontId="17" fillId="0" borderId="11" xfId="0" applyFont="1" applyBorder="1" applyAlignment="1" applyProtection="1">
      <alignment horizontal="left" vertical="center"/>
      <protection locked="0"/>
    </xf>
    <xf numFmtId="0" fontId="30" fillId="0" borderId="5" xfId="0" applyFont="1" applyBorder="1" applyAlignment="1" applyProtection="1">
      <alignment horizontal="left" vertical="center"/>
      <protection locked="0"/>
    </xf>
    <xf numFmtId="0" fontId="30" fillId="0" borderId="6" xfId="0" applyFont="1" applyBorder="1" applyAlignment="1" applyProtection="1">
      <alignment horizontal="left" vertical="center"/>
      <protection locked="0"/>
    </xf>
    <xf numFmtId="0" fontId="30" fillId="0" borderId="7" xfId="0" applyFont="1" applyBorder="1" applyAlignment="1" applyProtection="1">
      <alignment horizontal="left" vertical="center"/>
      <protection locked="0"/>
    </xf>
    <xf numFmtId="0" fontId="30" fillId="0" borderId="8" xfId="0" applyFont="1" applyBorder="1" applyAlignment="1" applyProtection="1">
      <alignment horizontal="left" vertical="center"/>
      <protection locked="0"/>
    </xf>
    <xf numFmtId="0" fontId="30" fillId="0" borderId="9" xfId="0" applyFont="1" applyBorder="1" applyAlignment="1" applyProtection="1">
      <alignment horizontal="left" vertical="center"/>
      <protection locked="0"/>
    </xf>
    <xf numFmtId="0" fontId="30" fillId="0" borderId="10" xfId="0" applyFont="1" applyBorder="1" applyAlignment="1" applyProtection="1">
      <alignment horizontal="left" vertical="center"/>
      <protection locked="0"/>
    </xf>
    <xf numFmtId="0" fontId="4" fillId="2" borderId="8" xfId="0" applyFont="1" applyFill="1" applyBorder="1" applyAlignment="1">
      <alignment horizontal="center"/>
    </xf>
    <xf numFmtId="0" fontId="4" fillId="2" borderId="9" xfId="0" applyFont="1" applyFill="1" applyBorder="1" applyAlignment="1">
      <alignment horizontal="center"/>
    </xf>
    <xf numFmtId="0" fontId="4" fillId="2" borderId="93" xfId="0" applyFont="1" applyFill="1" applyBorder="1" applyAlignment="1">
      <alignment horizontal="center"/>
    </xf>
    <xf numFmtId="0" fontId="8" fillId="0" borderId="6" xfId="0" applyFont="1" applyBorder="1" applyAlignment="1">
      <alignment horizontal="right"/>
    </xf>
    <xf numFmtId="0" fontId="8" fillId="0" borderId="7" xfId="0" applyFont="1" applyBorder="1" applyAlignment="1">
      <alignment horizontal="right"/>
    </xf>
    <xf numFmtId="0" fontId="8" fillId="0" borderId="0" xfId="0" applyFont="1" applyAlignment="1">
      <alignment horizontal="right"/>
    </xf>
    <xf numFmtId="0" fontId="8" fillId="0" borderId="11" xfId="0" applyFont="1" applyBorder="1" applyAlignment="1">
      <alignment horizontal="right"/>
    </xf>
    <xf numFmtId="43" fontId="51" fillId="0" borderId="2" xfId="1" applyFont="1" applyBorder="1"/>
    <xf numFmtId="43" fontId="51" fillId="0" borderId="3" xfId="1" applyFont="1" applyBorder="1"/>
    <xf numFmtId="43" fontId="51" fillId="0" borderId="4" xfId="1" applyFont="1" applyBorder="1"/>
    <xf numFmtId="9" fontId="42" fillId="0" borderId="8" xfId="2" applyFont="1" applyBorder="1" applyAlignment="1">
      <alignment horizontal="center" vertical="center"/>
    </xf>
    <xf numFmtId="9" fontId="42" fillId="0" borderId="10" xfId="2" applyFont="1" applyBorder="1" applyAlignment="1">
      <alignment horizontal="center" vertical="center"/>
    </xf>
    <xf numFmtId="43" fontId="11" fillId="0" borderId="2" xfId="1" applyFont="1" applyFill="1" applyBorder="1"/>
    <xf numFmtId="43" fontId="11" fillId="0" borderId="3" xfId="1" applyFont="1" applyFill="1" applyBorder="1"/>
    <xf numFmtId="43" fontId="11" fillId="0" borderId="4" xfId="1" applyFont="1" applyFill="1" applyBorder="1"/>
    <xf numFmtId="0" fontId="17" fillId="3" borderId="6" xfId="0" applyFont="1" applyFill="1" applyBorder="1" applyAlignment="1">
      <alignment horizontal="left" vertical="center"/>
    </xf>
    <xf numFmtId="0" fontId="17" fillId="3" borderId="9" xfId="0" applyFont="1" applyFill="1" applyBorder="1" applyAlignment="1">
      <alignment horizontal="left" vertical="center"/>
    </xf>
    <xf numFmtId="0" fontId="22" fillId="3" borderId="6" xfId="0" applyFont="1" applyFill="1" applyBorder="1" applyAlignment="1">
      <alignment horizontal="center" vertical="center"/>
    </xf>
    <xf numFmtId="0" fontId="22" fillId="3" borderId="9" xfId="0" applyFont="1" applyFill="1" applyBorder="1" applyAlignment="1">
      <alignment horizontal="center" vertical="center"/>
    </xf>
    <xf numFmtId="43" fontId="17" fillId="3" borderId="5" xfId="1" applyFont="1" applyFill="1" applyBorder="1" applyAlignment="1">
      <alignment horizontal="center" vertical="center"/>
    </xf>
    <xf numFmtId="43" fontId="17" fillId="3" borderId="6" xfId="1" applyFont="1" applyFill="1" applyBorder="1" applyAlignment="1">
      <alignment horizontal="center" vertical="center"/>
    </xf>
    <xf numFmtId="43" fontId="17" fillId="3" borderId="7" xfId="1" applyFont="1" applyFill="1" applyBorder="1" applyAlignment="1">
      <alignment horizontal="center" vertical="center"/>
    </xf>
    <xf numFmtId="43" fontId="17" fillId="3" borderId="8" xfId="1" applyFont="1" applyFill="1" applyBorder="1" applyAlignment="1">
      <alignment horizontal="center" vertical="center"/>
    </xf>
    <xf numFmtId="43" fontId="17" fillId="3" borderId="9" xfId="1" applyFont="1" applyFill="1" applyBorder="1" applyAlignment="1">
      <alignment horizontal="center" vertical="center"/>
    </xf>
    <xf numFmtId="43" fontId="17" fillId="3" borderId="10" xfId="1" applyFont="1" applyFill="1" applyBorder="1" applyAlignment="1">
      <alignment horizontal="center" vertical="center"/>
    </xf>
    <xf numFmtId="0" fontId="11" fillId="0" borderId="14" xfId="0" applyFont="1" applyBorder="1"/>
    <xf numFmtId="43" fontId="11" fillId="0" borderId="8" xfId="1" applyFont="1" applyBorder="1"/>
    <xf numFmtId="43" fontId="11" fillId="0" borderId="10" xfId="1" applyFont="1" applyBorder="1"/>
    <xf numFmtId="43" fontId="11" fillId="0" borderId="2" xfId="1" applyFont="1" applyBorder="1"/>
    <xf numFmtId="43" fontId="11" fillId="0" borderId="4" xfId="1" applyFont="1" applyBorder="1"/>
    <xf numFmtId="0" fontId="11" fillId="0" borderId="2" xfId="0" applyFont="1" applyBorder="1" applyAlignment="1" applyProtection="1">
      <alignment horizontal="center"/>
      <protection locked="0"/>
    </xf>
    <xf numFmtId="0" fontId="11" fillId="0" borderId="4" xfId="0" applyFont="1" applyBorder="1" applyAlignment="1" applyProtection="1">
      <alignment horizontal="center"/>
      <protection locked="0"/>
    </xf>
    <xf numFmtId="0" fontId="17" fillId="3" borderId="18" xfId="0" applyFont="1" applyFill="1" applyBorder="1" applyAlignment="1">
      <alignment horizontal="center" vertical="center"/>
    </xf>
    <xf numFmtId="0" fontId="17" fillId="3" borderId="19" xfId="0" applyFont="1" applyFill="1" applyBorder="1" applyAlignment="1">
      <alignment horizontal="center" vertical="center"/>
    </xf>
    <xf numFmtId="1" fontId="42" fillId="0" borderId="8" xfId="2" applyNumberFormat="1" applyFont="1" applyBorder="1" applyAlignment="1">
      <alignment horizontal="center" vertical="center"/>
    </xf>
    <xf numFmtId="1" fontId="42" fillId="0" borderId="10" xfId="2" applyNumberFormat="1" applyFont="1" applyBorder="1" applyAlignment="1">
      <alignment horizontal="center" vertical="center"/>
    </xf>
    <xf numFmtId="2" fontId="11" fillId="0" borderId="3" xfId="1" applyNumberFormat="1" applyFont="1" applyFill="1" applyBorder="1" applyAlignment="1" applyProtection="1">
      <protection locked="0"/>
    </xf>
    <xf numFmtId="0" fontId="17" fillId="3" borderId="18" xfId="0" applyFont="1" applyFill="1" applyBorder="1" applyAlignment="1">
      <alignment horizontal="center" vertical="center" wrapText="1"/>
    </xf>
    <xf numFmtId="43" fontId="22" fillId="3" borderId="6" xfId="1" applyFont="1" applyFill="1" applyBorder="1" applyAlignment="1">
      <alignment horizontal="center" vertical="center"/>
    </xf>
    <xf numFmtId="43" fontId="22" fillId="3" borderId="7" xfId="1" applyFont="1" applyFill="1" applyBorder="1" applyAlignment="1">
      <alignment horizontal="center" vertical="center"/>
    </xf>
    <xf numFmtId="43" fontId="22" fillId="3" borderId="9" xfId="1" applyFont="1" applyFill="1" applyBorder="1" applyAlignment="1">
      <alignment horizontal="center" vertical="center"/>
    </xf>
    <xf numFmtId="43" fontId="22" fillId="3" borderId="10" xfId="1" applyFont="1" applyFill="1" applyBorder="1" applyAlignment="1">
      <alignment horizontal="center" vertical="center"/>
    </xf>
    <xf numFmtId="2" fontId="22" fillId="3" borderId="6" xfId="1" applyNumberFormat="1" applyFont="1" applyFill="1" applyBorder="1" applyAlignment="1">
      <alignment horizontal="center" vertical="center"/>
    </xf>
    <xf numFmtId="2" fontId="22" fillId="3" borderId="9" xfId="1" applyNumberFormat="1" applyFont="1" applyFill="1" applyBorder="1" applyAlignment="1">
      <alignment horizontal="center" vertical="center"/>
    </xf>
    <xf numFmtId="0" fontId="17" fillId="3" borderId="19" xfId="0" applyFont="1" applyFill="1" applyBorder="1" applyAlignment="1">
      <alignment horizontal="center" vertical="center" wrapText="1"/>
    </xf>
    <xf numFmtId="43" fontId="42" fillId="0" borderId="1" xfId="0" applyNumberFormat="1" applyFont="1" applyBorder="1" applyAlignment="1" applyProtection="1">
      <alignment horizontal="center" vertical="center" shrinkToFit="1"/>
      <protection locked="0"/>
    </xf>
    <xf numFmtId="0" fontId="42" fillId="0" borderId="1" xfId="0" applyFont="1" applyBorder="1" applyAlignment="1" applyProtection="1">
      <alignment horizontal="center" vertical="center" shrinkToFit="1"/>
      <protection locked="0"/>
    </xf>
    <xf numFmtId="1" fontId="11" fillId="0" borderId="2" xfId="0" applyNumberFormat="1" applyFont="1" applyBorder="1" applyAlignment="1">
      <alignment horizontal="right"/>
    </xf>
    <xf numFmtId="1" fontId="11" fillId="0" borderId="3" xfId="0" applyNumberFormat="1" applyFont="1" applyBorder="1" applyAlignment="1">
      <alignment horizontal="right"/>
    </xf>
    <xf numFmtId="0" fontId="11" fillId="0" borderId="3" xfId="0" applyFont="1" applyBorder="1" applyProtection="1">
      <protection locked="0"/>
    </xf>
    <xf numFmtId="0" fontId="28" fillId="0" borderId="3" xfId="0" applyFont="1" applyBorder="1" applyProtection="1">
      <protection locked="0"/>
    </xf>
    <xf numFmtId="0" fontId="11" fillId="0" borderId="2" xfId="0" applyFont="1" applyBorder="1" applyAlignment="1">
      <alignment horizontal="right"/>
    </xf>
    <xf numFmtId="0" fontId="11" fillId="0" borderId="3" xfId="0" applyFont="1" applyBorder="1" applyAlignment="1">
      <alignment horizontal="right"/>
    </xf>
    <xf numFmtId="0" fontId="17" fillId="3" borderId="6" xfId="0" applyFont="1" applyFill="1" applyBorder="1" applyAlignment="1">
      <alignment vertical="center"/>
    </xf>
    <xf numFmtId="0" fontId="17" fillId="3" borderId="9" xfId="0" applyFont="1" applyFill="1" applyBorder="1" applyAlignment="1">
      <alignment vertical="center"/>
    </xf>
    <xf numFmtId="0" fontId="23" fillId="2" borderId="9" xfId="0" applyFont="1" applyFill="1" applyBorder="1" applyAlignment="1">
      <alignment horizontal="center"/>
    </xf>
    <xf numFmtId="0" fontId="23" fillId="2" borderId="10" xfId="0" applyFont="1" applyFill="1" applyBorder="1" applyAlignment="1">
      <alignment horizontal="center"/>
    </xf>
    <xf numFmtId="0" fontId="11" fillId="4" borderId="2" xfId="0" applyFont="1" applyFill="1" applyBorder="1"/>
    <xf numFmtId="0" fontId="11" fillId="4" borderId="3" xfId="0" applyFont="1" applyFill="1" applyBorder="1"/>
    <xf numFmtId="0" fontId="11" fillId="0" borderId="8" xfId="0" applyFont="1" applyBorder="1" applyAlignment="1" applyProtection="1">
      <alignment horizontal="center"/>
      <protection locked="0"/>
    </xf>
    <xf numFmtId="0" fontId="11" fillId="0" borderId="10" xfId="0" applyFont="1" applyBorder="1" applyAlignment="1" applyProtection="1">
      <alignment horizontal="center"/>
      <protection locked="0"/>
    </xf>
    <xf numFmtId="9" fontId="42" fillId="0" borderId="1" xfId="0" applyNumberFormat="1" applyFont="1" applyBorder="1" applyAlignment="1" applyProtection="1">
      <alignment horizontal="center" vertical="center"/>
      <protection locked="0"/>
    </xf>
    <xf numFmtId="0" fontId="42" fillId="0" borderId="1" xfId="0" applyFont="1" applyBorder="1" applyAlignment="1" applyProtection="1">
      <alignment horizontal="center" vertical="center"/>
      <protection locked="0"/>
    </xf>
    <xf numFmtId="43" fontId="51" fillId="0" borderId="2" xfId="1" applyFont="1" applyFill="1" applyBorder="1"/>
    <xf numFmtId="43" fontId="51" fillId="0" borderId="3" xfId="1" applyFont="1" applyFill="1" applyBorder="1"/>
    <xf numFmtId="43" fontId="51" fillId="0" borderId="4" xfId="1" applyFont="1" applyFill="1" applyBorder="1"/>
    <xf numFmtId="43" fontId="51" fillId="0" borderId="2" xfId="1" applyFont="1" applyBorder="1" applyAlignment="1"/>
    <xf numFmtId="43" fontId="51" fillId="0" borderId="3" xfId="1" applyFont="1" applyBorder="1" applyAlignment="1"/>
    <xf numFmtId="43" fontId="51" fillId="0" borderId="4" xfId="1" applyFont="1" applyBorder="1" applyAlignment="1"/>
    <xf numFmtId="43" fontId="51" fillId="4" borderId="2" xfId="1" applyFont="1" applyFill="1" applyBorder="1"/>
    <xf numFmtId="43" fontId="51" fillId="4" borderId="3" xfId="1" applyFont="1" applyFill="1" applyBorder="1"/>
    <xf numFmtId="43" fontId="51" fillId="4" borderId="4" xfId="1" applyFont="1" applyFill="1" applyBorder="1"/>
    <xf numFmtId="43" fontId="22" fillId="3" borderId="2" xfId="1" applyFont="1" applyFill="1" applyBorder="1" applyAlignment="1">
      <alignment horizontal="center" vertical="center"/>
    </xf>
    <xf numFmtId="43" fontId="22" fillId="3" borderId="3" xfId="1" applyFont="1" applyFill="1" applyBorder="1" applyAlignment="1">
      <alignment horizontal="center" vertical="center"/>
    </xf>
    <xf numFmtId="43" fontId="22" fillId="3" borderId="4" xfId="1" applyFont="1" applyFill="1" applyBorder="1" applyAlignment="1">
      <alignment horizontal="center" vertical="center"/>
    </xf>
    <xf numFmtId="0" fontId="22" fillId="3" borderId="3" xfId="0" applyFont="1" applyFill="1" applyBorder="1" applyAlignment="1">
      <alignment horizontal="center" vertical="center"/>
    </xf>
    <xf numFmtId="2" fontId="22" fillId="3" borderId="3" xfId="1" applyNumberFormat="1" applyFont="1" applyFill="1" applyBorder="1" applyAlignment="1">
      <alignment horizontal="center" vertical="center" shrinkToFit="1"/>
    </xf>
    <xf numFmtId="2" fontId="11" fillId="0" borderId="3" xfId="1" applyNumberFormat="1" applyFont="1" applyFill="1" applyBorder="1" applyAlignment="1" applyProtection="1">
      <alignment shrinkToFit="1"/>
      <protection locked="0"/>
    </xf>
    <xf numFmtId="43" fontId="11" fillId="0" borderId="3" xfId="1" applyFont="1" applyFill="1" applyBorder="1" applyAlignment="1"/>
    <xf numFmtId="43" fontId="11" fillId="0" borderId="4" xfId="1" applyFont="1" applyFill="1" applyBorder="1" applyAlignment="1"/>
    <xf numFmtId="2" fontId="28" fillId="0" borderId="3" xfId="1" applyNumberFormat="1" applyFont="1" applyFill="1" applyBorder="1" applyAlignment="1" applyProtection="1">
      <alignment shrinkToFit="1"/>
      <protection locked="0"/>
    </xf>
    <xf numFmtId="43" fontId="51" fillId="4" borderId="2" xfId="1" applyFont="1" applyFill="1" applyBorder="1" applyAlignment="1"/>
    <xf numFmtId="43" fontId="51" fillId="4" borderId="3" xfId="1" applyFont="1" applyFill="1" applyBorder="1" applyAlignment="1"/>
    <xf numFmtId="43" fontId="51" fillId="4" borderId="4" xfId="1" applyFont="1" applyFill="1" applyBorder="1" applyAlignment="1"/>
    <xf numFmtId="43" fontId="11" fillId="0" borderId="3" xfId="1" applyFont="1" applyFill="1" applyBorder="1" applyAlignment="1" applyProtection="1">
      <alignment shrinkToFit="1"/>
      <protection locked="0"/>
    </xf>
    <xf numFmtId="43" fontId="17" fillId="3" borderId="2" xfId="1" applyFont="1" applyFill="1" applyBorder="1" applyAlignment="1">
      <alignment horizontal="center" vertical="center"/>
    </xf>
    <xf numFmtId="43" fontId="17" fillId="3" borderId="3" xfId="1" applyFont="1" applyFill="1" applyBorder="1" applyAlignment="1">
      <alignment horizontal="center" vertical="center"/>
    </xf>
    <xf numFmtId="43" fontId="17" fillId="3" borderId="4" xfId="1" applyFont="1" applyFill="1" applyBorder="1" applyAlignment="1">
      <alignment horizontal="center" vertical="center"/>
    </xf>
    <xf numFmtId="0" fontId="58" fillId="11" borderId="94" xfId="0" applyFont="1" applyFill="1" applyBorder="1" applyAlignment="1">
      <alignment horizontal="center"/>
    </xf>
    <xf numFmtId="0" fontId="58" fillId="11" borderId="95" xfId="0" applyFont="1" applyFill="1" applyBorder="1" applyAlignment="1">
      <alignment horizontal="center"/>
    </xf>
    <xf numFmtId="0" fontId="58" fillId="11" borderId="96" xfId="0" applyFont="1" applyFill="1" applyBorder="1" applyAlignment="1">
      <alignment horizontal="center"/>
    </xf>
    <xf numFmtId="0" fontId="59" fillId="12" borderId="97" xfId="0" applyFont="1" applyFill="1" applyBorder="1" applyAlignment="1">
      <alignment horizontal="center" vertical="center"/>
    </xf>
    <xf numFmtId="0" fontId="59" fillId="12" borderId="98" xfId="0" applyFont="1" applyFill="1" applyBorder="1" applyAlignment="1">
      <alignment horizontal="center" vertical="center"/>
    </xf>
    <xf numFmtId="0" fontId="59" fillId="12" borderId="100" xfId="0" applyFont="1" applyFill="1" applyBorder="1" applyAlignment="1">
      <alignment horizontal="center" vertical="center"/>
    </xf>
    <xf numFmtId="0" fontId="59" fillId="12" borderId="101" xfId="0" applyFont="1" applyFill="1" applyBorder="1" applyAlignment="1">
      <alignment horizontal="center" vertical="center"/>
    </xf>
    <xf numFmtId="43" fontId="17" fillId="3" borderId="2" xfId="1" applyFont="1" applyFill="1" applyBorder="1" applyAlignment="1">
      <alignment horizontal="center"/>
    </xf>
    <xf numFmtId="43" fontId="17" fillId="3" borderId="3" xfId="1" applyFont="1" applyFill="1" applyBorder="1" applyAlignment="1">
      <alignment horizontal="center"/>
    </xf>
    <xf numFmtId="43" fontId="17" fillId="3" borderId="4" xfId="1" applyFont="1" applyFill="1" applyBorder="1" applyAlignment="1">
      <alignment horizontal="center"/>
    </xf>
    <xf numFmtId="0" fontId="59" fillId="12" borderId="97" xfId="0" applyFont="1" applyFill="1" applyBorder="1" applyAlignment="1">
      <alignment horizontal="center" vertical="center" wrapText="1"/>
    </xf>
    <xf numFmtId="0" fontId="59" fillId="12" borderId="98" xfId="0" applyFont="1" applyFill="1" applyBorder="1" applyAlignment="1">
      <alignment horizontal="center" vertical="center" wrapText="1"/>
    </xf>
    <xf numFmtId="0" fontId="11" fillId="0" borderId="5" xfId="0" applyFont="1" applyBorder="1"/>
    <xf numFmtId="0" fontId="11" fillId="0" borderId="6" xfId="0" applyFont="1" applyBorder="1"/>
    <xf numFmtId="0" fontId="59" fillId="12" borderId="100" xfId="0" applyFont="1" applyFill="1" applyBorder="1" applyAlignment="1">
      <alignment horizontal="center" vertical="center" wrapText="1"/>
    </xf>
    <xf numFmtId="0" fontId="59" fillId="12" borderId="101" xfId="0" applyFont="1" applyFill="1" applyBorder="1" applyAlignment="1">
      <alignment horizontal="center" vertical="center" wrapText="1"/>
    </xf>
    <xf numFmtId="9" fontId="42" fillId="0" borderId="2" xfId="2" applyFont="1" applyFill="1" applyBorder="1" applyAlignment="1" applyProtection="1">
      <alignment horizontal="center" vertical="center"/>
      <protection locked="0"/>
    </xf>
    <xf numFmtId="9" fontId="42" fillId="0" borderId="4" xfId="2" applyFont="1" applyFill="1" applyBorder="1" applyAlignment="1" applyProtection="1">
      <alignment horizontal="center" vertical="center"/>
      <protection locked="0"/>
    </xf>
    <xf numFmtId="0" fontId="11" fillId="0" borderId="2" xfId="0" applyFont="1" applyBorder="1"/>
    <xf numFmtId="164" fontId="22" fillId="3" borderId="6" xfId="0" applyNumberFormat="1" applyFont="1" applyFill="1" applyBorder="1" applyAlignment="1">
      <alignment horizontal="center" vertical="center" shrinkToFit="1"/>
    </xf>
    <xf numFmtId="0" fontId="48" fillId="0" borderId="3" xfId="0" applyFont="1" applyBorder="1" applyAlignment="1" applyProtection="1">
      <alignment horizontal="left"/>
      <protection locked="0"/>
    </xf>
    <xf numFmtId="0" fontId="28" fillId="0" borderId="3" xfId="0" applyFont="1" applyBorder="1" applyAlignment="1" applyProtection="1">
      <alignment horizontal="left"/>
      <protection locked="0"/>
    </xf>
    <xf numFmtId="43" fontId="2" fillId="0" borderId="0" xfId="1" applyFont="1" applyBorder="1"/>
    <xf numFmtId="43" fontId="2" fillId="0" borderId="6" xfId="1" applyFont="1" applyBorder="1"/>
    <xf numFmtId="0" fontId="52" fillId="0" borderId="0" xfId="0" applyFont="1"/>
    <xf numFmtId="0" fontId="30" fillId="0" borderId="0" xfId="0" applyFont="1"/>
    <xf numFmtId="0" fontId="7" fillId="0" borderId="0" xfId="0" applyFont="1"/>
    <xf numFmtId="0" fontId="51" fillId="0" borderId="0" xfId="0" applyFont="1"/>
    <xf numFmtId="0" fontId="17" fillId="3" borderId="3" xfId="0" applyFont="1" applyFill="1" applyBorder="1" applyAlignment="1">
      <alignment horizontal="center"/>
    </xf>
    <xf numFmtId="2" fontId="22" fillId="3" borderId="3" xfId="1" applyNumberFormat="1" applyFont="1" applyFill="1" applyBorder="1" applyAlignment="1">
      <alignment horizontal="center"/>
    </xf>
    <xf numFmtId="0" fontId="22" fillId="3" borderId="3" xfId="1" applyNumberFormat="1" applyFont="1" applyFill="1" applyBorder="1" applyAlignment="1">
      <alignment horizontal="center" vertical="center"/>
    </xf>
    <xf numFmtId="0" fontId="22" fillId="3" borderId="4" xfId="1" applyNumberFormat="1" applyFont="1" applyFill="1" applyBorder="1" applyAlignment="1">
      <alignment horizontal="center" vertical="center"/>
    </xf>
    <xf numFmtId="43" fontId="53" fillId="2" borderId="8" xfId="1" applyFont="1" applyFill="1" applyBorder="1"/>
    <xf numFmtId="43" fontId="53" fillId="2" borderId="9" xfId="1" applyFont="1" applyFill="1" applyBorder="1"/>
    <xf numFmtId="0" fontId="23" fillId="2" borderId="3" xfId="0" applyFont="1" applyFill="1" applyBorder="1" applyAlignment="1">
      <alignment horizontal="center" shrinkToFit="1"/>
    </xf>
    <xf numFmtId="0" fontId="23" fillId="2" borderId="9" xfId="0" applyFont="1" applyFill="1" applyBorder="1" applyAlignment="1">
      <alignment horizontal="center" shrinkToFit="1"/>
    </xf>
    <xf numFmtId="43" fontId="53" fillId="2" borderId="2" xfId="1" applyFont="1" applyFill="1" applyBorder="1"/>
    <xf numFmtId="43" fontId="53" fillId="2" borderId="3" xfId="1" applyFont="1" applyFill="1" applyBorder="1"/>
    <xf numFmtId="0" fontId="20" fillId="0" borderId="0" xfId="0" applyFont="1" applyAlignment="1">
      <alignment horizontal="right"/>
    </xf>
    <xf numFmtId="0" fontId="20" fillId="0" borderId="11" xfId="0" applyFont="1" applyBorder="1" applyAlignment="1">
      <alignment horizontal="right"/>
    </xf>
    <xf numFmtId="0" fontId="20" fillId="0" borderId="6" xfId="0" applyFont="1" applyBorder="1" applyAlignment="1">
      <alignment horizontal="right"/>
    </xf>
    <xf numFmtId="0" fontId="20" fillId="0" borderId="7" xfId="0" applyFont="1" applyBorder="1" applyAlignment="1">
      <alignment horizontal="right"/>
    </xf>
    <xf numFmtId="43" fontId="17" fillId="3" borderId="14" xfId="1" applyFont="1" applyFill="1" applyBorder="1" applyAlignment="1">
      <alignment horizontal="center" vertical="center"/>
    </xf>
    <xf numFmtId="43" fontId="17" fillId="3" borderId="0" xfId="1" applyFont="1" applyFill="1" applyBorder="1" applyAlignment="1">
      <alignment horizontal="center" vertical="center"/>
    </xf>
    <xf numFmtId="43" fontId="17" fillId="3" borderId="11" xfId="1" applyFont="1" applyFill="1" applyBorder="1" applyAlignment="1">
      <alignment horizontal="center" vertical="center"/>
    </xf>
    <xf numFmtId="43" fontId="56" fillId="0" borderId="2" xfId="1" applyFont="1" applyBorder="1" applyAlignment="1">
      <alignment horizontal="center"/>
    </xf>
    <xf numFmtId="43" fontId="56" fillId="0" borderId="3" xfId="1" applyFont="1" applyBorder="1" applyAlignment="1">
      <alignment horizontal="center"/>
    </xf>
    <xf numFmtId="43" fontId="56" fillId="0" borderId="4" xfId="1" applyFont="1" applyBorder="1" applyAlignment="1">
      <alignment horizontal="center"/>
    </xf>
    <xf numFmtId="0" fontId="23" fillId="2" borderId="0" xfId="0" applyFont="1" applyFill="1" applyAlignment="1">
      <alignment horizontal="center"/>
    </xf>
    <xf numFmtId="0" fontId="23" fillId="2" borderId="11" xfId="0" applyFont="1" applyFill="1" applyBorder="1" applyAlignment="1">
      <alignment horizontal="center"/>
    </xf>
    <xf numFmtId="2" fontId="11" fillId="0" borderId="3" xfId="0" applyNumberFormat="1" applyFont="1" applyBorder="1" applyProtection="1">
      <protection locked="0"/>
    </xf>
    <xf numFmtId="2" fontId="22" fillId="3" borderId="6" xfId="0" applyNumberFormat="1" applyFont="1" applyFill="1" applyBorder="1" applyAlignment="1">
      <alignment horizontal="center" vertical="center"/>
    </xf>
    <xf numFmtId="2" fontId="22" fillId="3" borderId="9" xfId="0" applyNumberFormat="1" applyFont="1" applyFill="1" applyBorder="1" applyAlignment="1">
      <alignment horizontal="center" vertical="center"/>
    </xf>
    <xf numFmtId="0" fontId="22" fillId="3" borderId="6" xfId="0" applyFont="1" applyFill="1" applyBorder="1" applyAlignment="1">
      <alignment horizontal="left" vertical="center"/>
    </xf>
    <xf numFmtId="0" fontId="22" fillId="3" borderId="9" xfId="0" applyFont="1" applyFill="1" applyBorder="1" applyAlignment="1">
      <alignment horizontal="left" vertical="center"/>
    </xf>
    <xf numFmtId="43" fontId="22" fillId="3" borderId="0" xfId="1" applyFont="1" applyFill="1" applyBorder="1" applyAlignment="1">
      <alignment horizontal="center" vertical="center"/>
    </xf>
    <xf numFmtId="43" fontId="22" fillId="3" borderId="11" xfId="1" applyFont="1" applyFill="1" applyBorder="1" applyAlignment="1">
      <alignment horizontal="center" vertical="center"/>
    </xf>
    <xf numFmtId="0" fontId="22" fillId="3" borderId="6" xfId="0" applyFont="1" applyFill="1" applyBorder="1" applyAlignment="1">
      <alignment horizontal="center" vertical="center" shrinkToFit="1"/>
    </xf>
    <xf numFmtId="0" fontId="22" fillId="3" borderId="9" xfId="0" applyFont="1" applyFill="1" applyBorder="1" applyAlignment="1">
      <alignment horizontal="center" vertical="center" shrinkToFit="1"/>
    </xf>
    <xf numFmtId="2" fontId="50" fillId="0" borderId="13" xfId="0" applyNumberFormat="1" applyFont="1" applyBorder="1"/>
    <xf numFmtId="9" fontId="11" fillId="0" borderId="3" xfId="2" applyFont="1" applyFill="1" applyBorder="1" applyProtection="1">
      <protection locked="0"/>
    </xf>
    <xf numFmtId="0" fontId="17" fillId="3" borderId="29" xfId="0" applyFont="1" applyFill="1" applyBorder="1" applyAlignment="1">
      <alignment horizontal="center"/>
    </xf>
    <xf numFmtId="9" fontId="11" fillId="3" borderId="1" xfId="2" applyFont="1" applyFill="1" applyBorder="1" applyAlignment="1" applyProtection="1">
      <alignment horizontal="center"/>
      <protection locked="0"/>
    </xf>
    <xf numFmtId="1" fontId="11" fillId="3" borderId="1" xfId="2" applyNumberFormat="1" applyFont="1" applyFill="1" applyBorder="1" applyAlignment="1" applyProtection="1">
      <alignment horizontal="center"/>
      <protection locked="0"/>
    </xf>
    <xf numFmtId="43" fontId="51" fillId="0" borderId="14" xfId="1" applyFont="1" applyBorder="1"/>
    <xf numFmtId="43" fontId="51" fillId="0" borderId="0" xfId="1" applyFont="1" applyBorder="1"/>
    <xf numFmtId="43" fontId="51" fillId="0" borderId="11" xfId="1" applyFont="1" applyBorder="1"/>
    <xf numFmtId="43" fontId="51" fillId="0" borderId="5" xfId="1" applyFont="1" applyFill="1" applyBorder="1"/>
    <xf numFmtId="43" fontId="51" fillId="0" borderId="6" xfId="1" applyFont="1" applyFill="1" applyBorder="1"/>
    <xf numFmtId="43" fontId="51" fillId="0" borderId="7" xfId="1" applyFont="1" applyFill="1" applyBorder="1"/>
    <xf numFmtId="0" fontId="53" fillId="2" borderId="3" xfId="0" applyFont="1" applyFill="1" applyBorder="1" applyAlignment="1">
      <alignment horizontal="center"/>
    </xf>
    <xf numFmtId="0" fontId="53" fillId="2" borderId="4" xfId="0" applyFont="1" applyFill="1" applyBorder="1" applyAlignment="1">
      <alignment horizontal="center"/>
    </xf>
    <xf numFmtId="0" fontId="32" fillId="2" borderId="14" xfId="0" applyFont="1" applyFill="1" applyBorder="1" applyAlignment="1">
      <alignment horizontal="center" vertical="center"/>
    </xf>
    <xf numFmtId="0" fontId="32" fillId="2" borderId="0" xfId="0" applyFont="1" applyFill="1" applyAlignment="1">
      <alignment horizontal="center" vertical="center"/>
    </xf>
    <xf numFmtId="0" fontId="42" fillId="3" borderId="2" xfId="0" applyFont="1" applyFill="1" applyBorder="1" applyAlignment="1">
      <alignment horizontal="center" vertical="center" wrapText="1"/>
    </xf>
    <xf numFmtId="0" fontId="42" fillId="3" borderId="3" xfId="0" applyFont="1" applyFill="1" applyBorder="1" applyAlignment="1">
      <alignment horizontal="center" vertical="center" wrapText="1"/>
    </xf>
    <xf numFmtId="0" fontId="42" fillId="3" borderId="4" xfId="0" applyFont="1" applyFill="1" applyBorder="1" applyAlignment="1">
      <alignment horizontal="center" vertical="center" wrapText="1"/>
    </xf>
    <xf numFmtId="9" fontId="42" fillId="4" borderId="2" xfId="2" applyFont="1" applyFill="1" applyBorder="1" applyAlignment="1">
      <alignment horizontal="center" vertical="center" wrapText="1"/>
    </xf>
    <xf numFmtId="9" fontId="42" fillId="4" borderId="3" xfId="2" applyFont="1" applyFill="1" applyBorder="1" applyAlignment="1">
      <alignment horizontal="center" vertical="center" wrapText="1"/>
    </xf>
    <xf numFmtId="9" fontId="42" fillId="4" borderId="4" xfId="2" applyFont="1" applyFill="1" applyBorder="1" applyAlignment="1">
      <alignment horizontal="center" vertical="center" wrapText="1"/>
    </xf>
    <xf numFmtId="0" fontId="44" fillId="2" borderId="14" xfId="0" applyFont="1" applyFill="1" applyBorder="1" applyAlignment="1">
      <alignment horizontal="center" vertical="center"/>
    </xf>
    <xf numFmtId="0" fontId="44" fillId="2" borderId="0" xfId="0" applyFont="1" applyFill="1" applyAlignment="1">
      <alignment horizontal="center" vertical="center"/>
    </xf>
    <xf numFmtId="9" fontId="8" fillId="0" borderId="2" xfId="2" applyFont="1" applyFill="1" applyBorder="1" applyAlignment="1">
      <alignment horizontal="center" vertical="center" wrapText="1"/>
    </xf>
    <xf numFmtId="9" fontId="8" fillId="0" borderId="3" xfId="2" applyFont="1" applyFill="1" applyBorder="1" applyAlignment="1">
      <alignment horizontal="center" vertical="center" wrapText="1"/>
    </xf>
    <xf numFmtId="9" fontId="8" fillId="0" borderId="4" xfId="2" applyFont="1" applyFill="1" applyBorder="1" applyAlignment="1">
      <alignment horizontal="center" vertical="center" wrapText="1"/>
    </xf>
    <xf numFmtId="0" fontId="8" fillId="0" borderId="46" xfId="0" applyFont="1" applyBorder="1" applyAlignment="1">
      <alignment horizontal="right" vertical="center"/>
    </xf>
    <xf numFmtId="0" fontId="8" fillId="0" borderId="49" xfId="0" applyFont="1" applyBorder="1" applyAlignment="1">
      <alignment horizontal="right" vertical="center"/>
    </xf>
    <xf numFmtId="0" fontId="8" fillId="0" borderId="0" xfId="0" applyFont="1" applyAlignment="1">
      <alignment horizontal="right" vertical="center"/>
    </xf>
    <xf numFmtId="0" fontId="8" fillId="0" borderId="33" xfId="0" applyFont="1" applyBorder="1" applyAlignment="1">
      <alignment horizontal="right" vertical="center"/>
    </xf>
    <xf numFmtId="0" fontId="11" fillId="0" borderId="32" xfId="0" applyFont="1" applyBorder="1"/>
    <xf numFmtId="0" fontId="11" fillId="0" borderId="30" xfId="0" applyFont="1" applyBorder="1"/>
    <xf numFmtId="0" fontId="11" fillId="0" borderId="3" xfId="0" applyFont="1" applyBorder="1" applyAlignment="1" applyProtection="1">
      <alignment horizontal="left" vertical="center"/>
      <protection locked="0"/>
    </xf>
    <xf numFmtId="0" fontId="11" fillId="0" borderId="30" xfId="0" applyFont="1" applyBorder="1" applyAlignment="1" applyProtection="1">
      <alignment horizontal="center"/>
      <protection locked="0"/>
    </xf>
    <xf numFmtId="43" fontId="11" fillId="0" borderId="15" xfId="1" applyFont="1" applyFill="1" applyBorder="1" applyAlignment="1">
      <alignment horizontal="center"/>
    </xf>
    <xf numFmtId="43" fontId="11" fillId="0" borderId="16" xfId="1" applyFont="1" applyFill="1" applyBorder="1" applyAlignment="1">
      <alignment horizontal="center"/>
    </xf>
    <xf numFmtId="43" fontId="11" fillId="0" borderId="17" xfId="1" applyFont="1" applyFill="1" applyBorder="1" applyAlignment="1">
      <alignment horizontal="center"/>
    </xf>
    <xf numFmtId="43" fontId="51" fillId="0" borderId="8" xfId="1" applyFont="1" applyBorder="1"/>
    <xf numFmtId="43" fontId="51" fillId="0" borderId="9" xfId="1" applyFont="1" applyBorder="1"/>
    <xf numFmtId="43" fontId="51" fillId="0" borderId="10" xfId="1" applyFont="1" applyBorder="1"/>
    <xf numFmtId="43" fontId="51" fillId="0" borderId="15" xfId="1" applyFont="1" applyFill="1" applyBorder="1" applyAlignment="1">
      <alignment horizontal="center"/>
    </xf>
    <xf numFmtId="43" fontId="51" fillId="0" borderId="16" xfId="1" applyFont="1" applyFill="1" applyBorder="1" applyAlignment="1">
      <alignment horizontal="center"/>
    </xf>
    <xf numFmtId="43" fontId="51" fillId="0" borderId="17" xfId="1" applyFont="1" applyFill="1" applyBorder="1" applyAlignment="1">
      <alignment horizontal="center"/>
    </xf>
    <xf numFmtId="43" fontId="51" fillId="0" borderId="40" xfId="1" applyFont="1" applyBorder="1"/>
    <xf numFmtId="43" fontId="51" fillId="0" borderId="39" xfId="1" applyFont="1" applyBorder="1"/>
    <xf numFmtId="43" fontId="51" fillId="0" borderId="41" xfId="1" applyFont="1" applyBorder="1"/>
    <xf numFmtId="0" fontId="23" fillId="2" borderId="16" xfId="0" applyFont="1" applyFill="1" applyBorder="1" applyAlignment="1">
      <alignment horizontal="center" vertical="center"/>
    </xf>
    <xf numFmtId="0" fontId="4" fillId="2" borderId="16" xfId="0" applyFont="1" applyFill="1" applyBorder="1" applyAlignment="1">
      <alignment horizontal="center" vertical="center"/>
    </xf>
    <xf numFmtId="0" fontId="4" fillId="2" borderId="17" xfId="0" applyFont="1" applyFill="1" applyBorder="1" applyAlignment="1">
      <alignment horizontal="center" vertical="center"/>
    </xf>
    <xf numFmtId="0" fontId="4" fillId="2" borderId="15" xfId="0" applyFont="1" applyFill="1" applyBorder="1" applyAlignment="1">
      <alignment horizontal="center" vertical="center"/>
    </xf>
    <xf numFmtId="43" fontId="22" fillId="3" borderId="15" xfId="1" applyFont="1" applyFill="1" applyBorder="1" applyAlignment="1">
      <alignment horizontal="center" vertical="center"/>
    </xf>
    <xf numFmtId="43" fontId="22" fillId="3" borderId="16" xfId="1" applyFont="1" applyFill="1" applyBorder="1" applyAlignment="1">
      <alignment horizontal="center" vertical="center"/>
    </xf>
    <xf numFmtId="43" fontId="22" fillId="3" borderId="17" xfId="1" applyFont="1" applyFill="1" applyBorder="1" applyAlignment="1">
      <alignment horizontal="center" vertical="center"/>
    </xf>
    <xf numFmtId="0" fontId="11" fillId="0" borderId="16" xfId="0" applyFont="1" applyBorder="1" applyAlignment="1" applyProtection="1">
      <alignment horizontal="left" vertical="center"/>
      <protection locked="0"/>
    </xf>
    <xf numFmtId="0" fontId="11" fillId="0" borderId="16" xfId="0" applyFont="1" applyBorder="1" applyAlignment="1" applyProtection="1">
      <alignment horizontal="center"/>
      <protection locked="0"/>
    </xf>
    <xf numFmtId="0" fontId="11" fillId="0" borderId="30" xfId="0" applyFont="1" applyBorder="1" applyAlignment="1" applyProtection="1">
      <alignment horizontal="left" vertical="center"/>
      <protection locked="0"/>
    </xf>
    <xf numFmtId="0" fontId="8" fillId="4" borderId="54" xfId="0" applyFont="1" applyFill="1" applyBorder="1" applyAlignment="1">
      <alignment horizontal="left" vertical="center"/>
    </xf>
    <xf numFmtId="0" fontId="8" fillId="4" borderId="55" xfId="0" applyFont="1" applyFill="1" applyBorder="1" applyAlignment="1">
      <alignment horizontal="left" vertical="center"/>
    </xf>
    <xf numFmtId="0" fontId="8" fillId="4" borderId="56" xfId="0" applyFont="1" applyFill="1" applyBorder="1" applyAlignment="1">
      <alignment horizontal="left" vertical="center"/>
    </xf>
    <xf numFmtId="9" fontId="8" fillId="0" borderId="54" xfId="2" applyFont="1" applyFill="1" applyBorder="1" applyAlignment="1">
      <alignment horizontal="center" vertical="center" wrapText="1"/>
    </xf>
    <xf numFmtId="9" fontId="8" fillId="0" borderId="56" xfId="2" applyFont="1" applyFill="1" applyBorder="1" applyAlignment="1">
      <alignment horizontal="center" vertical="center" wrapText="1"/>
    </xf>
    <xf numFmtId="43" fontId="51" fillId="0" borderId="15" xfId="0" applyNumberFormat="1" applyFont="1" applyBorder="1" applyProtection="1">
      <protection locked="0"/>
    </xf>
    <xf numFmtId="43" fontId="51" fillId="0" borderId="16" xfId="0" applyNumberFormat="1" applyFont="1" applyBorder="1" applyProtection="1">
      <protection locked="0"/>
    </xf>
    <xf numFmtId="43" fontId="51" fillId="0" borderId="17" xfId="0" applyNumberFormat="1" applyFont="1" applyBorder="1" applyProtection="1">
      <protection locked="0"/>
    </xf>
    <xf numFmtId="43" fontId="51" fillId="0" borderId="32" xfId="1" applyFont="1" applyFill="1" applyBorder="1" applyAlignment="1">
      <alignment horizontal="center"/>
    </xf>
    <xf numFmtId="43" fontId="51" fillId="0" borderId="30" xfId="1" applyFont="1" applyFill="1" applyBorder="1" applyAlignment="1">
      <alignment horizontal="center"/>
    </xf>
    <xf numFmtId="43" fontId="51" fillId="0" borderId="31" xfId="1" applyFont="1" applyFill="1" applyBorder="1" applyAlignment="1">
      <alignment horizontal="center"/>
    </xf>
    <xf numFmtId="0" fontId="11" fillId="0" borderId="85" xfId="0" applyFont="1" applyBorder="1"/>
    <xf numFmtId="0" fontId="23" fillId="2" borderId="16" xfId="0" applyFont="1" applyFill="1" applyBorder="1" applyAlignment="1">
      <alignment horizontal="center"/>
    </xf>
    <xf numFmtId="0" fontId="4" fillId="2" borderId="16" xfId="0" applyFont="1" applyFill="1" applyBorder="1" applyAlignment="1">
      <alignment horizontal="center"/>
    </xf>
    <xf numFmtId="0" fontId="4" fillId="2" borderId="17" xfId="0" applyFont="1" applyFill="1" applyBorder="1" applyAlignment="1">
      <alignment horizontal="center"/>
    </xf>
    <xf numFmtId="0" fontId="4" fillId="2" borderId="15" xfId="0" applyFont="1" applyFill="1" applyBorder="1" applyAlignment="1">
      <alignment horizontal="center"/>
    </xf>
    <xf numFmtId="43" fontId="22" fillId="3" borderId="39" xfId="1" applyFont="1" applyFill="1" applyBorder="1" applyAlignment="1">
      <alignment horizontal="center" vertical="center"/>
    </xf>
    <xf numFmtId="43" fontId="22" fillId="3" borderId="41" xfId="1" applyFont="1" applyFill="1" applyBorder="1" applyAlignment="1">
      <alignment horizontal="center" vertical="center"/>
    </xf>
    <xf numFmtId="0" fontId="59" fillId="12" borderId="94" xfId="0" applyFont="1" applyFill="1" applyBorder="1" applyAlignment="1">
      <alignment horizontal="center" vertical="center" wrapText="1"/>
    </xf>
    <xf numFmtId="0" fontId="59" fillId="12" borderId="99" xfId="0" applyFont="1" applyFill="1" applyBorder="1" applyAlignment="1">
      <alignment horizontal="center" vertical="center" wrapText="1"/>
    </xf>
    <xf numFmtId="0" fontId="59" fillId="12" borderId="94" xfId="0" applyFont="1" applyFill="1" applyBorder="1" applyAlignment="1">
      <alignment horizontal="center" vertical="center"/>
    </xf>
    <xf numFmtId="0" fontId="59" fillId="12" borderId="99" xfId="0" applyFont="1" applyFill="1" applyBorder="1" applyAlignment="1">
      <alignment horizontal="center" vertical="center"/>
    </xf>
    <xf numFmtId="9" fontId="11" fillId="0" borderId="8" xfId="2" applyFont="1" applyBorder="1" applyAlignment="1">
      <alignment horizontal="center"/>
    </xf>
    <xf numFmtId="9" fontId="11" fillId="0" borderId="10" xfId="2" applyFont="1" applyBorder="1" applyAlignment="1">
      <alignment horizontal="center"/>
    </xf>
    <xf numFmtId="1" fontId="11" fillId="0" borderId="8" xfId="2" applyNumberFormat="1" applyFont="1" applyBorder="1" applyAlignment="1">
      <alignment horizontal="center"/>
    </xf>
    <xf numFmtId="1" fontId="11" fillId="0" borderId="10" xfId="2" applyNumberFormat="1" applyFont="1" applyBorder="1" applyAlignment="1">
      <alignment horizontal="center"/>
    </xf>
    <xf numFmtId="9" fontId="11" fillId="0" borderId="1" xfId="2" applyFont="1" applyBorder="1" applyAlignment="1">
      <alignment horizontal="center"/>
    </xf>
    <xf numFmtId="1" fontId="11" fillId="0" borderId="1" xfId="0" applyNumberFormat="1" applyFont="1" applyBorder="1" applyAlignment="1">
      <alignment horizontal="center"/>
    </xf>
    <xf numFmtId="43" fontId="11" fillId="0" borderId="30" xfId="1" applyFont="1" applyFill="1" applyBorder="1" applyAlignment="1"/>
    <xf numFmtId="43" fontId="11" fillId="0" borderId="84" xfId="1" applyFont="1" applyFill="1" applyBorder="1" applyAlignment="1"/>
    <xf numFmtId="0" fontId="22" fillId="3" borderId="2" xfId="0" applyFont="1" applyFill="1" applyBorder="1" applyAlignment="1">
      <alignment horizontal="center"/>
    </xf>
    <xf numFmtId="0" fontId="22" fillId="3" borderId="3" xfId="0" applyFont="1" applyFill="1" applyBorder="1" applyAlignment="1">
      <alignment horizontal="center"/>
    </xf>
    <xf numFmtId="0" fontId="22" fillId="3" borderId="4" xfId="0" applyFont="1" applyFill="1" applyBorder="1" applyAlignment="1">
      <alignment horizontal="center"/>
    </xf>
    <xf numFmtId="2" fontId="22" fillId="3" borderId="3" xfId="0" applyNumberFormat="1" applyFont="1" applyFill="1" applyBorder="1" applyAlignment="1">
      <alignment horizontal="center"/>
    </xf>
    <xf numFmtId="43" fontId="11" fillId="0" borderId="2" xfId="3" applyNumberFormat="1" applyFont="1" applyFill="1" applyBorder="1" applyAlignment="1"/>
    <xf numFmtId="43" fontId="11" fillId="0" borderId="3" xfId="3" applyNumberFormat="1" applyFont="1" applyFill="1" applyBorder="1" applyAlignment="1"/>
    <xf numFmtId="43" fontId="11" fillId="0" borderId="4" xfId="3" applyNumberFormat="1" applyFont="1" applyFill="1" applyBorder="1" applyAlignment="1"/>
    <xf numFmtId="2" fontId="11" fillId="0" borderId="3" xfId="0" applyNumberFormat="1" applyFont="1" applyBorder="1" applyAlignment="1" applyProtection="1">
      <alignment horizontal="center" vertical="center" shrinkToFit="1"/>
      <protection locked="0"/>
    </xf>
    <xf numFmtId="43" fontId="11" fillId="0" borderId="3" xfId="1" applyFont="1" applyFill="1" applyBorder="1" applyAlignment="1">
      <alignment vertical="center"/>
    </xf>
    <xf numFmtId="43" fontId="11" fillId="0" borderId="4" xfId="1" applyFont="1" applyFill="1" applyBorder="1" applyAlignment="1">
      <alignment vertical="center"/>
    </xf>
    <xf numFmtId="43" fontId="11" fillId="4" borderId="2" xfId="1" applyFont="1" applyFill="1" applyBorder="1"/>
    <xf numFmtId="43" fontId="11" fillId="4" borderId="3" xfId="1" applyFont="1" applyFill="1" applyBorder="1"/>
    <xf numFmtId="43" fontId="11" fillId="4" borderId="4" xfId="1" applyFont="1" applyFill="1" applyBorder="1"/>
    <xf numFmtId="43" fontId="11" fillId="0" borderId="2" xfId="1" applyFont="1" applyBorder="1" applyAlignment="1">
      <alignment horizontal="center"/>
    </xf>
    <xf numFmtId="43" fontId="11" fillId="0" borderId="3" xfId="1" applyFont="1" applyBorder="1" applyAlignment="1">
      <alignment horizontal="center"/>
    </xf>
    <xf numFmtId="43" fontId="11" fillId="0" borderId="4" xfId="1" applyFont="1" applyBorder="1" applyAlignment="1">
      <alignment horizontal="center"/>
    </xf>
    <xf numFmtId="43" fontId="51" fillId="0" borderId="2" xfId="3" applyNumberFormat="1" applyFont="1" applyFill="1" applyBorder="1" applyAlignment="1"/>
    <xf numFmtId="43" fontId="51" fillId="0" borderId="3" xfId="3" applyNumberFormat="1" applyFont="1" applyFill="1" applyBorder="1" applyAlignment="1"/>
    <xf numFmtId="43" fontId="51" fillId="0" borderId="4" xfId="3" applyNumberFormat="1" applyFont="1" applyFill="1" applyBorder="1" applyAlignment="1"/>
    <xf numFmtId="0" fontId="11" fillId="0" borderId="3" xfId="0" applyFont="1" applyBorder="1" applyAlignment="1" applyProtection="1">
      <alignment horizontal="right" vertical="center"/>
      <protection locked="0"/>
    </xf>
    <xf numFmtId="43" fontId="11" fillId="0" borderId="3" xfId="3" applyNumberFormat="1" applyFont="1" applyFill="1" applyBorder="1" applyAlignment="1">
      <alignment vertical="center"/>
    </xf>
    <xf numFmtId="43" fontId="11" fillId="0" borderId="4" xfId="3" applyNumberFormat="1" applyFont="1" applyFill="1" applyBorder="1" applyAlignment="1">
      <alignment vertical="center"/>
    </xf>
    <xf numFmtId="9" fontId="42" fillId="0" borderId="3" xfId="2" applyFont="1" applyFill="1" applyBorder="1" applyAlignment="1" applyProtection="1">
      <alignment horizontal="center" vertical="center"/>
      <protection locked="0"/>
    </xf>
    <xf numFmtId="10" fontId="42" fillId="0" borderId="2" xfId="2" applyNumberFormat="1" applyFont="1" applyBorder="1" applyAlignment="1" applyProtection="1">
      <alignment horizontal="center" vertical="center"/>
      <protection locked="0"/>
    </xf>
    <xf numFmtId="10" fontId="42" fillId="0" borderId="3" xfId="2" applyNumberFormat="1" applyFont="1" applyBorder="1" applyAlignment="1" applyProtection="1">
      <alignment horizontal="center" vertical="center"/>
      <protection locked="0"/>
    </xf>
    <xf numFmtId="10" fontId="42" fillId="0" borderId="4" xfId="2" applyNumberFormat="1" applyFont="1" applyBorder="1" applyAlignment="1" applyProtection="1">
      <alignment horizontal="center" vertical="center"/>
      <protection locked="0"/>
    </xf>
    <xf numFmtId="0" fontId="17" fillId="3" borderId="3" xfId="0" applyFont="1" applyFill="1" applyBorder="1" applyAlignment="1">
      <alignment horizontal="center" shrinkToFit="1"/>
    </xf>
    <xf numFmtId="0" fontId="53" fillId="2" borderId="0" xfId="0" applyFont="1" applyFill="1" applyAlignment="1">
      <alignment horizontal="center"/>
    </xf>
    <xf numFmtId="43" fontId="51" fillId="0" borderId="2" xfId="3" applyNumberFormat="1" applyFont="1" applyFill="1" applyBorder="1" applyAlignment="1">
      <alignment horizontal="center"/>
    </xf>
    <xf numFmtId="43" fontId="51" fillId="0" borderId="3" xfId="3" applyNumberFormat="1" applyFont="1" applyFill="1" applyBorder="1" applyAlignment="1">
      <alignment horizontal="center"/>
    </xf>
    <xf numFmtId="43" fontId="51" fillId="0" borderId="4" xfId="3" applyNumberFormat="1" applyFont="1" applyFill="1" applyBorder="1" applyAlignment="1">
      <alignment horizontal="center"/>
    </xf>
    <xf numFmtId="43" fontId="11" fillId="0" borderId="3" xfId="1" applyFont="1" applyFill="1" applyBorder="1" applyAlignment="1">
      <alignment horizontal="right"/>
    </xf>
    <xf numFmtId="43" fontId="11" fillId="0" borderId="4" xfId="1" applyFont="1" applyFill="1" applyBorder="1" applyAlignment="1">
      <alignment horizontal="right"/>
    </xf>
    <xf numFmtId="0" fontId="11" fillId="0" borderId="3" xfId="0" applyFont="1" applyBorder="1" applyAlignment="1" applyProtection="1">
      <alignment horizontal="right"/>
      <protection locked="0"/>
    </xf>
    <xf numFmtId="2" fontId="11" fillId="0" borderId="3" xfId="0" applyNumberFormat="1" applyFont="1" applyBorder="1" applyAlignment="1" applyProtection="1">
      <alignment horizontal="center" shrinkToFit="1"/>
      <protection locked="0"/>
    </xf>
    <xf numFmtId="0" fontId="22" fillId="3" borderId="18" xfId="0" applyFont="1" applyFill="1" applyBorder="1" applyAlignment="1">
      <alignment horizontal="center"/>
    </xf>
    <xf numFmtId="0" fontId="22" fillId="3" borderId="1" xfId="0" applyFont="1" applyFill="1" applyBorder="1" applyAlignment="1">
      <alignment horizontal="center"/>
    </xf>
    <xf numFmtId="9" fontId="42" fillId="0" borderId="1" xfId="2" applyFont="1" applyFill="1" applyBorder="1" applyAlignment="1" applyProtection="1">
      <alignment horizontal="center"/>
      <protection locked="0"/>
    </xf>
    <xf numFmtId="10" fontId="42" fillId="0" borderId="1" xfId="2" applyNumberFormat="1" applyFont="1" applyBorder="1" applyAlignment="1" applyProtection="1">
      <alignment horizontal="center"/>
      <protection locked="0"/>
    </xf>
    <xf numFmtId="0" fontId="53" fillId="2" borderId="14" xfId="0" applyFont="1" applyFill="1" applyBorder="1" applyAlignment="1">
      <alignment horizontal="center"/>
    </xf>
    <xf numFmtId="43" fontId="56" fillId="4" borderId="2" xfId="1" applyFont="1" applyFill="1" applyBorder="1" applyAlignment="1">
      <alignment horizontal="center"/>
    </xf>
    <xf numFmtId="43" fontId="56" fillId="4" borderId="3" xfId="1" applyFont="1" applyFill="1" applyBorder="1" applyAlignment="1">
      <alignment horizontal="center"/>
    </xf>
    <xf numFmtId="43" fontId="56" fillId="4" borderId="4" xfId="1" applyFont="1" applyFill="1" applyBorder="1" applyAlignment="1">
      <alignment horizontal="center"/>
    </xf>
    <xf numFmtId="43" fontId="11" fillId="0" borderId="2" xfId="1" applyFont="1" applyFill="1" applyBorder="1" applyAlignment="1">
      <alignment horizontal="center"/>
    </xf>
    <xf numFmtId="43" fontId="11" fillId="0" borderId="3" xfId="1" applyFont="1" applyFill="1" applyBorder="1" applyAlignment="1">
      <alignment horizontal="center"/>
    </xf>
    <xf numFmtId="43" fontId="11" fillId="0" borderId="4" xfId="1" applyFont="1" applyFill="1" applyBorder="1" applyAlignment="1">
      <alignment horizontal="center"/>
    </xf>
    <xf numFmtId="43" fontId="11" fillId="4" borderId="2" xfId="1" applyFont="1" applyFill="1" applyBorder="1" applyAlignment="1">
      <alignment horizontal="center"/>
    </xf>
    <xf numFmtId="43" fontId="11" fillId="4" borderId="3" xfId="1" applyFont="1" applyFill="1" applyBorder="1" applyAlignment="1">
      <alignment horizontal="center"/>
    </xf>
    <xf numFmtId="43" fontId="11" fillId="4" borderId="4" xfId="1" applyFont="1" applyFill="1" applyBorder="1" applyAlignment="1">
      <alignment horizontal="center"/>
    </xf>
    <xf numFmtId="43" fontId="51" fillId="0" borderId="2" xfId="1" applyFont="1" applyFill="1" applyBorder="1" applyAlignment="1">
      <alignment horizontal="center"/>
    </xf>
    <xf numFmtId="43" fontId="51" fillId="0" borderId="3" xfId="1" applyFont="1" applyFill="1" applyBorder="1" applyAlignment="1">
      <alignment horizontal="center"/>
    </xf>
    <xf numFmtId="43" fontId="51" fillId="0" borderId="4" xfId="1" applyFont="1" applyFill="1" applyBorder="1" applyAlignment="1">
      <alignment horizontal="center"/>
    </xf>
    <xf numFmtId="2" fontId="11" fillId="0" borderId="3" xfId="0" applyNumberFormat="1" applyFont="1" applyBorder="1" applyAlignment="1" applyProtection="1">
      <alignment horizontal="center"/>
      <protection locked="0"/>
    </xf>
    <xf numFmtId="0" fontId="11" fillId="0" borderId="9" xfId="0" applyFont="1" applyBorder="1" applyProtection="1">
      <protection locked="0"/>
    </xf>
    <xf numFmtId="0" fontId="11" fillId="0" borderId="9" xfId="0" applyFont="1" applyBorder="1" applyAlignment="1" applyProtection="1">
      <alignment horizontal="right"/>
      <protection locked="0"/>
    </xf>
    <xf numFmtId="2" fontId="11" fillId="0" borderId="9" xfId="0" applyNumberFormat="1" applyFont="1" applyBorder="1" applyAlignment="1" applyProtection="1">
      <alignment horizontal="center" shrinkToFit="1"/>
      <protection locked="0"/>
    </xf>
    <xf numFmtId="43" fontId="11" fillId="0" borderId="9" xfId="1" applyFont="1" applyFill="1" applyBorder="1" applyAlignment="1">
      <alignment horizontal="center"/>
    </xf>
    <xf numFmtId="43" fontId="11" fillId="0" borderId="10" xfId="1" applyFont="1" applyFill="1" applyBorder="1" applyAlignment="1">
      <alignment horizontal="center"/>
    </xf>
    <xf numFmtId="43" fontId="22" fillId="3" borderId="3" xfId="1" applyFont="1" applyFill="1" applyBorder="1" applyAlignment="1">
      <alignment horizontal="center"/>
    </xf>
    <xf numFmtId="43" fontId="22" fillId="3" borderId="4" xfId="1" applyFont="1" applyFill="1" applyBorder="1" applyAlignment="1">
      <alignment horizontal="center"/>
    </xf>
    <xf numFmtId="0" fontId="22" fillId="3" borderId="3" xfId="0" applyFont="1" applyFill="1" applyBorder="1" applyAlignment="1">
      <alignment horizontal="center" shrinkToFit="1"/>
    </xf>
    <xf numFmtId="0" fontId="17" fillId="3" borderId="2" xfId="0" applyFont="1" applyFill="1" applyBorder="1" applyAlignment="1">
      <alignment horizontal="center"/>
    </xf>
    <xf numFmtId="0" fontId="17" fillId="3" borderId="4" xfId="0" applyFont="1" applyFill="1" applyBorder="1" applyAlignment="1">
      <alignment horizontal="center"/>
    </xf>
    <xf numFmtId="10" fontId="42" fillId="0" borderId="2" xfId="2" applyNumberFormat="1" applyFont="1" applyBorder="1" applyAlignment="1" applyProtection="1">
      <alignment horizontal="center"/>
      <protection locked="0"/>
    </xf>
    <xf numFmtId="10" fontId="42" fillId="0" borderId="3" xfId="2" applyNumberFormat="1" applyFont="1" applyBorder="1" applyAlignment="1" applyProtection="1">
      <alignment horizontal="center"/>
      <protection locked="0"/>
    </xf>
    <xf numFmtId="10" fontId="42" fillId="0" borderId="4" xfId="2" applyNumberFormat="1" applyFont="1" applyBorder="1" applyAlignment="1" applyProtection="1">
      <alignment horizontal="center"/>
      <protection locked="0"/>
    </xf>
    <xf numFmtId="43" fontId="22" fillId="3" borderId="2" xfId="1" applyFont="1" applyFill="1" applyBorder="1" applyAlignment="1">
      <alignment horizontal="center"/>
    </xf>
    <xf numFmtId="9" fontId="42" fillId="0" borderId="2" xfId="2" applyFont="1" applyFill="1" applyBorder="1" applyAlignment="1" applyProtection="1">
      <alignment horizontal="center"/>
      <protection locked="0"/>
    </xf>
    <xf numFmtId="9" fontId="42" fillId="0" borderId="3" xfId="2" applyFont="1" applyFill="1" applyBorder="1" applyAlignment="1" applyProtection="1">
      <alignment horizontal="center"/>
      <protection locked="0"/>
    </xf>
    <xf numFmtId="9" fontId="42" fillId="0" borderId="4" xfId="2" applyFont="1" applyFill="1" applyBorder="1" applyAlignment="1" applyProtection="1">
      <alignment horizontal="center"/>
      <protection locked="0"/>
    </xf>
    <xf numFmtId="43" fontId="53" fillId="2" borderId="14" xfId="1" applyFont="1" applyFill="1" applyBorder="1" applyAlignment="1">
      <alignment horizontal="center"/>
    </xf>
    <xf numFmtId="43" fontId="53" fillId="2" borderId="0" xfId="1" applyFont="1" applyFill="1" applyBorder="1" applyAlignment="1">
      <alignment horizontal="center"/>
    </xf>
    <xf numFmtId="43" fontId="51" fillId="4" borderId="2" xfId="1" applyFont="1" applyFill="1" applyBorder="1" applyAlignment="1">
      <alignment horizontal="center"/>
    </xf>
    <xf numFmtId="43" fontId="51" fillId="4" borderId="3" xfId="1" applyFont="1" applyFill="1" applyBorder="1" applyAlignment="1">
      <alignment horizontal="center"/>
    </xf>
    <xf numFmtId="43" fontId="51" fillId="4" borderId="4" xfId="1" applyFont="1" applyFill="1" applyBorder="1" applyAlignment="1">
      <alignment horizontal="center"/>
    </xf>
    <xf numFmtId="0" fontId="52" fillId="2" borderId="0" xfId="0" applyFont="1" applyFill="1" applyAlignment="1">
      <alignment horizontal="center"/>
    </xf>
    <xf numFmtId="43" fontId="11" fillId="0" borderId="2" xfId="1" applyFont="1" applyBorder="1" applyAlignment="1">
      <alignment horizontal="center" vertical="center"/>
    </xf>
    <xf numFmtId="0" fontId="11" fillId="0" borderId="2" xfId="0" applyFont="1" applyBorder="1" applyAlignment="1">
      <alignment horizontal="center"/>
    </xf>
    <xf numFmtId="0" fontId="11" fillId="0" borderId="3" xfId="0" applyFont="1" applyBorder="1" applyAlignment="1">
      <alignment horizontal="center"/>
    </xf>
    <xf numFmtId="0" fontId="11" fillId="0" borderId="4" xfId="0" applyFont="1" applyBorder="1" applyAlignment="1">
      <alignment horizontal="center"/>
    </xf>
    <xf numFmtId="43" fontId="11" fillId="4" borderId="2" xfId="1" applyFont="1" applyFill="1" applyBorder="1" applyAlignment="1">
      <alignment vertical="center"/>
    </xf>
    <xf numFmtId="43" fontId="11" fillId="4" borderId="3" xfId="1" applyFont="1" applyFill="1" applyBorder="1" applyAlignment="1">
      <alignment vertical="center"/>
    </xf>
    <xf numFmtId="43" fontId="11" fillId="4" borderId="4" xfId="1" applyFont="1" applyFill="1" applyBorder="1" applyAlignment="1">
      <alignment vertical="center"/>
    </xf>
    <xf numFmtId="0" fontId="17" fillId="3" borderId="3" xfId="0" applyFont="1" applyFill="1" applyBorder="1" applyAlignment="1">
      <alignment horizontal="center" vertical="center" shrinkToFit="1"/>
    </xf>
    <xf numFmtId="2" fontId="22" fillId="3" borderId="3" xfId="0" applyNumberFormat="1" applyFont="1" applyFill="1" applyBorder="1" applyAlignment="1">
      <alignment horizontal="center" vertical="center"/>
    </xf>
    <xf numFmtId="0" fontId="22" fillId="3" borderId="4" xfId="0" applyFont="1" applyFill="1" applyBorder="1" applyAlignment="1">
      <alignment horizontal="center" vertical="center"/>
    </xf>
    <xf numFmtId="0" fontId="22" fillId="3" borderId="2" xfId="0" applyFont="1" applyFill="1" applyBorder="1" applyAlignment="1">
      <alignment horizontal="center" vertical="center"/>
    </xf>
    <xf numFmtId="43" fontId="3" fillId="3" borderId="50" xfId="1" applyFont="1" applyFill="1" applyBorder="1" applyAlignment="1">
      <alignment horizontal="center" vertical="center"/>
    </xf>
    <xf numFmtId="43" fontId="3" fillId="3" borderId="51" xfId="1" applyFont="1" applyFill="1" applyBorder="1" applyAlignment="1">
      <alignment horizontal="center" vertical="center"/>
    </xf>
    <xf numFmtId="43" fontId="3" fillId="3" borderId="52" xfId="1" applyFont="1" applyFill="1" applyBorder="1" applyAlignment="1">
      <alignment horizontal="center" vertical="center"/>
    </xf>
    <xf numFmtId="0" fontId="11" fillId="0" borderId="3" xfId="0" applyFont="1" applyBorder="1" applyAlignment="1" applyProtection="1">
      <alignment horizontal="center"/>
      <protection locked="0"/>
    </xf>
    <xf numFmtId="43" fontId="53" fillId="2" borderId="43" xfId="1" applyFont="1" applyFill="1" applyBorder="1" applyAlignment="1">
      <alignment horizontal="center"/>
    </xf>
    <xf numFmtId="43" fontId="53" fillId="2" borderId="44" xfId="1" applyFont="1" applyFill="1" applyBorder="1" applyAlignment="1">
      <alignment horizontal="center"/>
    </xf>
    <xf numFmtId="43" fontId="53" fillId="2" borderId="45" xfId="1" applyFont="1" applyFill="1" applyBorder="1" applyAlignment="1">
      <alignment horizontal="center"/>
    </xf>
    <xf numFmtId="0" fontId="17" fillId="3" borderId="5" xfId="0" applyFont="1" applyFill="1" applyBorder="1" applyAlignment="1">
      <alignment vertical="top"/>
    </xf>
    <xf numFmtId="0" fontId="17" fillId="3" borderId="6" xfId="0" applyFont="1" applyFill="1" applyBorder="1" applyAlignment="1">
      <alignment vertical="top"/>
    </xf>
    <xf numFmtId="0" fontId="17" fillId="3" borderId="14" xfId="0" applyFont="1" applyFill="1" applyBorder="1" applyAlignment="1">
      <alignment vertical="top"/>
    </xf>
    <xf numFmtId="0" fontId="17" fillId="3" borderId="0" xfId="0" applyFont="1" applyFill="1" applyAlignment="1">
      <alignment vertical="top"/>
    </xf>
    <xf numFmtId="0" fontId="17" fillId="3" borderId="64" xfId="0" applyFont="1" applyFill="1" applyBorder="1" applyAlignment="1">
      <alignment vertical="top"/>
    </xf>
    <xf numFmtId="0" fontId="17" fillId="3" borderId="65" xfId="0" applyFont="1" applyFill="1" applyBorder="1" applyAlignment="1">
      <alignment vertical="top"/>
    </xf>
    <xf numFmtId="43" fontId="11" fillId="0" borderId="3" xfId="1" applyFont="1" applyBorder="1" applyAlignment="1"/>
    <xf numFmtId="43" fontId="11" fillId="0" borderId="4" xfId="1" applyFont="1" applyBorder="1" applyAlignment="1"/>
    <xf numFmtId="43" fontId="11" fillId="0" borderId="2" xfId="1" applyFont="1" applyBorder="1" applyAlignment="1"/>
    <xf numFmtId="0" fontId="32" fillId="8" borderId="0" xfId="0" applyFont="1" applyFill="1" applyAlignment="1">
      <alignment horizontal="center" vertical="center" wrapText="1"/>
    </xf>
    <xf numFmtId="0" fontId="32" fillId="7" borderId="0" xfId="0" applyFont="1" applyFill="1" applyAlignment="1">
      <alignment horizontal="center" vertical="center" wrapText="1"/>
    </xf>
    <xf numFmtId="0" fontId="30" fillId="3" borderId="0" xfId="0" applyFont="1" applyFill="1" applyAlignment="1">
      <alignment horizontal="left" vertical="top" wrapText="1"/>
    </xf>
    <xf numFmtId="0" fontId="30" fillId="3" borderId="11" xfId="0" applyFont="1" applyFill="1" applyBorder="1" applyAlignment="1">
      <alignment horizontal="left" vertical="top" wrapText="1"/>
    </xf>
    <xf numFmtId="165" fontId="11" fillId="0" borderId="2" xfId="0" applyNumberFormat="1" applyFont="1" applyBorder="1"/>
    <xf numFmtId="165" fontId="11" fillId="0" borderId="3" xfId="0" applyNumberFormat="1" applyFont="1" applyBorder="1"/>
    <xf numFmtId="0" fontId="11" fillId="0" borderId="3" xfId="0" applyFont="1" applyBorder="1" applyAlignment="1" applyProtection="1">
      <alignment horizontal="left"/>
      <protection locked="0"/>
    </xf>
    <xf numFmtId="0" fontId="30" fillId="0" borderId="2" xfId="0" applyFont="1" applyBorder="1" applyAlignment="1">
      <alignment vertical="center"/>
    </xf>
    <xf numFmtId="0" fontId="30" fillId="0" borderId="3" xfId="0" applyFont="1" applyBorder="1" applyAlignment="1">
      <alignment vertical="center"/>
    </xf>
    <xf numFmtId="0" fontId="30" fillId="0" borderId="4" xfId="0" applyFont="1" applyBorder="1" applyAlignment="1">
      <alignment vertical="center"/>
    </xf>
    <xf numFmtId="43" fontId="3" fillId="0" borderId="2" xfId="1" applyFont="1" applyBorder="1" applyAlignment="1">
      <alignment horizontal="center"/>
    </xf>
    <xf numFmtId="43" fontId="3" fillId="0" borderId="3" xfId="1" applyFont="1" applyBorder="1" applyAlignment="1">
      <alignment horizontal="center"/>
    </xf>
    <xf numFmtId="43" fontId="3" fillId="0" borderId="4" xfId="1" applyFont="1" applyBorder="1" applyAlignment="1">
      <alignment horizontal="center"/>
    </xf>
    <xf numFmtId="43" fontId="2" fillId="0" borderId="2" xfId="1" applyFont="1" applyBorder="1" applyAlignment="1"/>
    <xf numFmtId="43" fontId="2" fillId="0" borderId="3" xfId="1" applyFont="1" applyBorder="1" applyAlignment="1"/>
    <xf numFmtId="43" fontId="2" fillId="0" borderId="4" xfId="1" applyFont="1" applyBorder="1" applyAlignment="1"/>
    <xf numFmtId="0" fontId="3" fillId="0" borderId="6" xfId="0" applyFont="1" applyBorder="1" applyAlignment="1" applyProtection="1">
      <alignment horizontal="right"/>
      <protection locked="0"/>
    </xf>
    <xf numFmtId="0" fontId="3" fillId="0" borderId="7" xfId="0" applyFont="1" applyBorder="1" applyAlignment="1" applyProtection="1">
      <alignment horizontal="right"/>
      <protection locked="0"/>
    </xf>
    <xf numFmtId="43" fontId="2" fillId="0" borderId="2" xfId="1" applyFont="1" applyBorder="1" applyAlignment="1">
      <alignment horizontal="center"/>
    </xf>
    <xf numFmtId="43" fontId="2" fillId="0" borderId="3" xfId="1" applyFont="1" applyBorder="1" applyAlignment="1">
      <alignment horizontal="center"/>
    </xf>
    <xf numFmtId="43" fontId="2" fillId="0" borderId="4" xfId="1" applyFont="1" applyBorder="1" applyAlignment="1">
      <alignment horizontal="center"/>
    </xf>
    <xf numFmtId="44" fontId="51" fillId="0" borderId="2" xfId="0" applyNumberFormat="1" applyFont="1" applyBorder="1" applyAlignment="1">
      <alignment horizontal="center"/>
    </xf>
    <xf numFmtId="44" fontId="51" fillId="0" borderId="3" xfId="0" applyNumberFormat="1" applyFont="1" applyBorder="1" applyAlignment="1">
      <alignment horizontal="center"/>
    </xf>
    <xf numFmtId="44" fontId="51" fillId="0" borderId="4" xfId="0" applyNumberFormat="1" applyFont="1" applyBorder="1" applyAlignment="1">
      <alignment horizontal="center"/>
    </xf>
    <xf numFmtId="1" fontId="30" fillId="0" borderId="2" xfId="0" applyNumberFormat="1" applyFont="1" applyBorder="1" applyAlignment="1">
      <alignment horizontal="right"/>
    </xf>
    <xf numFmtId="1" fontId="30" fillId="0" borderId="3" xfId="0" applyNumberFormat="1" applyFont="1" applyBorder="1" applyAlignment="1">
      <alignment horizontal="right"/>
    </xf>
    <xf numFmtId="0" fontId="30" fillId="0" borderId="2" xfId="0" applyFont="1" applyBorder="1" applyAlignment="1">
      <alignment horizontal="right"/>
    </xf>
    <xf numFmtId="0" fontId="30" fillId="0" borderId="3" xfId="0" applyFont="1" applyBorder="1" applyAlignment="1">
      <alignment horizontal="right"/>
    </xf>
    <xf numFmtId="0" fontId="30" fillId="4" borderId="2" xfId="0" applyFont="1" applyFill="1" applyBorder="1"/>
    <xf numFmtId="0" fontId="30" fillId="4" borderId="3" xfId="0" applyFont="1" applyFill="1" applyBorder="1"/>
    <xf numFmtId="0" fontId="30" fillId="0" borderId="2" xfId="0" applyFont="1" applyBorder="1"/>
    <xf numFmtId="0" fontId="30" fillId="0" borderId="3" xfId="0" applyFont="1" applyBorder="1"/>
    <xf numFmtId="43" fontId="3" fillId="6" borderId="14" xfId="1" applyFont="1" applyFill="1" applyBorder="1" applyAlignment="1">
      <alignment horizontal="center" vertical="center"/>
    </xf>
    <xf numFmtId="43" fontId="3" fillId="6" borderId="0" xfId="1" applyFont="1" applyFill="1" applyBorder="1" applyAlignment="1">
      <alignment horizontal="center" vertical="center"/>
    </xf>
    <xf numFmtId="43" fontId="3" fillId="6" borderId="11" xfId="1" applyFont="1" applyFill="1" applyBorder="1" applyAlignment="1">
      <alignment horizontal="center" vertical="center"/>
    </xf>
    <xf numFmtId="43" fontId="3" fillId="6" borderId="8" xfId="1" applyFont="1" applyFill="1" applyBorder="1" applyAlignment="1">
      <alignment horizontal="center" vertical="center"/>
    </xf>
    <xf numFmtId="43" fontId="3" fillId="6" borderId="9" xfId="1" applyFont="1" applyFill="1" applyBorder="1" applyAlignment="1">
      <alignment horizontal="center" vertical="center"/>
    </xf>
    <xf numFmtId="43" fontId="3" fillId="6" borderId="10" xfId="1" applyFont="1" applyFill="1" applyBorder="1" applyAlignment="1">
      <alignment horizontal="center" vertical="center"/>
    </xf>
    <xf numFmtId="0" fontId="3" fillId="3" borderId="9" xfId="0" applyFont="1" applyFill="1" applyBorder="1" applyAlignment="1">
      <alignment horizontal="center" shrinkToFit="1"/>
    </xf>
    <xf numFmtId="0" fontId="3" fillId="3" borderId="9" xfId="0" applyFont="1" applyFill="1" applyBorder="1" applyAlignment="1">
      <alignment horizontal="center"/>
    </xf>
    <xf numFmtId="0" fontId="2" fillId="0" borderId="3" xfId="0" applyFont="1" applyBorder="1" applyAlignment="1" applyProtection="1">
      <alignment vertical="center"/>
      <protection locked="0"/>
    </xf>
    <xf numFmtId="0" fontId="19" fillId="0" borderId="30" xfId="0" applyFont="1" applyBorder="1" applyAlignment="1" applyProtection="1">
      <alignment horizontal="center"/>
      <protection locked="0"/>
    </xf>
    <xf numFmtId="43" fontId="19" fillId="0" borderId="3" xfId="1" applyFont="1" applyFill="1" applyBorder="1"/>
    <xf numFmtId="43" fontId="19" fillId="0" borderId="4" xfId="1" applyFont="1" applyFill="1" applyBorder="1"/>
    <xf numFmtId="43" fontId="2" fillId="0" borderId="2" xfId="1" applyFont="1" applyFill="1" applyBorder="1"/>
    <xf numFmtId="43" fontId="2" fillId="0" borderId="3" xfId="1" applyFont="1" applyFill="1" applyBorder="1"/>
    <xf numFmtId="43" fontId="2" fillId="0" borderId="4" xfId="1" applyFont="1" applyFill="1" applyBorder="1"/>
    <xf numFmtId="0" fontId="4" fillId="2" borderId="16" xfId="0" applyFont="1" applyFill="1" applyBorder="1" applyAlignment="1">
      <alignment horizontal="left"/>
    </xf>
    <xf numFmtId="0" fontId="3" fillId="3" borderId="46" xfId="0" applyFont="1" applyFill="1" applyBorder="1" applyAlignment="1">
      <alignment horizontal="left" vertical="center"/>
    </xf>
    <xf numFmtId="0" fontId="3" fillId="3" borderId="9" xfId="0" applyFont="1" applyFill="1" applyBorder="1" applyAlignment="1">
      <alignment horizontal="left" vertical="center"/>
    </xf>
    <xf numFmtId="0" fontId="3" fillId="3" borderId="46" xfId="0" applyFont="1" applyFill="1" applyBorder="1" applyAlignment="1">
      <alignment horizontal="center" shrinkToFit="1"/>
    </xf>
    <xf numFmtId="0" fontId="3" fillId="3" borderId="46" xfId="0" applyFont="1" applyFill="1" applyBorder="1" applyAlignment="1">
      <alignment horizontal="center" vertical="center"/>
    </xf>
    <xf numFmtId="0" fontId="3" fillId="3" borderId="9" xfId="0" applyFont="1" applyFill="1" applyBorder="1" applyAlignment="1">
      <alignment horizontal="center" vertical="center"/>
    </xf>
    <xf numFmtId="43" fontId="18" fillId="3" borderId="46" xfId="1" applyFont="1" applyFill="1" applyBorder="1" applyAlignment="1">
      <alignment horizontal="center" vertical="center"/>
    </xf>
    <xf numFmtId="43" fontId="18" fillId="3" borderId="48" xfId="1" applyFont="1" applyFill="1" applyBorder="1" applyAlignment="1">
      <alignment horizontal="center" vertical="center"/>
    </xf>
    <xf numFmtId="43" fontId="18" fillId="3" borderId="9" xfId="1" applyFont="1" applyFill="1" applyBorder="1" applyAlignment="1">
      <alignment horizontal="center" vertical="center"/>
    </xf>
    <xf numFmtId="43" fontId="18" fillId="3" borderId="10" xfId="1" applyFont="1" applyFill="1" applyBorder="1" applyAlignment="1">
      <alignment horizontal="center" vertical="center"/>
    </xf>
    <xf numFmtId="0" fontId="2" fillId="0" borderId="30" xfId="0" applyFont="1" applyBorder="1" applyAlignment="1" applyProtection="1">
      <alignment horizontal="center"/>
      <protection locked="0"/>
    </xf>
    <xf numFmtId="0" fontId="2" fillId="0" borderId="30" xfId="0" applyFont="1" applyBorder="1" applyAlignment="1" applyProtection="1">
      <alignment vertical="center"/>
      <protection locked="0"/>
    </xf>
    <xf numFmtId="0" fontId="2" fillId="0" borderId="16" xfId="0" applyFont="1" applyBorder="1" applyAlignment="1" applyProtection="1">
      <alignment horizontal="center"/>
      <protection locked="0"/>
    </xf>
    <xf numFmtId="0" fontId="2" fillId="0" borderId="16" xfId="0" applyFont="1" applyBorder="1" applyAlignment="1" applyProtection="1">
      <alignment vertical="center"/>
      <protection locked="0"/>
    </xf>
    <xf numFmtId="0" fontId="2" fillId="0" borderId="39" xfId="0" applyFont="1" applyBorder="1" applyAlignment="1" applyProtection="1">
      <alignment vertical="center"/>
      <protection locked="0"/>
    </xf>
    <xf numFmtId="43" fontId="28" fillId="0" borderId="15" xfId="3" applyNumberFormat="1" applyFont="1" applyFill="1" applyBorder="1" applyAlignment="1" applyProtection="1">
      <protection locked="0"/>
    </xf>
    <xf numFmtId="43" fontId="28" fillId="0" borderId="16" xfId="3" applyNumberFormat="1" applyFont="1" applyFill="1" applyBorder="1" applyAlignment="1" applyProtection="1">
      <protection locked="0"/>
    </xf>
    <xf numFmtId="43" fontId="28" fillId="0" borderId="17" xfId="3" applyNumberFormat="1" applyFont="1" applyFill="1" applyBorder="1" applyAlignment="1" applyProtection="1">
      <protection locked="0"/>
    </xf>
    <xf numFmtId="0" fontId="27" fillId="4" borderId="54" xfId="0" applyFont="1" applyFill="1" applyBorder="1" applyAlignment="1">
      <alignment horizontal="left" vertical="center"/>
    </xf>
    <xf numFmtId="0" fontId="27" fillId="4" borderId="55" xfId="0" applyFont="1" applyFill="1" applyBorder="1" applyAlignment="1">
      <alignment horizontal="left" vertical="center"/>
    </xf>
    <xf numFmtId="0" fontId="27" fillId="4" borderId="56" xfId="0" applyFont="1" applyFill="1" applyBorder="1" applyAlignment="1">
      <alignment horizontal="left" vertical="center"/>
    </xf>
    <xf numFmtId="9" fontId="27" fillId="4" borderId="54" xfId="2" applyFont="1" applyFill="1" applyBorder="1" applyAlignment="1">
      <alignment horizontal="left"/>
    </xf>
    <xf numFmtId="9" fontId="27" fillId="4" borderId="56" xfId="2" applyFont="1" applyFill="1" applyBorder="1" applyAlignment="1">
      <alignment horizontal="left"/>
    </xf>
    <xf numFmtId="0" fontId="8" fillId="0" borderId="11" xfId="0" applyFont="1" applyBorder="1" applyAlignment="1">
      <alignment horizontal="right" vertical="center"/>
    </xf>
    <xf numFmtId="43" fontId="19" fillId="0" borderId="40" xfId="1" applyFont="1" applyBorder="1"/>
    <xf numFmtId="43" fontId="19" fillId="0" borderId="39" xfId="1" applyFont="1" applyBorder="1"/>
    <xf numFmtId="43" fontId="19" fillId="0" borderId="41" xfId="1" applyFont="1" applyBorder="1"/>
  </cellXfs>
  <cellStyles count="6">
    <cellStyle name="Comma" xfId="1" builtinId="3"/>
    <cellStyle name="Currency" xfId="3" builtinId="4"/>
    <cellStyle name="Currency_OFI MV BID v.6.1" xfId="5" xr:uid="{00000000-0005-0000-0000-000002000000}"/>
    <cellStyle name="Normal" xfId="0" builtinId="0"/>
    <cellStyle name="Normal_OFI MV BID v.6.1_1" xfId="4" xr:uid="{00000000-0005-0000-0000-000005000000}"/>
    <cellStyle name="Percent" xfId="2" builtinId="5"/>
  </cellStyles>
  <dxfs count="0"/>
  <tableStyles count="0" defaultTableStyle="TableStyleMedium2" defaultPivotStyle="PivotStyleLight16"/>
  <colors>
    <mruColors>
      <color rgb="FFF7B7B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1.xml"/></Relationships>
</file>

<file path=xl/drawings/_rels/drawing5.xml.rels><?xml version="1.0" encoding="UTF-8" standalone="yes"?>
<Relationships xmlns="http://schemas.openxmlformats.org/package/2006/relationships"><Relationship Id="rId117" Type="http://schemas.openxmlformats.org/officeDocument/2006/relationships/customXml" Target="../ink/ink114.xml"/><Relationship Id="rId21" Type="http://schemas.openxmlformats.org/officeDocument/2006/relationships/customXml" Target="../ink/ink20.xml"/><Relationship Id="rId63" Type="http://schemas.openxmlformats.org/officeDocument/2006/relationships/customXml" Target="../ink/ink60.xml"/><Relationship Id="rId159" Type="http://schemas.openxmlformats.org/officeDocument/2006/relationships/customXml" Target="../ink/ink155.xml"/><Relationship Id="rId170" Type="http://schemas.openxmlformats.org/officeDocument/2006/relationships/customXml" Target="../ink/ink166.xml"/><Relationship Id="rId191" Type="http://schemas.openxmlformats.org/officeDocument/2006/relationships/customXml" Target="../ink/ink185.xml"/><Relationship Id="rId205" Type="http://schemas.openxmlformats.org/officeDocument/2006/relationships/customXml" Target="../ink/ink198.xml"/><Relationship Id="rId226" Type="http://schemas.openxmlformats.org/officeDocument/2006/relationships/customXml" Target="../ink/ink216.xml"/><Relationship Id="rId247" Type="http://schemas.openxmlformats.org/officeDocument/2006/relationships/customXml" Target="../ink/ink237.xml"/><Relationship Id="rId107" Type="http://schemas.openxmlformats.org/officeDocument/2006/relationships/customXml" Target="../ink/ink104.xml"/><Relationship Id="rId11" Type="http://schemas.openxmlformats.org/officeDocument/2006/relationships/customXml" Target="../ink/ink11.xml"/><Relationship Id="rId32" Type="http://schemas.openxmlformats.org/officeDocument/2006/relationships/customXml" Target="../ink/ink31.xml"/><Relationship Id="rId53" Type="http://schemas.openxmlformats.org/officeDocument/2006/relationships/customXml" Target="../ink/ink50.xml"/><Relationship Id="rId74" Type="http://schemas.openxmlformats.org/officeDocument/2006/relationships/customXml" Target="../ink/ink71.xml"/><Relationship Id="rId128" Type="http://schemas.openxmlformats.org/officeDocument/2006/relationships/customXml" Target="../ink/ink125.xml"/><Relationship Id="rId149" Type="http://schemas.openxmlformats.org/officeDocument/2006/relationships/customXml" Target="../ink/ink145.xml"/><Relationship Id="rId5" Type="http://schemas.openxmlformats.org/officeDocument/2006/relationships/customXml" Target="../ink/ink5.xml"/><Relationship Id="rId95" Type="http://schemas.openxmlformats.org/officeDocument/2006/relationships/customXml" Target="../ink/ink92.xml"/><Relationship Id="rId160" Type="http://schemas.openxmlformats.org/officeDocument/2006/relationships/customXml" Target="../ink/ink156.xml"/><Relationship Id="rId181" Type="http://schemas.openxmlformats.org/officeDocument/2006/relationships/customXml" Target="../ink/ink176.xml"/><Relationship Id="rId216" Type="http://schemas.openxmlformats.org/officeDocument/2006/relationships/customXml" Target="../ink/ink208.xml"/><Relationship Id="rId237" Type="http://schemas.openxmlformats.org/officeDocument/2006/relationships/customXml" Target="../ink/ink227.xml"/><Relationship Id="rId258" Type="http://schemas.openxmlformats.org/officeDocument/2006/relationships/customXml" Target="../ink/ink247.xml"/><Relationship Id="rId22" Type="http://schemas.openxmlformats.org/officeDocument/2006/relationships/customXml" Target="../ink/ink21.xml"/><Relationship Id="rId43" Type="http://schemas.openxmlformats.org/officeDocument/2006/relationships/image" Target="../media/image10.png"/><Relationship Id="rId64" Type="http://schemas.openxmlformats.org/officeDocument/2006/relationships/customXml" Target="../ink/ink61.xml"/><Relationship Id="rId118" Type="http://schemas.openxmlformats.org/officeDocument/2006/relationships/customXml" Target="../ink/ink115.xml"/><Relationship Id="rId139" Type="http://schemas.openxmlformats.org/officeDocument/2006/relationships/customXml" Target="../ink/ink136.xml"/><Relationship Id="rId85" Type="http://schemas.openxmlformats.org/officeDocument/2006/relationships/customXml" Target="../ink/ink82.xml"/><Relationship Id="rId150" Type="http://schemas.openxmlformats.org/officeDocument/2006/relationships/customXml" Target="../ink/ink146.xml"/><Relationship Id="rId171" Type="http://schemas.openxmlformats.org/officeDocument/2006/relationships/customXml" Target="../ink/ink167.xml"/><Relationship Id="rId192" Type="http://schemas.openxmlformats.org/officeDocument/2006/relationships/customXml" Target="../ink/ink186.xml"/><Relationship Id="rId206" Type="http://schemas.openxmlformats.org/officeDocument/2006/relationships/customXml" Target="../ink/ink199.xml"/><Relationship Id="rId227" Type="http://schemas.openxmlformats.org/officeDocument/2006/relationships/customXml" Target="../ink/ink217.xml"/><Relationship Id="rId248" Type="http://schemas.openxmlformats.org/officeDocument/2006/relationships/customXml" Target="../ink/ink238.xml"/><Relationship Id="rId12" Type="http://schemas.openxmlformats.org/officeDocument/2006/relationships/customXml" Target="../ink/ink12.xml"/><Relationship Id="rId33" Type="http://schemas.openxmlformats.org/officeDocument/2006/relationships/customXml" Target="../ink/ink32.xml"/><Relationship Id="rId108" Type="http://schemas.openxmlformats.org/officeDocument/2006/relationships/customXml" Target="../ink/ink105.xml"/><Relationship Id="rId129" Type="http://schemas.openxmlformats.org/officeDocument/2006/relationships/customXml" Target="../ink/ink126.xml"/><Relationship Id="rId54" Type="http://schemas.openxmlformats.org/officeDocument/2006/relationships/customXml" Target="../ink/ink51.xml"/><Relationship Id="rId75" Type="http://schemas.openxmlformats.org/officeDocument/2006/relationships/customXml" Target="../ink/ink72.xml"/><Relationship Id="rId96" Type="http://schemas.openxmlformats.org/officeDocument/2006/relationships/customXml" Target="../ink/ink93.xml"/><Relationship Id="rId140" Type="http://schemas.openxmlformats.org/officeDocument/2006/relationships/customXml" Target="../ink/ink137.xml"/><Relationship Id="rId161" Type="http://schemas.openxmlformats.org/officeDocument/2006/relationships/customXml" Target="../ink/ink157.xml"/><Relationship Id="rId182" Type="http://schemas.openxmlformats.org/officeDocument/2006/relationships/customXml" Target="../ink/ink177.xml"/><Relationship Id="rId217" Type="http://schemas.openxmlformats.org/officeDocument/2006/relationships/customXml" Target="../ink/ink209.xml"/><Relationship Id="rId6" Type="http://schemas.openxmlformats.org/officeDocument/2006/relationships/customXml" Target="../ink/ink6.xml"/><Relationship Id="rId238" Type="http://schemas.openxmlformats.org/officeDocument/2006/relationships/customXml" Target="../ink/ink228.xml"/><Relationship Id="rId259" Type="http://schemas.openxmlformats.org/officeDocument/2006/relationships/customXml" Target="../ink/ink248.xml"/><Relationship Id="rId23" Type="http://schemas.openxmlformats.org/officeDocument/2006/relationships/customXml" Target="../ink/ink22.xml"/><Relationship Id="rId119" Type="http://schemas.openxmlformats.org/officeDocument/2006/relationships/customXml" Target="../ink/ink116.xml"/><Relationship Id="rId44" Type="http://schemas.openxmlformats.org/officeDocument/2006/relationships/customXml" Target="../ink/ink41.xml"/><Relationship Id="rId65" Type="http://schemas.openxmlformats.org/officeDocument/2006/relationships/customXml" Target="../ink/ink62.xml"/><Relationship Id="rId86" Type="http://schemas.openxmlformats.org/officeDocument/2006/relationships/customXml" Target="../ink/ink83.xml"/><Relationship Id="rId130" Type="http://schemas.openxmlformats.org/officeDocument/2006/relationships/customXml" Target="../ink/ink127.xml"/><Relationship Id="rId151" Type="http://schemas.openxmlformats.org/officeDocument/2006/relationships/customXml" Target="../ink/ink147.xml"/><Relationship Id="rId172" Type="http://schemas.openxmlformats.org/officeDocument/2006/relationships/customXml" Target="../ink/ink168.xml"/><Relationship Id="rId193" Type="http://schemas.openxmlformats.org/officeDocument/2006/relationships/customXml" Target="../ink/ink187.xml"/><Relationship Id="rId207" Type="http://schemas.openxmlformats.org/officeDocument/2006/relationships/customXml" Target="../ink/ink200.xml"/><Relationship Id="rId228" Type="http://schemas.openxmlformats.org/officeDocument/2006/relationships/customXml" Target="../ink/ink218.xml"/><Relationship Id="rId249" Type="http://schemas.openxmlformats.org/officeDocument/2006/relationships/customXml" Target="../ink/ink239.xml"/><Relationship Id="rId13" Type="http://schemas.openxmlformats.org/officeDocument/2006/relationships/customXml" Target="../ink/ink13.xml"/><Relationship Id="rId109" Type="http://schemas.openxmlformats.org/officeDocument/2006/relationships/customXml" Target="../ink/ink106.xml"/><Relationship Id="rId260" Type="http://schemas.openxmlformats.org/officeDocument/2006/relationships/customXml" Target="../ink/ink249.xml"/><Relationship Id="rId34" Type="http://schemas.openxmlformats.org/officeDocument/2006/relationships/customXml" Target="../ink/ink33.xml"/><Relationship Id="rId55" Type="http://schemas.openxmlformats.org/officeDocument/2006/relationships/customXml" Target="../ink/ink52.xml"/><Relationship Id="rId76" Type="http://schemas.openxmlformats.org/officeDocument/2006/relationships/customXml" Target="../ink/ink73.xml"/><Relationship Id="rId97" Type="http://schemas.openxmlformats.org/officeDocument/2006/relationships/customXml" Target="../ink/ink94.xml"/><Relationship Id="rId120" Type="http://schemas.openxmlformats.org/officeDocument/2006/relationships/customXml" Target="../ink/ink117.xml"/><Relationship Id="rId141" Type="http://schemas.openxmlformats.org/officeDocument/2006/relationships/customXml" Target="../ink/ink138.xml"/><Relationship Id="rId7" Type="http://schemas.openxmlformats.org/officeDocument/2006/relationships/customXml" Target="../ink/ink7.xml"/><Relationship Id="rId162" Type="http://schemas.openxmlformats.org/officeDocument/2006/relationships/customXml" Target="../ink/ink158.xml"/><Relationship Id="rId183" Type="http://schemas.openxmlformats.org/officeDocument/2006/relationships/customXml" Target="../ink/ink178.xml"/><Relationship Id="rId218" Type="http://schemas.openxmlformats.org/officeDocument/2006/relationships/customXml" Target="../ink/ink210.xml"/><Relationship Id="rId239" Type="http://schemas.openxmlformats.org/officeDocument/2006/relationships/customXml" Target="../ink/ink229.xml"/><Relationship Id="rId250" Type="http://schemas.openxmlformats.org/officeDocument/2006/relationships/customXml" Target="../ink/ink240.xml"/><Relationship Id="rId24" Type="http://schemas.openxmlformats.org/officeDocument/2006/relationships/customXml" Target="../ink/ink23.xml"/><Relationship Id="rId45" Type="http://schemas.openxmlformats.org/officeDocument/2006/relationships/customXml" Target="../ink/ink42.xml"/><Relationship Id="rId66" Type="http://schemas.openxmlformats.org/officeDocument/2006/relationships/customXml" Target="../ink/ink63.xml"/><Relationship Id="rId87" Type="http://schemas.openxmlformats.org/officeDocument/2006/relationships/customXml" Target="../ink/ink84.xml"/><Relationship Id="rId110" Type="http://schemas.openxmlformats.org/officeDocument/2006/relationships/customXml" Target="../ink/ink107.xml"/><Relationship Id="rId131" Type="http://schemas.openxmlformats.org/officeDocument/2006/relationships/customXml" Target="../ink/ink128.xml"/><Relationship Id="rId152" Type="http://schemas.openxmlformats.org/officeDocument/2006/relationships/customXml" Target="../ink/ink148.xml"/><Relationship Id="rId173" Type="http://schemas.openxmlformats.org/officeDocument/2006/relationships/customXml" Target="../ink/ink169.xml"/><Relationship Id="rId194" Type="http://schemas.openxmlformats.org/officeDocument/2006/relationships/customXml" Target="../ink/ink188.xml"/><Relationship Id="rId208" Type="http://schemas.openxmlformats.org/officeDocument/2006/relationships/customXml" Target="../ink/ink201.xml"/><Relationship Id="rId229" Type="http://schemas.openxmlformats.org/officeDocument/2006/relationships/customXml" Target="../ink/ink219.xml"/><Relationship Id="rId240" Type="http://schemas.openxmlformats.org/officeDocument/2006/relationships/customXml" Target="../ink/ink230.xml"/><Relationship Id="rId261" Type="http://schemas.openxmlformats.org/officeDocument/2006/relationships/customXml" Target="../ink/ink250.xml"/><Relationship Id="rId14" Type="http://schemas.openxmlformats.org/officeDocument/2006/relationships/customXml" Target="../ink/ink14.xml"/><Relationship Id="rId35" Type="http://schemas.openxmlformats.org/officeDocument/2006/relationships/customXml" Target="../ink/ink34.xml"/><Relationship Id="rId56" Type="http://schemas.openxmlformats.org/officeDocument/2006/relationships/customXml" Target="../ink/ink53.xml"/><Relationship Id="rId77" Type="http://schemas.openxmlformats.org/officeDocument/2006/relationships/customXml" Target="../ink/ink74.xml"/><Relationship Id="rId100" Type="http://schemas.openxmlformats.org/officeDocument/2006/relationships/customXml" Target="../ink/ink97.xml"/><Relationship Id="rId8" Type="http://schemas.openxmlformats.org/officeDocument/2006/relationships/customXml" Target="../ink/ink8.xml"/><Relationship Id="rId98" Type="http://schemas.openxmlformats.org/officeDocument/2006/relationships/customXml" Target="../ink/ink95.xml"/><Relationship Id="rId121" Type="http://schemas.openxmlformats.org/officeDocument/2006/relationships/customXml" Target="../ink/ink118.xml"/><Relationship Id="rId142" Type="http://schemas.openxmlformats.org/officeDocument/2006/relationships/image" Target="../media/image10.png"/><Relationship Id="rId163" Type="http://schemas.openxmlformats.org/officeDocument/2006/relationships/customXml" Target="../ink/ink159.xml"/><Relationship Id="rId184" Type="http://schemas.openxmlformats.org/officeDocument/2006/relationships/customXml" Target="../ink/ink179.xml"/><Relationship Id="rId219" Type="http://schemas.openxmlformats.org/officeDocument/2006/relationships/image" Target="../media/image10.png"/><Relationship Id="rId230" Type="http://schemas.openxmlformats.org/officeDocument/2006/relationships/customXml" Target="../ink/ink220.xml"/><Relationship Id="rId251" Type="http://schemas.openxmlformats.org/officeDocument/2006/relationships/customXml" Target="../ink/ink241.xml"/><Relationship Id="rId25" Type="http://schemas.openxmlformats.org/officeDocument/2006/relationships/customXml" Target="../ink/ink24.xml"/><Relationship Id="rId46" Type="http://schemas.openxmlformats.org/officeDocument/2006/relationships/customXml" Target="../ink/ink43.xml"/><Relationship Id="rId67" Type="http://schemas.openxmlformats.org/officeDocument/2006/relationships/customXml" Target="../ink/ink64.xml"/><Relationship Id="rId88" Type="http://schemas.openxmlformats.org/officeDocument/2006/relationships/customXml" Target="../ink/ink85.xml"/><Relationship Id="rId111" Type="http://schemas.openxmlformats.org/officeDocument/2006/relationships/customXml" Target="../ink/ink108.xml"/><Relationship Id="rId132" Type="http://schemas.openxmlformats.org/officeDocument/2006/relationships/customXml" Target="../ink/ink129.xml"/><Relationship Id="rId153" Type="http://schemas.openxmlformats.org/officeDocument/2006/relationships/customXml" Target="../ink/ink149.xml"/><Relationship Id="rId174" Type="http://schemas.openxmlformats.org/officeDocument/2006/relationships/customXml" Target="../ink/ink170.xml"/><Relationship Id="rId195" Type="http://schemas.openxmlformats.org/officeDocument/2006/relationships/customXml" Target="../ink/ink189.xml"/><Relationship Id="rId209" Type="http://schemas.openxmlformats.org/officeDocument/2006/relationships/customXml" Target="../ink/ink202.xml"/><Relationship Id="rId220" Type="http://schemas.openxmlformats.org/officeDocument/2006/relationships/customXml" Target="../ink/ink211.xml"/><Relationship Id="rId241" Type="http://schemas.openxmlformats.org/officeDocument/2006/relationships/customXml" Target="../ink/ink231.xml"/><Relationship Id="rId15" Type="http://schemas.openxmlformats.org/officeDocument/2006/relationships/customXml" Target="../ink/ink15.xml"/><Relationship Id="rId36" Type="http://schemas.openxmlformats.org/officeDocument/2006/relationships/customXml" Target="../ink/ink35.xml"/><Relationship Id="rId57" Type="http://schemas.openxmlformats.org/officeDocument/2006/relationships/customXml" Target="../ink/ink54.xml"/><Relationship Id="rId262" Type="http://schemas.openxmlformats.org/officeDocument/2006/relationships/customXml" Target="../ink/ink251.xml"/><Relationship Id="rId78" Type="http://schemas.openxmlformats.org/officeDocument/2006/relationships/customXml" Target="../ink/ink75.xml"/><Relationship Id="rId99" Type="http://schemas.openxmlformats.org/officeDocument/2006/relationships/customXml" Target="../ink/ink96.xml"/><Relationship Id="rId101" Type="http://schemas.openxmlformats.org/officeDocument/2006/relationships/customXml" Target="../ink/ink98.xml"/><Relationship Id="rId122" Type="http://schemas.openxmlformats.org/officeDocument/2006/relationships/customXml" Target="../ink/ink119.xml"/><Relationship Id="rId143" Type="http://schemas.openxmlformats.org/officeDocument/2006/relationships/customXml" Target="../ink/ink139.xml"/><Relationship Id="rId164" Type="http://schemas.openxmlformats.org/officeDocument/2006/relationships/customXml" Target="../ink/ink160.xml"/><Relationship Id="rId185" Type="http://schemas.openxmlformats.org/officeDocument/2006/relationships/customXml" Target="../ink/ink180.xml"/><Relationship Id="rId9" Type="http://schemas.openxmlformats.org/officeDocument/2006/relationships/customXml" Target="../ink/ink9.xml"/><Relationship Id="rId210" Type="http://schemas.openxmlformats.org/officeDocument/2006/relationships/customXml" Target="../ink/ink203.xml"/><Relationship Id="rId26" Type="http://schemas.openxmlformats.org/officeDocument/2006/relationships/customXml" Target="../ink/ink25.xml"/><Relationship Id="rId231" Type="http://schemas.openxmlformats.org/officeDocument/2006/relationships/customXml" Target="../ink/ink221.xml"/><Relationship Id="rId252" Type="http://schemas.openxmlformats.org/officeDocument/2006/relationships/customXml" Target="../ink/ink242.xml"/><Relationship Id="rId47" Type="http://schemas.openxmlformats.org/officeDocument/2006/relationships/customXml" Target="../ink/ink44.xml"/><Relationship Id="rId68" Type="http://schemas.openxmlformats.org/officeDocument/2006/relationships/customXml" Target="../ink/ink65.xml"/><Relationship Id="rId89" Type="http://schemas.openxmlformats.org/officeDocument/2006/relationships/customXml" Target="../ink/ink86.xml"/><Relationship Id="rId112" Type="http://schemas.openxmlformats.org/officeDocument/2006/relationships/customXml" Target="../ink/ink109.xml"/><Relationship Id="rId133" Type="http://schemas.openxmlformats.org/officeDocument/2006/relationships/customXml" Target="../ink/ink130.xml"/><Relationship Id="rId154" Type="http://schemas.openxmlformats.org/officeDocument/2006/relationships/customXml" Target="../ink/ink150.xml"/><Relationship Id="rId175" Type="http://schemas.openxmlformats.org/officeDocument/2006/relationships/customXml" Target="../ink/ink171.xml"/><Relationship Id="rId196" Type="http://schemas.openxmlformats.org/officeDocument/2006/relationships/customXml" Target="../ink/ink190.xml"/><Relationship Id="rId200" Type="http://schemas.openxmlformats.org/officeDocument/2006/relationships/customXml" Target="../ink/ink194.xml"/><Relationship Id="rId16" Type="http://schemas.openxmlformats.org/officeDocument/2006/relationships/customXml" Target="../ink/ink16.xml"/><Relationship Id="rId221" Type="http://schemas.openxmlformats.org/officeDocument/2006/relationships/customXml" Target="../ink/ink212.xml"/><Relationship Id="rId242" Type="http://schemas.openxmlformats.org/officeDocument/2006/relationships/customXml" Target="../ink/ink232.xml"/><Relationship Id="rId37" Type="http://schemas.openxmlformats.org/officeDocument/2006/relationships/customXml" Target="../ink/ink36.xml"/><Relationship Id="rId58" Type="http://schemas.openxmlformats.org/officeDocument/2006/relationships/customXml" Target="../ink/ink55.xml"/><Relationship Id="rId79" Type="http://schemas.openxmlformats.org/officeDocument/2006/relationships/customXml" Target="../ink/ink76.xml"/><Relationship Id="rId102" Type="http://schemas.openxmlformats.org/officeDocument/2006/relationships/customXml" Target="../ink/ink99.xml"/><Relationship Id="rId123" Type="http://schemas.openxmlformats.org/officeDocument/2006/relationships/customXml" Target="../ink/ink120.xml"/><Relationship Id="rId144" Type="http://schemas.openxmlformats.org/officeDocument/2006/relationships/customXml" Target="../ink/ink140.xml"/><Relationship Id="rId90" Type="http://schemas.openxmlformats.org/officeDocument/2006/relationships/customXml" Target="../ink/ink87.xml"/><Relationship Id="rId165" Type="http://schemas.openxmlformats.org/officeDocument/2006/relationships/customXml" Target="../ink/ink161.xml"/><Relationship Id="rId186" Type="http://schemas.openxmlformats.org/officeDocument/2006/relationships/customXml" Target="../ink/ink181.xml"/><Relationship Id="rId211" Type="http://schemas.openxmlformats.org/officeDocument/2006/relationships/customXml" Target="../ink/ink204.xml"/><Relationship Id="rId232" Type="http://schemas.openxmlformats.org/officeDocument/2006/relationships/customXml" Target="../ink/ink222.xml"/><Relationship Id="rId253" Type="http://schemas.openxmlformats.org/officeDocument/2006/relationships/image" Target="../media/image10.png"/><Relationship Id="rId27" Type="http://schemas.openxmlformats.org/officeDocument/2006/relationships/customXml" Target="../ink/ink26.xml"/><Relationship Id="rId48" Type="http://schemas.openxmlformats.org/officeDocument/2006/relationships/customXml" Target="../ink/ink45.xml"/><Relationship Id="rId69" Type="http://schemas.openxmlformats.org/officeDocument/2006/relationships/customXml" Target="../ink/ink66.xml"/><Relationship Id="rId113" Type="http://schemas.openxmlformats.org/officeDocument/2006/relationships/customXml" Target="../ink/ink110.xml"/><Relationship Id="rId134" Type="http://schemas.openxmlformats.org/officeDocument/2006/relationships/customXml" Target="../ink/ink131.xml"/><Relationship Id="rId80" Type="http://schemas.openxmlformats.org/officeDocument/2006/relationships/customXml" Target="../ink/ink77.xml"/><Relationship Id="rId155" Type="http://schemas.openxmlformats.org/officeDocument/2006/relationships/customXml" Target="../ink/ink151.xml"/><Relationship Id="rId176" Type="http://schemas.openxmlformats.org/officeDocument/2006/relationships/customXml" Target="../ink/ink172.xml"/><Relationship Id="rId197" Type="http://schemas.openxmlformats.org/officeDocument/2006/relationships/customXml" Target="../ink/ink191.xml"/><Relationship Id="rId201" Type="http://schemas.openxmlformats.org/officeDocument/2006/relationships/image" Target="../media/image10.png"/><Relationship Id="rId222" Type="http://schemas.openxmlformats.org/officeDocument/2006/relationships/customXml" Target="../ink/ink213.xml"/><Relationship Id="rId243" Type="http://schemas.openxmlformats.org/officeDocument/2006/relationships/customXml" Target="../ink/ink233.xml"/><Relationship Id="rId17" Type="http://schemas.openxmlformats.org/officeDocument/2006/relationships/customXml" Target="../ink/ink17.xml"/><Relationship Id="rId38" Type="http://schemas.openxmlformats.org/officeDocument/2006/relationships/customXml" Target="../ink/ink37.xml"/><Relationship Id="rId59" Type="http://schemas.openxmlformats.org/officeDocument/2006/relationships/customXml" Target="../ink/ink56.xml"/><Relationship Id="rId103" Type="http://schemas.openxmlformats.org/officeDocument/2006/relationships/customXml" Target="../ink/ink100.xml"/><Relationship Id="rId124" Type="http://schemas.openxmlformats.org/officeDocument/2006/relationships/customXml" Target="../ink/ink121.xml"/><Relationship Id="rId70" Type="http://schemas.openxmlformats.org/officeDocument/2006/relationships/customXml" Target="../ink/ink67.xml"/><Relationship Id="rId91" Type="http://schemas.openxmlformats.org/officeDocument/2006/relationships/customXml" Target="../ink/ink88.xml"/><Relationship Id="rId145" Type="http://schemas.openxmlformats.org/officeDocument/2006/relationships/customXml" Target="../ink/ink141.xml"/><Relationship Id="rId166" Type="http://schemas.openxmlformats.org/officeDocument/2006/relationships/customXml" Target="../ink/ink162.xml"/><Relationship Id="rId187" Type="http://schemas.openxmlformats.org/officeDocument/2006/relationships/customXml" Target="../ink/ink182.xml"/><Relationship Id="rId1" Type="http://schemas.openxmlformats.org/officeDocument/2006/relationships/customXml" Target="../ink/ink2.xml"/><Relationship Id="rId212" Type="http://schemas.openxmlformats.org/officeDocument/2006/relationships/customXml" Target="../ink/ink205.xml"/><Relationship Id="rId233" Type="http://schemas.openxmlformats.org/officeDocument/2006/relationships/customXml" Target="../ink/ink223.xml"/><Relationship Id="rId254" Type="http://schemas.openxmlformats.org/officeDocument/2006/relationships/customXml" Target="../ink/ink243.xml"/><Relationship Id="rId28" Type="http://schemas.openxmlformats.org/officeDocument/2006/relationships/customXml" Target="../ink/ink27.xml"/><Relationship Id="rId49" Type="http://schemas.openxmlformats.org/officeDocument/2006/relationships/customXml" Target="../ink/ink46.xml"/><Relationship Id="rId114" Type="http://schemas.openxmlformats.org/officeDocument/2006/relationships/customXml" Target="../ink/ink111.xml"/><Relationship Id="rId60" Type="http://schemas.openxmlformats.org/officeDocument/2006/relationships/customXml" Target="../ink/ink57.xml"/><Relationship Id="rId81" Type="http://schemas.openxmlformats.org/officeDocument/2006/relationships/customXml" Target="../ink/ink78.xml"/><Relationship Id="rId135" Type="http://schemas.openxmlformats.org/officeDocument/2006/relationships/customXml" Target="../ink/ink132.xml"/><Relationship Id="rId156" Type="http://schemas.openxmlformats.org/officeDocument/2006/relationships/customXml" Target="../ink/ink152.xml"/><Relationship Id="rId177" Type="http://schemas.openxmlformats.org/officeDocument/2006/relationships/customXml" Target="../ink/ink173.xml"/><Relationship Id="rId198" Type="http://schemas.openxmlformats.org/officeDocument/2006/relationships/customXml" Target="../ink/ink192.xml"/><Relationship Id="rId202" Type="http://schemas.openxmlformats.org/officeDocument/2006/relationships/customXml" Target="../ink/ink195.xml"/><Relationship Id="rId223" Type="http://schemas.openxmlformats.org/officeDocument/2006/relationships/customXml" Target="../ink/ink214.xml"/><Relationship Id="rId244" Type="http://schemas.openxmlformats.org/officeDocument/2006/relationships/customXml" Target="../ink/ink234.xml"/><Relationship Id="rId18" Type="http://schemas.openxmlformats.org/officeDocument/2006/relationships/customXml" Target="../ink/ink18.xml"/><Relationship Id="rId39" Type="http://schemas.openxmlformats.org/officeDocument/2006/relationships/customXml" Target="../ink/ink38.xml"/><Relationship Id="rId50" Type="http://schemas.openxmlformats.org/officeDocument/2006/relationships/customXml" Target="../ink/ink47.xml"/><Relationship Id="rId104" Type="http://schemas.openxmlformats.org/officeDocument/2006/relationships/customXml" Target="../ink/ink101.xml"/><Relationship Id="rId125" Type="http://schemas.openxmlformats.org/officeDocument/2006/relationships/customXml" Target="../ink/ink122.xml"/><Relationship Id="rId146" Type="http://schemas.openxmlformats.org/officeDocument/2006/relationships/customXml" Target="../ink/ink142.xml"/><Relationship Id="rId167" Type="http://schemas.openxmlformats.org/officeDocument/2006/relationships/customXml" Target="../ink/ink163.xml"/><Relationship Id="rId188" Type="http://schemas.openxmlformats.org/officeDocument/2006/relationships/image" Target="../media/image10.png"/><Relationship Id="rId71" Type="http://schemas.openxmlformats.org/officeDocument/2006/relationships/customXml" Target="../ink/ink68.xml"/><Relationship Id="rId92" Type="http://schemas.openxmlformats.org/officeDocument/2006/relationships/customXml" Target="../ink/ink89.xml"/><Relationship Id="rId213" Type="http://schemas.openxmlformats.org/officeDocument/2006/relationships/customXml" Target="../ink/ink206.xml"/><Relationship Id="rId234" Type="http://schemas.openxmlformats.org/officeDocument/2006/relationships/customXml" Target="../ink/ink224.xml"/><Relationship Id="rId2" Type="http://schemas.openxmlformats.org/officeDocument/2006/relationships/image" Target="../media/image10.png"/><Relationship Id="rId29" Type="http://schemas.openxmlformats.org/officeDocument/2006/relationships/customXml" Target="../ink/ink28.xml"/><Relationship Id="rId255" Type="http://schemas.openxmlformats.org/officeDocument/2006/relationships/customXml" Target="../ink/ink244.xml"/><Relationship Id="rId40" Type="http://schemas.openxmlformats.org/officeDocument/2006/relationships/image" Target="../media/image10.png"/><Relationship Id="rId115" Type="http://schemas.openxmlformats.org/officeDocument/2006/relationships/customXml" Target="../ink/ink112.xml"/><Relationship Id="rId136" Type="http://schemas.openxmlformats.org/officeDocument/2006/relationships/customXml" Target="../ink/ink133.xml"/><Relationship Id="rId157" Type="http://schemas.openxmlformats.org/officeDocument/2006/relationships/customXml" Target="../ink/ink153.xml"/><Relationship Id="rId178" Type="http://schemas.openxmlformats.org/officeDocument/2006/relationships/customXml" Target="../ink/ink174.xml"/><Relationship Id="rId61" Type="http://schemas.openxmlformats.org/officeDocument/2006/relationships/customXml" Target="../ink/ink58.xml"/><Relationship Id="rId82" Type="http://schemas.openxmlformats.org/officeDocument/2006/relationships/customXml" Target="../ink/ink79.xml"/><Relationship Id="rId199" Type="http://schemas.openxmlformats.org/officeDocument/2006/relationships/customXml" Target="../ink/ink193.xml"/><Relationship Id="rId203" Type="http://schemas.openxmlformats.org/officeDocument/2006/relationships/customXml" Target="../ink/ink196.xml"/><Relationship Id="rId19" Type="http://schemas.openxmlformats.org/officeDocument/2006/relationships/image" Target="../media/image10.png"/><Relationship Id="rId224" Type="http://schemas.openxmlformats.org/officeDocument/2006/relationships/image" Target="../media/image10.png"/><Relationship Id="rId245" Type="http://schemas.openxmlformats.org/officeDocument/2006/relationships/customXml" Target="../ink/ink235.xml"/><Relationship Id="rId30" Type="http://schemas.openxmlformats.org/officeDocument/2006/relationships/customXml" Target="../ink/ink29.xml"/><Relationship Id="rId105" Type="http://schemas.openxmlformats.org/officeDocument/2006/relationships/customXml" Target="../ink/ink102.xml"/><Relationship Id="rId126" Type="http://schemas.openxmlformats.org/officeDocument/2006/relationships/customXml" Target="../ink/ink123.xml"/><Relationship Id="rId147" Type="http://schemas.openxmlformats.org/officeDocument/2006/relationships/customXml" Target="../ink/ink143.xml"/><Relationship Id="rId168" Type="http://schemas.openxmlformats.org/officeDocument/2006/relationships/customXml" Target="../ink/ink164.xml"/><Relationship Id="rId51" Type="http://schemas.openxmlformats.org/officeDocument/2006/relationships/customXml" Target="../ink/ink48.xml"/><Relationship Id="rId72" Type="http://schemas.openxmlformats.org/officeDocument/2006/relationships/customXml" Target="../ink/ink69.xml"/><Relationship Id="rId93" Type="http://schemas.openxmlformats.org/officeDocument/2006/relationships/customXml" Target="../ink/ink90.xml"/><Relationship Id="rId189" Type="http://schemas.openxmlformats.org/officeDocument/2006/relationships/customXml" Target="../ink/ink183.xml"/><Relationship Id="rId3" Type="http://schemas.openxmlformats.org/officeDocument/2006/relationships/customXml" Target="../ink/ink3.xml"/><Relationship Id="rId214" Type="http://schemas.openxmlformats.org/officeDocument/2006/relationships/image" Target="../media/image10.png"/><Relationship Id="rId235" Type="http://schemas.openxmlformats.org/officeDocument/2006/relationships/customXml" Target="../ink/ink225.xml"/><Relationship Id="rId256" Type="http://schemas.openxmlformats.org/officeDocument/2006/relationships/customXml" Target="../ink/ink245.xml"/><Relationship Id="rId116" Type="http://schemas.openxmlformats.org/officeDocument/2006/relationships/customXml" Target="../ink/ink113.xml"/><Relationship Id="rId137" Type="http://schemas.openxmlformats.org/officeDocument/2006/relationships/customXml" Target="../ink/ink134.xml"/><Relationship Id="rId158" Type="http://schemas.openxmlformats.org/officeDocument/2006/relationships/customXml" Target="../ink/ink154.xml"/><Relationship Id="rId20" Type="http://schemas.openxmlformats.org/officeDocument/2006/relationships/customXml" Target="../ink/ink19.xml"/><Relationship Id="rId41" Type="http://schemas.openxmlformats.org/officeDocument/2006/relationships/customXml" Target="../ink/ink39.xml"/><Relationship Id="rId62" Type="http://schemas.openxmlformats.org/officeDocument/2006/relationships/customXml" Target="../ink/ink59.xml"/><Relationship Id="rId83" Type="http://schemas.openxmlformats.org/officeDocument/2006/relationships/customXml" Target="../ink/ink80.xml"/><Relationship Id="rId179" Type="http://schemas.openxmlformats.org/officeDocument/2006/relationships/image" Target="../media/image10.png"/><Relationship Id="rId190" Type="http://schemas.openxmlformats.org/officeDocument/2006/relationships/customXml" Target="../ink/ink184.xml"/><Relationship Id="rId204" Type="http://schemas.openxmlformats.org/officeDocument/2006/relationships/customXml" Target="../ink/ink197.xml"/><Relationship Id="rId225" Type="http://schemas.openxmlformats.org/officeDocument/2006/relationships/customXml" Target="../ink/ink215.xml"/><Relationship Id="rId246" Type="http://schemas.openxmlformats.org/officeDocument/2006/relationships/customXml" Target="../ink/ink236.xml"/><Relationship Id="rId106" Type="http://schemas.openxmlformats.org/officeDocument/2006/relationships/customXml" Target="../ink/ink103.xml"/><Relationship Id="rId127" Type="http://schemas.openxmlformats.org/officeDocument/2006/relationships/customXml" Target="../ink/ink124.xml"/><Relationship Id="rId10" Type="http://schemas.openxmlformats.org/officeDocument/2006/relationships/customXml" Target="../ink/ink10.xml"/><Relationship Id="rId31" Type="http://schemas.openxmlformats.org/officeDocument/2006/relationships/customXml" Target="../ink/ink30.xml"/><Relationship Id="rId52" Type="http://schemas.openxmlformats.org/officeDocument/2006/relationships/customXml" Target="../ink/ink49.xml"/><Relationship Id="rId73" Type="http://schemas.openxmlformats.org/officeDocument/2006/relationships/customXml" Target="../ink/ink70.xml"/><Relationship Id="rId94" Type="http://schemas.openxmlformats.org/officeDocument/2006/relationships/customXml" Target="../ink/ink91.xml"/><Relationship Id="rId148" Type="http://schemas.openxmlformats.org/officeDocument/2006/relationships/customXml" Target="../ink/ink144.xml"/><Relationship Id="rId169" Type="http://schemas.openxmlformats.org/officeDocument/2006/relationships/customXml" Target="../ink/ink165.xml"/><Relationship Id="rId4" Type="http://schemas.openxmlformats.org/officeDocument/2006/relationships/customXml" Target="../ink/ink4.xml"/><Relationship Id="rId180" Type="http://schemas.openxmlformats.org/officeDocument/2006/relationships/customXml" Target="../ink/ink175.xml"/><Relationship Id="rId215" Type="http://schemas.openxmlformats.org/officeDocument/2006/relationships/customXml" Target="../ink/ink207.xml"/><Relationship Id="rId236" Type="http://schemas.openxmlformats.org/officeDocument/2006/relationships/customXml" Target="../ink/ink226.xml"/><Relationship Id="rId257" Type="http://schemas.openxmlformats.org/officeDocument/2006/relationships/customXml" Target="../ink/ink246.xml"/><Relationship Id="rId42" Type="http://schemas.openxmlformats.org/officeDocument/2006/relationships/customXml" Target="../ink/ink40.xml"/><Relationship Id="rId84" Type="http://schemas.openxmlformats.org/officeDocument/2006/relationships/customXml" Target="../ink/ink81.xml"/><Relationship Id="rId138" Type="http://schemas.openxmlformats.org/officeDocument/2006/relationships/customXml" Target="../ink/ink135.xml"/></Relationships>
</file>

<file path=xl/drawings/_rels/drawing6.xml.rels><?xml version="1.0" encoding="UTF-8" standalone="yes"?>
<Relationships xmlns="http://schemas.openxmlformats.org/package/2006/relationships"><Relationship Id="rId3" Type="http://schemas.openxmlformats.org/officeDocument/2006/relationships/customXml" Target="../ink/ink253.xml"/><Relationship Id="rId2" Type="http://schemas.openxmlformats.org/officeDocument/2006/relationships/image" Target="../media/image10.png"/><Relationship Id="rId1" Type="http://schemas.openxmlformats.org/officeDocument/2006/relationships/customXml" Target="../ink/ink25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330200</xdr:colOff>
          <xdr:row>3</xdr:row>
          <xdr:rowOff>152400</xdr:rowOff>
        </xdr:from>
        <xdr:to>
          <xdr:col>5</xdr:col>
          <xdr:colOff>330200</xdr:colOff>
          <xdr:row>4</xdr:row>
          <xdr:rowOff>241300</xdr:rowOff>
        </xdr:to>
        <xdr:sp macro="" textlink="">
          <xdr:nvSpPr>
            <xdr:cNvPr id="3073" name="CB_Labor"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Segoe UI" pitchFamily="2"/>
                  <a:cs typeface="Segoe UI" pitchFamily="2"/>
                </a:rPr>
                <a:t>Apply to A, B &amp; G</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4</xdr:row>
          <xdr:rowOff>0</xdr:rowOff>
        </xdr:from>
        <xdr:to>
          <xdr:col>8</xdr:col>
          <xdr:colOff>342900</xdr:colOff>
          <xdr:row>5</xdr:row>
          <xdr:rowOff>0</xdr:rowOff>
        </xdr:to>
        <xdr:sp macro="" textlink="">
          <xdr:nvSpPr>
            <xdr:cNvPr id="3074" name="CB_Expenses"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Segoe UI" pitchFamily="2"/>
                  <a:cs typeface="Segoe UI" pitchFamily="2"/>
                </a:rPr>
                <a:t>Apply to M, N &amp; O</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3</xdr:row>
          <xdr:rowOff>177800</xdr:rowOff>
        </xdr:from>
        <xdr:to>
          <xdr:col>12</xdr:col>
          <xdr:colOff>25400</xdr:colOff>
          <xdr:row>5</xdr:row>
          <xdr:rowOff>0</xdr:rowOff>
        </xdr:to>
        <xdr:sp macro="" textlink="">
          <xdr:nvSpPr>
            <xdr:cNvPr id="3075" name="CB_MarkUp"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Segoe UI" pitchFamily="2"/>
                  <a:cs typeface="Segoe UI" pitchFamily="2"/>
                </a:rPr>
                <a:t>Apply Globally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63500</xdr:colOff>
          <xdr:row>3</xdr:row>
          <xdr:rowOff>177800</xdr:rowOff>
        </xdr:from>
        <xdr:to>
          <xdr:col>15</xdr:col>
          <xdr:colOff>63500</xdr:colOff>
          <xdr:row>5</xdr:row>
          <xdr:rowOff>0</xdr:rowOff>
        </xdr:to>
        <xdr:sp macro="" textlink="">
          <xdr:nvSpPr>
            <xdr:cNvPr id="3076" name="CB_Tax"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Segoe UI" pitchFamily="2"/>
                  <a:cs typeface="Segoe UI" pitchFamily="2"/>
                </a:rPr>
                <a:t>Apply Globally</a:t>
              </a:r>
            </a:p>
          </xdr:txBody>
        </xdr:sp>
        <xdr:clientData fLocksWithSheet="0"/>
      </xdr:twoCellAnchor>
    </mc:Choice>
    <mc:Fallback/>
  </mc:AlternateContent>
  <xdr:twoCellAnchor editAs="oneCell">
    <xdr:from>
      <xdr:col>16</xdr:col>
      <xdr:colOff>57480</xdr:colOff>
      <xdr:row>63</xdr:row>
      <xdr:rowOff>113580</xdr:rowOff>
    </xdr:from>
    <xdr:to>
      <xdr:col>16</xdr:col>
      <xdr:colOff>94200</xdr:colOff>
      <xdr:row>73</xdr:row>
      <xdr:rowOff>18360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0000-000002000000}"/>
                </a:ext>
              </a:extLst>
            </xdr14:cNvPr>
            <xdr14:cNvContentPartPr/>
          </xdr14:nvContentPartPr>
          <xdr14:nvPr macro=""/>
          <xdr14:xfrm>
            <a:off x="5696280" y="11157818"/>
            <a:ext cx="36720" cy="18360"/>
          </xdr14:xfrm>
        </xdr:contentPart>
      </mc:Choice>
      <mc:Fallback xmlns="">
        <xdr:pic>
          <xdr:nvPicPr>
            <xdr:cNvPr id="2" name="Ink 1">
              <a:extLst>
                <a:ext uri="{FF2B5EF4-FFF2-40B4-BE49-F238E27FC236}">
                  <a16:creationId xmlns:a16="http://schemas.microsoft.com/office/drawing/2014/main" id="{D2D397E0-E464-4338-8C20-86AE94A9AAD6}"/>
                </a:ext>
              </a:extLst>
            </xdr:cNvPr>
            <xdr:cNvPicPr/>
          </xdr:nvPicPr>
          <xdr:blipFill>
            <a:blip xmlns:r="http://schemas.openxmlformats.org/officeDocument/2006/relationships" r:embed="rId2"/>
            <a:stretch>
              <a:fillRect/>
            </a:stretch>
          </xdr:blipFill>
          <xdr:spPr>
            <a:xfrm>
              <a:off x="5687640" y="11148818"/>
              <a:ext cx="54360" cy="36000"/>
            </a:xfrm>
            <a:prstGeom prst="rect">
              <a:avLst/>
            </a:prstGeom>
          </xdr:spPr>
        </xdr:pic>
      </mc:Fallback>
    </mc:AlternateContent>
    <xdr:clientData/>
  </xdr:twoCellAnchor>
  <xdr:twoCellAnchor>
    <xdr:from>
      <xdr:col>29</xdr:col>
      <xdr:colOff>109539</xdr:colOff>
      <xdr:row>1</xdr:row>
      <xdr:rowOff>42842</xdr:rowOff>
    </xdr:from>
    <xdr:to>
      <xdr:col>32</xdr:col>
      <xdr:colOff>200026</xdr:colOff>
      <xdr:row>2</xdr:row>
      <xdr:rowOff>123805</xdr:rowOff>
    </xdr:to>
    <xdr:sp macro="[0]!ThisWorkbook.ClearBid" textlink="">
      <xdr:nvSpPr>
        <xdr:cNvPr id="9" name="Rectangle: Rounded Corners 8">
          <a:extLst>
            <a:ext uri="{FF2B5EF4-FFF2-40B4-BE49-F238E27FC236}">
              <a16:creationId xmlns:a16="http://schemas.microsoft.com/office/drawing/2014/main" id="{00000000-0008-0000-0000-000009000000}"/>
            </a:ext>
          </a:extLst>
        </xdr:cNvPr>
        <xdr:cNvSpPr/>
      </xdr:nvSpPr>
      <xdr:spPr>
        <a:xfrm>
          <a:off x="10329864" y="242867"/>
          <a:ext cx="1147762" cy="280988"/>
        </a:xfrm>
        <a:prstGeom prst="roundRect">
          <a:avLst/>
        </a:prstGeom>
        <a:solidFill>
          <a:schemeClr val="bg1">
            <a:lumMod val="85000"/>
          </a:schemeClr>
        </a:solidFill>
        <a:ln>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000">
              <a:solidFill>
                <a:schemeClr val="tx1">
                  <a:lumMod val="65000"/>
                  <a:lumOff val="35000"/>
                </a:schemeClr>
              </a:solidFill>
              <a:latin typeface="Georgia" panose="02040502050405020303" pitchFamily="18" charset="0"/>
            </a:rPr>
            <a:t>Clear Bid Values</a:t>
          </a:r>
        </a:p>
      </xdr:txBody>
    </xdr:sp>
    <xdr:clientData fPrintsWithSheet="0"/>
  </xdr:twoCellAnchor>
  <xdr:twoCellAnchor>
    <xdr:from>
      <xdr:col>29</xdr:col>
      <xdr:colOff>119064</xdr:colOff>
      <xdr:row>3</xdr:row>
      <xdr:rowOff>66654</xdr:rowOff>
    </xdr:from>
    <xdr:to>
      <xdr:col>32</xdr:col>
      <xdr:colOff>209551</xdr:colOff>
      <xdr:row>4</xdr:row>
      <xdr:rowOff>180955</xdr:rowOff>
    </xdr:to>
    <xdr:sp macro="[0]!ThisWorkbook.clearJob" textlink="">
      <xdr:nvSpPr>
        <xdr:cNvPr id="8" name="Rectangle: Rounded Corners 7">
          <a:extLst>
            <a:ext uri="{FF2B5EF4-FFF2-40B4-BE49-F238E27FC236}">
              <a16:creationId xmlns:a16="http://schemas.microsoft.com/office/drawing/2014/main" id="{00000000-0008-0000-0000-000008000000}"/>
            </a:ext>
          </a:extLst>
        </xdr:cNvPr>
        <xdr:cNvSpPr/>
      </xdr:nvSpPr>
      <xdr:spPr>
        <a:xfrm>
          <a:off x="10339389" y="633392"/>
          <a:ext cx="1147762" cy="280988"/>
        </a:xfrm>
        <a:prstGeom prst="roundRect">
          <a:avLst/>
        </a:prstGeom>
        <a:solidFill>
          <a:schemeClr val="bg1">
            <a:lumMod val="85000"/>
          </a:schemeClr>
        </a:solidFill>
        <a:ln>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000">
              <a:solidFill>
                <a:schemeClr val="tx1">
                  <a:lumMod val="65000"/>
                  <a:lumOff val="35000"/>
                </a:schemeClr>
              </a:solidFill>
              <a:latin typeface="Georgia" panose="02040502050405020303" pitchFamily="18" charset="0"/>
            </a:rPr>
            <a:t>Clear Bid</a:t>
          </a:r>
          <a:r>
            <a:rPr lang="en-US" sz="1000" baseline="0">
              <a:solidFill>
                <a:schemeClr val="tx1">
                  <a:lumMod val="65000"/>
                  <a:lumOff val="35000"/>
                </a:schemeClr>
              </a:solidFill>
              <a:latin typeface="Georgia" panose="02040502050405020303" pitchFamily="18" charset="0"/>
            </a:rPr>
            <a:t> Info</a:t>
          </a:r>
          <a:endParaRPr lang="en-US" sz="1000">
            <a:solidFill>
              <a:schemeClr val="tx1">
                <a:lumMod val="65000"/>
                <a:lumOff val="35000"/>
              </a:schemeClr>
            </a:solidFill>
            <a:latin typeface="Georgia" panose="02040502050405020303" pitchFamily="18" charset="0"/>
          </a:endParaRPr>
        </a:p>
      </xdr:txBody>
    </xdr:sp>
    <xdr:clientData fPrintsWithSheet="0"/>
  </xdr:twoCellAnchor>
  <xdr:twoCellAnchor>
    <xdr:from>
      <xdr:col>29</xdr:col>
      <xdr:colOff>119064</xdr:colOff>
      <xdr:row>5</xdr:row>
      <xdr:rowOff>23791</xdr:rowOff>
    </xdr:from>
    <xdr:to>
      <xdr:col>32</xdr:col>
      <xdr:colOff>209551</xdr:colOff>
      <xdr:row>6</xdr:row>
      <xdr:rowOff>138092</xdr:rowOff>
    </xdr:to>
    <xdr:sp macro="[0]!Sheet1.chooseSections" textlink="">
      <xdr:nvSpPr>
        <xdr:cNvPr id="10" name="Rectangle: Rounded Corners 9">
          <a:extLst>
            <a:ext uri="{FF2B5EF4-FFF2-40B4-BE49-F238E27FC236}">
              <a16:creationId xmlns:a16="http://schemas.microsoft.com/office/drawing/2014/main" id="{00000000-0008-0000-0000-00000A000000}"/>
            </a:ext>
          </a:extLst>
        </xdr:cNvPr>
        <xdr:cNvSpPr/>
      </xdr:nvSpPr>
      <xdr:spPr>
        <a:xfrm>
          <a:off x="10339389" y="1019154"/>
          <a:ext cx="1147762" cy="280988"/>
        </a:xfrm>
        <a:prstGeom prst="roundRect">
          <a:avLst/>
        </a:prstGeom>
        <a:solidFill>
          <a:schemeClr val="bg1">
            <a:lumMod val="85000"/>
          </a:schemeClr>
        </a:solidFill>
        <a:ln>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000">
              <a:solidFill>
                <a:schemeClr val="tx1">
                  <a:lumMod val="65000"/>
                  <a:lumOff val="35000"/>
                </a:schemeClr>
              </a:solidFill>
              <a:latin typeface="Georgia" panose="02040502050405020303" pitchFamily="18" charset="0"/>
            </a:rPr>
            <a:t>Select Sections</a:t>
          </a:r>
        </a:p>
      </xdr:txBody>
    </xdr:sp>
    <xdr:clientData fPrintsWithSheet="0"/>
  </xdr:twoCellAnchor>
  <xdr:twoCellAnchor>
    <xdr:from>
      <xdr:col>29</xdr:col>
      <xdr:colOff>119064</xdr:colOff>
      <xdr:row>7</xdr:row>
      <xdr:rowOff>23791</xdr:rowOff>
    </xdr:from>
    <xdr:to>
      <xdr:col>32</xdr:col>
      <xdr:colOff>209551</xdr:colOff>
      <xdr:row>7</xdr:row>
      <xdr:rowOff>311274</xdr:rowOff>
    </xdr:to>
    <xdr:sp macro="[0]!justSave" textlink="">
      <xdr:nvSpPr>
        <xdr:cNvPr id="11" name="Rectangle: Rounded Corners 9">
          <a:extLst>
            <a:ext uri="{FF2B5EF4-FFF2-40B4-BE49-F238E27FC236}">
              <a16:creationId xmlns:a16="http://schemas.microsoft.com/office/drawing/2014/main" id="{00000000-0008-0000-0000-00000B000000}"/>
            </a:ext>
          </a:extLst>
        </xdr:cNvPr>
        <xdr:cNvSpPr/>
      </xdr:nvSpPr>
      <xdr:spPr>
        <a:xfrm>
          <a:off x="10498428" y="1420791"/>
          <a:ext cx="1164214" cy="287483"/>
        </a:xfrm>
        <a:prstGeom prst="roundRect">
          <a:avLst/>
        </a:prstGeom>
        <a:solidFill>
          <a:schemeClr val="bg1">
            <a:lumMod val="85000"/>
          </a:schemeClr>
        </a:solidFill>
        <a:ln>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000">
              <a:solidFill>
                <a:schemeClr val="tx1">
                  <a:lumMod val="65000"/>
                  <a:lumOff val="35000"/>
                </a:schemeClr>
              </a:solidFill>
              <a:latin typeface="Georgia" panose="02040502050405020303" pitchFamily="18" charset="0"/>
            </a:rPr>
            <a:t>Export for</a:t>
          </a:r>
          <a:r>
            <a:rPr lang="en-US" sz="1000" baseline="0">
              <a:solidFill>
                <a:schemeClr val="tx1">
                  <a:lumMod val="65000"/>
                  <a:lumOff val="35000"/>
                </a:schemeClr>
              </a:solidFill>
              <a:latin typeface="Georgia" panose="02040502050405020303" pitchFamily="18" charset="0"/>
            </a:rPr>
            <a:t> ABID</a:t>
          </a:r>
          <a:endParaRPr lang="en-US" sz="1000">
            <a:solidFill>
              <a:schemeClr val="tx1">
                <a:lumMod val="65000"/>
                <a:lumOff val="35000"/>
              </a:schemeClr>
            </a:solidFill>
            <a:latin typeface="Georgia" panose="02040502050405020303" pitchFamily="18" charset="0"/>
          </a:endParaRP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absolute">
    <xdr:from>
      <xdr:col>2</xdr:col>
      <xdr:colOff>5951</xdr:colOff>
      <xdr:row>6</xdr:row>
      <xdr:rowOff>28575</xdr:rowOff>
    </xdr:from>
    <xdr:to>
      <xdr:col>7</xdr:col>
      <xdr:colOff>48815</xdr:colOff>
      <xdr:row>7</xdr:row>
      <xdr:rowOff>180404</xdr:rowOff>
    </xdr:to>
    <xdr:sp macro="[0]!Sheet3.matchB" textlink="">
      <xdr:nvSpPr>
        <xdr:cNvPr id="4" name="Rectangle: Rounded Corners 3">
          <a:extLst>
            <a:ext uri="{FF2B5EF4-FFF2-40B4-BE49-F238E27FC236}">
              <a16:creationId xmlns:a16="http://schemas.microsoft.com/office/drawing/2014/main" id="{00000000-0008-0000-0200-000004000000}"/>
            </a:ext>
          </a:extLst>
        </xdr:cNvPr>
        <xdr:cNvSpPr/>
      </xdr:nvSpPr>
      <xdr:spPr>
        <a:xfrm>
          <a:off x="710801" y="1009650"/>
          <a:ext cx="1804989" cy="351854"/>
        </a:xfrm>
        <a:prstGeom prst="roundRect">
          <a:avLst/>
        </a:prstGeom>
        <a:solidFill>
          <a:schemeClr val="bg1">
            <a:lumMod val="85000"/>
          </a:schemeClr>
        </a:solidFill>
        <a:ln>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300">
              <a:solidFill>
                <a:schemeClr val="tx1">
                  <a:lumMod val="65000"/>
                  <a:lumOff val="35000"/>
                </a:schemeClr>
              </a:solidFill>
              <a:latin typeface="Georgia" panose="02040502050405020303" pitchFamily="18" charset="0"/>
            </a:rPr>
            <a:t>Match</a:t>
          </a:r>
          <a:r>
            <a:rPr lang="en-US" sz="1300" baseline="0">
              <a:solidFill>
                <a:schemeClr val="tx1">
                  <a:lumMod val="65000"/>
                  <a:lumOff val="35000"/>
                </a:schemeClr>
              </a:solidFill>
              <a:latin typeface="Georgia" panose="02040502050405020303" pitchFamily="18" charset="0"/>
            </a:rPr>
            <a:t> to B Rates</a:t>
          </a:r>
          <a:endParaRPr lang="en-US" sz="1300">
            <a:solidFill>
              <a:schemeClr val="tx1">
                <a:lumMod val="65000"/>
                <a:lumOff val="35000"/>
              </a:schemeClr>
            </a:solidFill>
            <a:latin typeface="Georgia" panose="02040502050405020303" pitchFamily="18" charset="0"/>
          </a:endParaRP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xdr:from>
      <xdr:col>1</xdr:col>
      <xdr:colOff>352423</xdr:colOff>
      <xdr:row>6</xdr:row>
      <xdr:rowOff>23813</xdr:rowOff>
    </xdr:from>
    <xdr:to>
      <xdr:col>7</xdr:col>
      <xdr:colOff>36908</xdr:colOff>
      <xdr:row>7</xdr:row>
      <xdr:rowOff>169069</xdr:rowOff>
    </xdr:to>
    <xdr:sp macro="[0]!Sheet4.matchA" textlink="">
      <xdr:nvSpPr>
        <xdr:cNvPr id="3" name="Rectangle: Rounded Corners 2">
          <a:extLst>
            <a:ext uri="{FF2B5EF4-FFF2-40B4-BE49-F238E27FC236}">
              <a16:creationId xmlns:a16="http://schemas.microsoft.com/office/drawing/2014/main" id="{00000000-0008-0000-0300-000003000000}"/>
            </a:ext>
          </a:extLst>
        </xdr:cNvPr>
        <xdr:cNvSpPr/>
      </xdr:nvSpPr>
      <xdr:spPr>
        <a:xfrm>
          <a:off x="704848" y="1014413"/>
          <a:ext cx="1799035" cy="354806"/>
        </a:xfrm>
        <a:prstGeom prst="roundRect">
          <a:avLst/>
        </a:prstGeom>
        <a:solidFill>
          <a:schemeClr val="bg1">
            <a:lumMod val="85000"/>
          </a:schemeClr>
        </a:solidFill>
        <a:ln>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300">
              <a:solidFill>
                <a:schemeClr val="tx1">
                  <a:lumMod val="65000"/>
                  <a:lumOff val="35000"/>
                </a:schemeClr>
              </a:solidFill>
              <a:latin typeface="Georgia" panose="02040502050405020303" pitchFamily="18" charset="0"/>
            </a:rPr>
            <a:t>Match</a:t>
          </a:r>
          <a:r>
            <a:rPr lang="en-US" sz="1300" baseline="0">
              <a:solidFill>
                <a:schemeClr val="tx1">
                  <a:lumMod val="65000"/>
                  <a:lumOff val="35000"/>
                </a:schemeClr>
              </a:solidFill>
              <a:latin typeface="Georgia" panose="02040502050405020303" pitchFamily="18" charset="0"/>
            </a:rPr>
            <a:t> to A Rates</a:t>
          </a:r>
          <a:endParaRPr lang="en-US" sz="1300">
            <a:solidFill>
              <a:schemeClr val="tx1">
                <a:lumMod val="65000"/>
                <a:lumOff val="35000"/>
              </a:schemeClr>
            </a:solidFill>
            <a:latin typeface="Georgia" panose="02040502050405020303" pitchFamily="18" charset="0"/>
          </a:endParaRP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2</xdr:col>
      <xdr:colOff>11545</xdr:colOff>
      <xdr:row>4</xdr:row>
      <xdr:rowOff>34636</xdr:rowOff>
    </xdr:from>
    <xdr:to>
      <xdr:col>7</xdr:col>
      <xdr:colOff>54409</xdr:colOff>
      <xdr:row>5</xdr:row>
      <xdr:rowOff>186465</xdr:rowOff>
    </xdr:to>
    <xdr:sp macro="[0]!show2" textlink="">
      <xdr:nvSpPr>
        <xdr:cNvPr id="2" name="Page2_o">
          <a:extLst>
            <a:ext uri="{FF2B5EF4-FFF2-40B4-BE49-F238E27FC236}">
              <a16:creationId xmlns:a16="http://schemas.microsoft.com/office/drawing/2014/main" id="{00000000-0008-0000-0800-000002000000}"/>
            </a:ext>
          </a:extLst>
        </xdr:cNvPr>
        <xdr:cNvSpPr/>
      </xdr:nvSpPr>
      <xdr:spPr>
        <a:xfrm>
          <a:off x="727363" y="611909"/>
          <a:ext cx="1832410" cy="359647"/>
        </a:xfrm>
        <a:prstGeom prst="roundRect">
          <a:avLst/>
        </a:prstGeom>
        <a:solidFill>
          <a:schemeClr val="bg1">
            <a:lumMod val="85000"/>
          </a:schemeClr>
        </a:solidFill>
        <a:ln>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300">
              <a:solidFill>
                <a:schemeClr val="tx1">
                  <a:lumMod val="65000"/>
                  <a:lumOff val="35000"/>
                </a:schemeClr>
              </a:solidFill>
              <a:latin typeface="Georgia" panose="02040502050405020303" pitchFamily="18" charset="0"/>
            </a:rPr>
            <a:t>Hide Page 2</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editAs="oneCell">
    <xdr:from>
      <xdr:col>27</xdr:col>
      <xdr:colOff>0</xdr:colOff>
      <xdr:row>10</xdr:row>
      <xdr:rowOff>109290</xdr:rowOff>
    </xdr:from>
    <xdr:to>
      <xdr:col>27</xdr:col>
      <xdr:colOff>360</xdr:colOff>
      <xdr:row>10</xdr:row>
      <xdr:rowOff>109650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100-000002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
            <a:stretch>
              <a:fillRect/>
            </a:stretch>
          </xdr:blipFill>
          <xdr:spPr>
            <a:xfrm>
              <a:off x="11354400" y="1377000"/>
              <a:ext cx="18000" cy="18000"/>
            </a:xfrm>
            <a:prstGeom prst="rect">
              <a:avLst/>
            </a:prstGeom>
          </xdr:spPr>
        </xdr:pic>
      </mc:Fallback>
    </mc:AlternateContent>
    <xdr:clientData/>
  </xdr:twoCellAnchor>
  <xdr:oneCellAnchor>
    <xdr:from>
      <xdr:col>31</xdr:col>
      <xdr:colOff>0</xdr:colOff>
      <xdr:row>10</xdr:row>
      <xdr:rowOff>109290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3" name="Ink 2">
              <a:extLst>
                <a:ext uri="{FF2B5EF4-FFF2-40B4-BE49-F238E27FC236}">
                  <a16:creationId xmlns:a16="http://schemas.microsoft.com/office/drawing/2014/main" id="{00000000-0008-0000-1100-000003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21</xdr:row>
      <xdr:rowOff>109290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4">
          <xdr14:nvContentPartPr>
            <xdr14:cNvPr id="4" name="Ink 3">
              <a:extLst>
                <a:ext uri="{FF2B5EF4-FFF2-40B4-BE49-F238E27FC236}">
                  <a16:creationId xmlns:a16="http://schemas.microsoft.com/office/drawing/2014/main" id="{00000000-0008-0000-1100-000004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21</xdr:row>
      <xdr:rowOff>109290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5">
          <xdr14:nvContentPartPr>
            <xdr14:cNvPr id="5" name="Ink 4">
              <a:extLst>
                <a:ext uri="{FF2B5EF4-FFF2-40B4-BE49-F238E27FC236}">
                  <a16:creationId xmlns:a16="http://schemas.microsoft.com/office/drawing/2014/main" id="{00000000-0008-0000-1100-000005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28</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6">
          <xdr14:nvContentPartPr>
            <xdr14:cNvPr id="6" name="Ink 5">
              <a:extLst>
                <a:ext uri="{FF2B5EF4-FFF2-40B4-BE49-F238E27FC236}">
                  <a16:creationId xmlns:a16="http://schemas.microsoft.com/office/drawing/2014/main" id="{00000000-0008-0000-1100-000006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28</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7">
          <xdr14:nvContentPartPr>
            <xdr14:cNvPr id="7" name="Ink 6">
              <a:extLst>
                <a:ext uri="{FF2B5EF4-FFF2-40B4-BE49-F238E27FC236}">
                  <a16:creationId xmlns:a16="http://schemas.microsoft.com/office/drawing/2014/main" id="{00000000-0008-0000-1100-000007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8">
          <xdr14:nvContentPartPr>
            <xdr14:cNvPr id="8" name="Ink 7">
              <a:extLst>
                <a:ext uri="{FF2B5EF4-FFF2-40B4-BE49-F238E27FC236}">
                  <a16:creationId xmlns:a16="http://schemas.microsoft.com/office/drawing/2014/main" id="{00000000-0008-0000-1100-000008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9">
          <xdr14:nvContentPartPr>
            <xdr14:cNvPr id="9" name="Ink 8">
              <a:extLst>
                <a:ext uri="{FF2B5EF4-FFF2-40B4-BE49-F238E27FC236}">
                  <a16:creationId xmlns:a16="http://schemas.microsoft.com/office/drawing/2014/main" id="{00000000-0008-0000-1100-000009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0">
          <xdr14:nvContentPartPr>
            <xdr14:cNvPr id="10" name="Ink 9">
              <a:extLst>
                <a:ext uri="{FF2B5EF4-FFF2-40B4-BE49-F238E27FC236}">
                  <a16:creationId xmlns:a16="http://schemas.microsoft.com/office/drawing/2014/main" id="{00000000-0008-0000-1100-00000A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1">
          <xdr14:nvContentPartPr>
            <xdr14:cNvPr id="11" name="Ink 10">
              <a:extLst>
                <a:ext uri="{FF2B5EF4-FFF2-40B4-BE49-F238E27FC236}">
                  <a16:creationId xmlns:a16="http://schemas.microsoft.com/office/drawing/2014/main" id="{00000000-0008-0000-1100-00000B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2">
          <xdr14:nvContentPartPr>
            <xdr14:cNvPr id="12" name="Ink 11">
              <a:extLst>
                <a:ext uri="{FF2B5EF4-FFF2-40B4-BE49-F238E27FC236}">
                  <a16:creationId xmlns:a16="http://schemas.microsoft.com/office/drawing/2014/main" id="{00000000-0008-0000-1100-00000C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3">
          <xdr14:nvContentPartPr>
            <xdr14:cNvPr id="13" name="Ink 12">
              <a:extLst>
                <a:ext uri="{FF2B5EF4-FFF2-40B4-BE49-F238E27FC236}">
                  <a16:creationId xmlns:a16="http://schemas.microsoft.com/office/drawing/2014/main" id="{00000000-0008-0000-1100-00000D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4">
          <xdr14:nvContentPartPr>
            <xdr14:cNvPr id="14" name="Ink 13">
              <a:extLst>
                <a:ext uri="{FF2B5EF4-FFF2-40B4-BE49-F238E27FC236}">
                  <a16:creationId xmlns:a16="http://schemas.microsoft.com/office/drawing/2014/main" id="{00000000-0008-0000-1100-00000E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5">
          <xdr14:nvContentPartPr>
            <xdr14:cNvPr id="15" name="Ink 14">
              <a:extLst>
                <a:ext uri="{FF2B5EF4-FFF2-40B4-BE49-F238E27FC236}">
                  <a16:creationId xmlns:a16="http://schemas.microsoft.com/office/drawing/2014/main" id="{00000000-0008-0000-1100-00000F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6">
          <xdr14:nvContentPartPr>
            <xdr14:cNvPr id="16" name="Ink 15">
              <a:extLst>
                <a:ext uri="{FF2B5EF4-FFF2-40B4-BE49-F238E27FC236}">
                  <a16:creationId xmlns:a16="http://schemas.microsoft.com/office/drawing/2014/main" id="{00000000-0008-0000-1100-000010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7">
          <xdr14:nvContentPartPr>
            <xdr14:cNvPr id="17" name="Ink 16">
              <a:extLst>
                <a:ext uri="{FF2B5EF4-FFF2-40B4-BE49-F238E27FC236}">
                  <a16:creationId xmlns:a16="http://schemas.microsoft.com/office/drawing/2014/main" id="{00000000-0008-0000-1100-000011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8">
          <xdr14:nvContentPartPr>
            <xdr14:cNvPr id="18" name="Ink 17">
              <a:extLst>
                <a:ext uri="{FF2B5EF4-FFF2-40B4-BE49-F238E27FC236}">
                  <a16:creationId xmlns:a16="http://schemas.microsoft.com/office/drawing/2014/main" id="{00000000-0008-0000-1100-000012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9"/>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0">
          <xdr14:nvContentPartPr>
            <xdr14:cNvPr id="19" name="Ink 18">
              <a:extLst>
                <a:ext uri="{FF2B5EF4-FFF2-40B4-BE49-F238E27FC236}">
                  <a16:creationId xmlns:a16="http://schemas.microsoft.com/office/drawing/2014/main" id="{00000000-0008-0000-1100-000013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9"/>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1">
          <xdr14:nvContentPartPr>
            <xdr14:cNvPr id="20" name="Ink 19">
              <a:extLst>
                <a:ext uri="{FF2B5EF4-FFF2-40B4-BE49-F238E27FC236}">
                  <a16:creationId xmlns:a16="http://schemas.microsoft.com/office/drawing/2014/main" id="{00000000-0008-0000-1100-000014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9"/>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2">
          <xdr14:nvContentPartPr>
            <xdr14:cNvPr id="21" name="Ink 20">
              <a:extLst>
                <a:ext uri="{FF2B5EF4-FFF2-40B4-BE49-F238E27FC236}">
                  <a16:creationId xmlns:a16="http://schemas.microsoft.com/office/drawing/2014/main" id="{00000000-0008-0000-1100-000015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9"/>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3">
          <xdr14:nvContentPartPr>
            <xdr14:cNvPr id="22" name="Ink 21">
              <a:extLst>
                <a:ext uri="{FF2B5EF4-FFF2-40B4-BE49-F238E27FC236}">
                  <a16:creationId xmlns:a16="http://schemas.microsoft.com/office/drawing/2014/main" id="{00000000-0008-0000-1100-000016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9"/>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4">
          <xdr14:nvContentPartPr>
            <xdr14:cNvPr id="23" name="Ink 22">
              <a:extLst>
                <a:ext uri="{FF2B5EF4-FFF2-40B4-BE49-F238E27FC236}">
                  <a16:creationId xmlns:a16="http://schemas.microsoft.com/office/drawing/2014/main" id="{00000000-0008-0000-1100-000017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9"/>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5">
          <xdr14:nvContentPartPr>
            <xdr14:cNvPr id="24" name="Ink 23">
              <a:extLst>
                <a:ext uri="{FF2B5EF4-FFF2-40B4-BE49-F238E27FC236}">
                  <a16:creationId xmlns:a16="http://schemas.microsoft.com/office/drawing/2014/main" id="{00000000-0008-0000-1100-000018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9"/>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6">
          <xdr14:nvContentPartPr>
            <xdr14:cNvPr id="25" name="Ink 24">
              <a:extLst>
                <a:ext uri="{FF2B5EF4-FFF2-40B4-BE49-F238E27FC236}">
                  <a16:creationId xmlns:a16="http://schemas.microsoft.com/office/drawing/2014/main" id="{00000000-0008-0000-1100-000019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9"/>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7">
          <xdr14:nvContentPartPr>
            <xdr14:cNvPr id="26" name="Ink 25">
              <a:extLst>
                <a:ext uri="{FF2B5EF4-FFF2-40B4-BE49-F238E27FC236}">
                  <a16:creationId xmlns:a16="http://schemas.microsoft.com/office/drawing/2014/main" id="{00000000-0008-0000-1100-00001A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9"/>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8">
          <xdr14:nvContentPartPr>
            <xdr14:cNvPr id="27" name="Ink 26">
              <a:extLst>
                <a:ext uri="{FF2B5EF4-FFF2-40B4-BE49-F238E27FC236}">
                  <a16:creationId xmlns:a16="http://schemas.microsoft.com/office/drawing/2014/main" id="{00000000-0008-0000-1100-00001B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9"/>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9">
          <xdr14:nvContentPartPr>
            <xdr14:cNvPr id="28" name="Ink 27">
              <a:extLst>
                <a:ext uri="{FF2B5EF4-FFF2-40B4-BE49-F238E27FC236}">
                  <a16:creationId xmlns:a16="http://schemas.microsoft.com/office/drawing/2014/main" id="{00000000-0008-0000-1100-00001C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9"/>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30">
          <xdr14:nvContentPartPr>
            <xdr14:cNvPr id="29" name="Ink 28">
              <a:extLst>
                <a:ext uri="{FF2B5EF4-FFF2-40B4-BE49-F238E27FC236}">
                  <a16:creationId xmlns:a16="http://schemas.microsoft.com/office/drawing/2014/main" id="{00000000-0008-0000-1100-00001D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9"/>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31">
          <xdr14:nvContentPartPr>
            <xdr14:cNvPr id="30" name="Ink 29">
              <a:extLst>
                <a:ext uri="{FF2B5EF4-FFF2-40B4-BE49-F238E27FC236}">
                  <a16:creationId xmlns:a16="http://schemas.microsoft.com/office/drawing/2014/main" id="{00000000-0008-0000-1100-00001E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9"/>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32">
          <xdr14:nvContentPartPr>
            <xdr14:cNvPr id="31" name="Ink 30">
              <a:extLst>
                <a:ext uri="{FF2B5EF4-FFF2-40B4-BE49-F238E27FC236}">
                  <a16:creationId xmlns:a16="http://schemas.microsoft.com/office/drawing/2014/main" id="{00000000-0008-0000-1100-00001F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9"/>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33">
          <xdr14:nvContentPartPr>
            <xdr14:cNvPr id="32" name="Ink 31">
              <a:extLst>
                <a:ext uri="{FF2B5EF4-FFF2-40B4-BE49-F238E27FC236}">
                  <a16:creationId xmlns:a16="http://schemas.microsoft.com/office/drawing/2014/main" id="{00000000-0008-0000-1100-000020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9"/>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34">
          <xdr14:nvContentPartPr>
            <xdr14:cNvPr id="33" name="Ink 32">
              <a:extLst>
                <a:ext uri="{FF2B5EF4-FFF2-40B4-BE49-F238E27FC236}">
                  <a16:creationId xmlns:a16="http://schemas.microsoft.com/office/drawing/2014/main" id="{00000000-0008-0000-1100-000021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9"/>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35">
          <xdr14:nvContentPartPr>
            <xdr14:cNvPr id="34" name="Ink 33">
              <a:extLst>
                <a:ext uri="{FF2B5EF4-FFF2-40B4-BE49-F238E27FC236}">
                  <a16:creationId xmlns:a16="http://schemas.microsoft.com/office/drawing/2014/main" id="{00000000-0008-0000-1100-000022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9"/>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36">
          <xdr14:nvContentPartPr>
            <xdr14:cNvPr id="35" name="Ink 34">
              <a:extLst>
                <a:ext uri="{FF2B5EF4-FFF2-40B4-BE49-F238E27FC236}">
                  <a16:creationId xmlns:a16="http://schemas.microsoft.com/office/drawing/2014/main" id="{00000000-0008-0000-1100-000023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9"/>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37">
          <xdr14:nvContentPartPr>
            <xdr14:cNvPr id="36" name="Ink 35">
              <a:extLst>
                <a:ext uri="{FF2B5EF4-FFF2-40B4-BE49-F238E27FC236}">
                  <a16:creationId xmlns:a16="http://schemas.microsoft.com/office/drawing/2014/main" id="{00000000-0008-0000-1100-000024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9"/>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38">
          <xdr14:nvContentPartPr>
            <xdr14:cNvPr id="37" name="Ink 36">
              <a:extLst>
                <a:ext uri="{FF2B5EF4-FFF2-40B4-BE49-F238E27FC236}">
                  <a16:creationId xmlns:a16="http://schemas.microsoft.com/office/drawing/2014/main" id="{00000000-0008-0000-1100-000025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9"/>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39">
          <xdr14:nvContentPartPr>
            <xdr14:cNvPr id="38" name="Ink 37">
              <a:extLst>
                <a:ext uri="{FF2B5EF4-FFF2-40B4-BE49-F238E27FC236}">
                  <a16:creationId xmlns:a16="http://schemas.microsoft.com/office/drawing/2014/main" id="{00000000-0008-0000-1100-000026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0"/>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41">
          <xdr14:nvContentPartPr>
            <xdr14:cNvPr id="39" name="Ink 38">
              <a:extLst>
                <a:ext uri="{FF2B5EF4-FFF2-40B4-BE49-F238E27FC236}">
                  <a16:creationId xmlns:a16="http://schemas.microsoft.com/office/drawing/2014/main" id="{00000000-0008-0000-1100-000027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0"/>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42">
          <xdr14:nvContentPartPr>
            <xdr14:cNvPr id="40" name="Ink 39">
              <a:extLst>
                <a:ext uri="{FF2B5EF4-FFF2-40B4-BE49-F238E27FC236}">
                  <a16:creationId xmlns:a16="http://schemas.microsoft.com/office/drawing/2014/main" id="{00000000-0008-0000-1100-000028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44">
          <xdr14:nvContentPartPr>
            <xdr14:cNvPr id="41" name="Ink 40">
              <a:extLst>
                <a:ext uri="{FF2B5EF4-FFF2-40B4-BE49-F238E27FC236}">
                  <a16:creationId xmlns:a16="http://schemas.microsoft.com/office/drawing/2014/main" id="{00000000-0008-0000-1100-000029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45">
          <xdr14:nvContentPartPr>
            <xdr14:cNvPr id="42" name="Ink 41">
              <a:extLst>
                <a:ext uri="{FF2B5EF4-FFF2-40B4-BE49-F238E27FC236}">
                  <a16:creationId xmlns:a16="http://schemas.microsoft.com/office/drawing/2014/main" id="{00000000-0008-0000-1100-00002A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46">
          <xdr14:nvContentPartPr>
            <xdr14:cNvPr id="43" name="Ink 42">
              <a:extLst>
                <a:ext uri="{FF2B5EF4-FFF2-40B4-BE49-F238E27FC236}">
                  <a16:creationId xmlns:a16="http://schemas.microsoft.com/office/drawing/2014/main" id="{00000000-0008-0000-1100-00002B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47">
          <xdr14:nvContentPartPr>
            <xdr14:cNvPr id="44" name="Ink 43">
              <a:extLst>
                <a:ext uri="{FF2B5EF4-FFF2-40B4-BE49-F238E27FC236}">
                  <a16:creationId xmlns:a16="http://schemas.microsoft.com/office/drawing/2014/main" id="{00000000-0008-0000-1100-00002C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48">
          <xdr14:nvContentPartPr>
            <xdr14:cNvPr id="45" name="Ink 44">
              <a:extLst>
                <a:ext uri="{FF2B5EF4-FFF2-40B4-BE49-F238E27FC236}">
                  <a16:creationId xmlns:a16="http://schemas.microsoft.com/office/drawing/2014/main" id="{00000000-0008-0000-1100-00002D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49">
          <xdr14:nvContentPartPr>
            <xdr14:cNvPr id="46" name="Ink 45">
              <a:extLst>
                <a:ext uri="{FF2B5EF4-FFF2-40B4-BE49-F238E27FC236}">
                  <a16:creationId xmlns:a16="http://schemas.microsoft.com/office/drawing/2014/main" id="{00000000-0008-0000-1100-00002E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50">
          <xdr14:nvContentPartPr>
            <xdr14:cNvPr id="47" name="Ink 46">
              <a:extLst>
                <a:ext uri="{FF2B5EF4-FFF2-40B4-BE49-F238E27FC236}">
                  <a16:creationId xmlns:a16="http://schemas.microsoft.com/office/drawing/2014/main" id="{00000000-0008-0000-1100-00002F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51">
          <xdr14:nvContentPartPr>
            <xdr14:cNvPr id="48" name="Ink 47">
              <a:extLst>
                <a:ext uri="{FF2B5EF4-FFF2-40B4-BE49-F238E27FC236}">
                  <a16:creationId xmlns:a16="http://schemas.microsoft.com/office/drawing/2014/main" id="{00000000-0008-0000-1100-000030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52">
          <xdr14:nvContentPartPr>
            <xdr14:cNvPr id="49" name="Ink 48">
              <a:extLst>
                <a:ext uri="{FF2B5EF4-FFF2-40B4-BE49-F238E27FC236}">
                  <a16:creationId xmlns:a16="http://schemas.microsoft.com/office/drawing/2014/main" id="{00000000-0008-0000-1100-000031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53">
          <xdr14:nvContentPartPr>
            <xdr14:cNvPr id="50" name="Ink 49">
              <a:extLst>
                <a:ext uri="{FF2B5EF4-FFF2-40B4-BE49-F238E27FC236}">
                  <a16:creationId xmlns:a16="http://schemas.microsoft.com/office/drawing/2014/main" id="{00000000-0008-0000-1100-000032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54">
          <xdr14:nvContentPartPr>
            <xdr14:cNvPr id="51" name="Ink 50">
              <a:extLst>
                <a:ext uri="{FF2B5EF4-FFF2-40B4-BE49-F238E27FC236}">
                  <a16:creationId xmlns:a16="http://schemas.microsoft.com/office/drawing/2014/main" id="{00000000-0008-0000-1100-000033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55">
          <xdr14:nvContentPartPr>
            <xdr14:cNvPr id="52" name="Ink 51">
              <a:extLst>
                <a:ext uri="{FF2B5EF4-FFF2-40B4-BE49-F238E27FC236}">
                  <a16:creationId xmlns:a16="http://schemas.microsoft.com/office/drawing/2014/main" id="{00000000-0008-0000-1100-000034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56">
          <xdr14:nvContentPartPr>
            <xdr14:cNvPr id="53" name="Ink 52">
              <a:extLst>
                <a:ext uri="{FF2B5EF4-FFF2-40B4-BE49-F238E27FC236}">
                  <a16:creationId xmlns:a16="http://schemas.microsoft.com/office/drawing/2014/main" id="{00000000-0008-0000-1100-000035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57">
          <xdr14:nvContentPartPr>
            <xdr14:cNvPr id="54" name="Ink 53">
              <a:extLst>
                <a:ext uri="{FF2B5EF4-FFF2-40B4-BE49-F238E27FC236}">
                  <a16:creationId xmlns:a16="http://schemas.microsoft.com/office/drawing/2014/main" id="{00000000-0008-0000-1100-000036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58">
          <xdr14:nvContentPartPr>
            <xdr14:cNvPr id="55" name="Ink 54">
              <a:extLst>
                <a:ext uri="{FF2B5EF4-FFF2-40B4-BE49-F238E27FC236}">
                  <a16:creationId xmlns:a16="http://schemas.microsoft.com/office/drawing/2014/main" id="{00000000-0008-0000-1100-000037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59">
          <xdr14:nvContentPartPr>
            <xdr14:cNvPr id="56" name="Ink 55">
              <a:extLst>
                <a:ext uri="{FF2B5EF4-FFF2-40B4-BE49-F238E27FC236}">
                  <a16:creationId xmlns:a16="http://schemas.microsoft.com/office/drawing/2014/main" id="{00000000-0008-0000-1100-000038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60">
          <xdr14:nvContentPartPr>
            <xdr14:cNvPr id="57" name="Ink 56">
              <a:extLst>
                <a:ext uri="{FF2B5EF4-FFF2-40B4-BE49-F238E27FC236}">
                  <a16:creationId xmlns:a16="http://schemas.microsoft.com/office/drawing/2014/main" id="{00000000-0008-0000-1100-000039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61">
          <xdr14:nvContentPartPr>
            <xdr14:cNvPr id="58" name="Ink 57">
              <a:extLst>
                <a:ext uri="{FF2B5EF4-FFF2-40B4-BE49-F238E27FC236}">
                  <a16:creationId xmlns:a16="http://schemas.microsoft.com/office/drawing/2014/main" id="{00000000-0008-0000-1100-00003A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62">
          <xdr14:nvContentPartPr>
            <xdr14:cNvPr id="59" name="Ink 58">
              <a:extLst>
                <a:ext uri="{FF2B5EF4-FFF2-40B4-BE49-F238E27FC236}">
                  <a16:creationId xmlns:a16="http://schemas.microsoft.com/office/drawing/2014/main" id="{00000000-0008-0000-1100-00003B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63">
          <xdr14:nvContentPartPr>
            <xdr14:cNvPr id="60" name="Ink 59">
              <a:extLst>
                <a:ext uri="{FF2B5EF4-FFF2-40B4-BE49-F238E27FC236}">
                  <a16:creationId xmlns:a16="http://schemas.microsoft.com/office/drawing/2014/main" id="{00000000-0008-0000-1100-00003C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64">
          <xdr14:nvContentPartPr>
            <xdr14:cNvPr id="61" name="Ink 60">
              <a:extLst>
                <a:ext uri="{FF2B5EF4-FFF2-40B4-BE49-F238E27FC236}">
                  <a16:creationId xmlns:a16="http://schemas.microsoft.com/office/drawing/2014/main" id="{00000000-0008-0000-1100-00003D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65">
          <xdr14:nvContentPartPr>
            <xdr14:cNvPr id="62" name="Ink 61">
              <a:extLst>
                <a:ext uri="{FF2B5EF4-FFF2-40B4-BE49-F238E27FC236}">
                  <a16:creationId xmlns:a16="http://schemas.microsoft.com/office/drawing/2014/main" id="{00000000-0008-0000-1100-00003E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66">
          <xdr14:nvContentPartPr>
            <xdr14:cNvPr id="63" name="Ink 62">
              <a:extLst>
                <a:ext uri="{FF2B5EF4-FFF2-40B4-BE49-F238E27FC236}">
                  <a16:creationId xmlns:a16="http://schemas.microsoft.com/office/drawing/2014/main" id="{00000000-0008-0000-1100-00003F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67">
          <xdr14:nvContentPartPr>
            <xdr14:cNvPr id="64" name="Ink 63">
              <a:extLst>
                <a:ext uri="{FF2B5EF4-FFF2-40B4-BE49-F238E27FC236}">
                  <a16:creationId xmlns:a16="http://schemas.microsoft.com/office/drawing/2014/main" id="{00000000-0008-0000-1100-000040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68">
          <xdr14:nvContentPartPr>
            <xdr14:cNvPr id="65" name="Ink 64">
              <a:extLst>
                <a:ext uri="{FF2B5EF4-FFF2-40B4-BE49-F238E27FC236}">
                  <a16:creationId xmlns:a16="http://schemas.microsoft.com/office/drawing/2014/main" id="{00000000-0008-0000-1100-000041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69">
          <xdr14:nvContentPartPr>
            <xdr14:cNvPr id="66" name="Ink 65">
              <a:extLst>
                <a:ext uri="{FF2B5EF4-FFF2-40B4-BE49-F238E27FC236}">
                  <a16:creationId xmlns:a16="http://schemas.microsoft.com/office/drawing/2014/main" id="{00000000-0008-0000-1100-000042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70">
          <xdr14:nvContentPartPr>
            <xdr14:cNvPr id="67" name="Ink 66">
              <a:extLst>
                <a:ext uri="{FF2B5EF4-FFF2-40B4-BE49-F238E27FC236}">
                  <a16:creationId xmlns:a16="http://schemas.microsoft.com/office/drawing/2014/main" id="{00000000-0008-0000-1100-000043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71">
          <xdr14:nvContentPartPr>
            <xdr14:cNvPr id="68" name="Ink 67">
              <a:extLst>
                <a:ext uri="{FF2B5EF4-FFF2-40B4-BE49-F238E27FC236}">
                  <a16:creationId xmlns:a16="http://schemas.microsoft.com/office/drawing/2014/main" id="{00000000-0008-0000-1100-000044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72">
          <xdr14:nvContentPartPr>
            <xdr14:cNvPr id="69" name="Ink 68">
              <a:extLst>
                <a:ext uri="{FF2B5EF4-FFF2-40B4-BE49-F238E27FC236}">
                  <a16:creationId xmlns:a16="http://schemas.microsoft.com/office/drawing/2014/main" id="{00000000-0008-0000-1100-000045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73">
          <xdr14:nvContentPartPr>
            <xdr14:cNvPr id="70" name="Ink 69">
              <a:extLst>
                <a:ext uri="{FF2B5EF4-FFF2-40B4-BE49-F238E27FC236}">
                  <a16:creationId xmlns:a16="http://schemas.microsoft.com/office/drawing/2014/main" id="{00000000-0008-0000-1100-000046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74">
          <xdr14:nvContentPartPr>
            <xdr14:cNvPr id="71" name="Ink 70">
              <a:extLst>
                <a:ext uri="{FF2B5EF4-FFF2-40B4-BE49-F238E27FC236}">
                  <a16:creationId xmlns:a16="http://schemas.microsoft.com/office/drawing/2014/main" id="{00000000-0008-0000-1100-000047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75">
          <xdr14:nvContentPartPr>
            <xdr14:cNvPr id="72" name="Ink 71">
              <a:extLst>
                <a:ext uri="{FF2B5EF4-FFF2-40B4-BE49-F238E27FC236}">
                  <a16:creationId xmlns:a16="http://schemas.microsoft.com/office/drawing/2014/main" id="{00000000-0008-0000-1100-000048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76">
          <xdr14:nvContentPartPr>
            <xdr14:cNvPr id="73" name="Ink 72">
              <a:extLst>
                <a:ext uri="{FF2B5EF4-FFF2-40B4-BE49-F238E27FC236}">
                  <a16:creationId xmlns:a16="http://schemas.microsoft.com/office/drawing/2014/main" id="{00000000-0008-0000-1100-000049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77">
          <xdr14:nvContentPartPr>
            <xdr14:cNvPr id="74" name="Ink 73">
              <a:extLst>
                <a:ext uri="{FF2B5EF4-FFF2-40B4-BE49-F238E27FC236}">
                  <a16:creationId xmlns:a16="http://schemas.microsoft.com/office/drawing/2014/main" id="{00000000-0008-0000-1100-00004A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78">
          <xdr14:nvContentPartPr>
            <xdr14:cNvPr id="75" name="Ink 74">
              <a:extLst>
                <a:ext uri="{FF2B5EF4-FFF2-40B4-BE49-F238E27FC236}">
                  <a16:creationId xmlns:a16="http://schemas.microsoft.com/office/drawing/2014/main" id="{00000000-0008-0000-1100-00004B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79">
          <xdr14:nvContentPartPr>
            <xdr14:cNvPr id="76" name="Ink 75">
              <a:extLst>
                <a:ext uri="{FF2B5EF4-FFF2-40B4-BE49-F238E27FC236}">
                  <a16:creationId xmlns:a16="http://schemas.microsoft.com/office/drawing/2014/main" id="{00000000-0008-0000-1100-00004C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80">
          <xdr14:nvContentPartPr>
            <xdr14:cNvPr id="77" name="Ink 76">
              <a:extLst>
                <a:ext uri="{FF2B5EF4-FFF2-40B4-BE49-F238E27FC236}">
                  <a16:creationId xmlns:a16="http://schemas.microsoft.com/office/drawing/2014/main" id="{00000000-0008-0000-1100-00004D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81">
          <xdr14:nvContentPartPr>
            <xdr14:cNvPr id="78" name="Ink 77">
              <a:extLst>
                <a:ext uri="{FF2B5EF4-FFF2-40B4-BE49-F238E27FC236}">
                  <a16:creationId xmlns:a16="http://schemas.microsoft.com/office/drawing/2014/main" id="{00000000-0008-0000-1100-00004E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82">
          <xdr14:nvContentPartPr>
            <xdr14:cNvPr id="79" name="Ink 78">
              <a:extLst>
                <a:ext uri="{FF2B5EF4-FFF2-40B4-BE49-F238E27FC236}">
                  <a16:creationId xmlns:a16="http://schemas.microsoft.com/office/drawing/2014/main" id="{00000000-0008-0000-1100-00004F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83">
          <xdr14:nvContentPartPr>
            <xdr14:cNvPr id="80" name="Ink 79">
              <a:extLst>
                <a:ext uri="{FF2B5EF4-FFF2-40B4-BE49-F238E27FC236}">
                  <a16:creationId xmlns:a16="http://schemas.microsoft.com/office/drawing/2014/main" id="{00000000-0008-0000-1100-000050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84">
          <xdr14:nvContentPartPr>
            <xdr14:cNvPr id="81" name="Ink 80">
              <a:extLst>
                <a:ext uri="{FF2B5EF4-FFF2-40B4-BE49-F238E27FC236}">
                  <a16:creationId xmlns:a16="http://schemas.microsoft.com/office/drawing/2014/main" id="{00000000-0008-0000-1100-000051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85">
          <xdr14:nvContentPartPr>
            <xdr14:cNvPr id="82" name="Ink 81">
              <a:extLst>
                <a:ext uri="{FF2B5EF4-FFF2-40B4-BE49-F238E27FC236}">
                  <a16:creationId xmlns:a16="http://schemas.microsoft.com/office/drawing/2014/main" id="{00000000-0008-0000-1100-000052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86">
          <xdr14:nvContentPartPr>
            <xdr14:cNvPr id="83" name="Ink 82">
              <a:extLst>
                <a:ext uri="{FF2B5EF4-FFF2-40B4-BE49-F238E27FC236}">
                  <a16:creationId xmlns:a16="http://schemas.microsoft.com/office/drawing/2014/main" id="{00000000-0008-0000-1100-000053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87">
          <xdr14:nvContentPartPr>
            <xdr14:cNvPr id="84" name="Ink 83">
              <a:extLst>
                <a:ext uri="{FF2B5EF4-FFF2-40B4-BE49-F238E27FC236}">
                  <a16:creationId xmlns:a16="http://schemas.microsoft.com/office/drawing/2014/main" id="{00000000-0008-0000-1100-000054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88">
          <xdr14:nvContentPartPr>
            <xdr14:cNvPr id="85" name="Ink 84">
              <a:extLst>
                <a:ext uri="{FF2B5EF4-FFF2-40B4-BE49-F238E27FC236}">
                  <a16:creationId xmlns:a16="http://schemas.microsoft.com/office/drawing/2014/main" id="{00000000-0008-0000-1100-000055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89">
          <xdr14:nvContentPartPr>
            <xdr14:cNvPr id="86" name="Ink 85">
              <a:extLst>
                <a:ext uri="{FF2B5EF4-FFF2-40B4-BE49-F238E27FC236}">
                  <a16:creationId xmlns:a16="http://schemas.microsoft.com/office/drawing/2014/main" id="{00000000-0008-0000-1100-000056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90">
          <xdr14:nvContentPartPr>
            <xdr14:cNvPr id="87" name="Ink 86">
              <a:extLst>
                <a:ext uri="{FF2B5EF4-FFF2-40B4-BE49-F238E27FC236}">
                  <a16:creationId xmlns:a16="http://schemas.microsoft.com/office/drawing/2014/main" id="{00000000-0008-0000-1100-000057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91">
          <xdr14:nvContentPartPr>
            <xdr14:cNvPr id="88" name="Ink 87">
              <a:extLst>
                <a:ext uri="{FF2B5EF4-FFF2-40B4-BE49-F238E27FC236}">
                  <a16:creationId xmlns:a16="http://schemas.microsoft.com/office/drawing/2014/main" id="{00000000-0008-0000-1100-000058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92">
          <xdr14:nvContentPartPr>
            <xdr14:cNvPr id="89" name="Ink 88">
              <a:extLst>
                <a:ext uri="{FF2B5EF4-FFF2-40B4-BE49-F238E27FC236}">
                  <a16:creationId xmlns:a16="http://schemas.microsoft.com/office/drawing/2014/main" id="{00000000-0008-0000-1100-000059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93">
          <xdr14:nvContentPartPr>
            <xdr14:cNvPr id="90" name="Ink 89">
              <a:extLst>
                <a:ext uri="{FF2B5EF4-FFF2-40B4-BE49-F238E27FC236}">
                  <a16:creationId xmlns:a16="http://schemas.microsoft.com/office/drawing/2014/main" id="{00000000-0008-0000-1100-00005A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94">
          <xdr14:nvContentPartPr>
            <xdr14:cNvPr id="91" name="Ink 90">
              <a:extLst>
                <a:ext uri="{FF2B5EF4-FFF2-40B4-BE49-F238E27FC236}">
                  <a16:creationId xmlns:a16="http://schemas.microsoft.com/office/drawing/2014/main" id="{00000000-0008-0000-1100-00005B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95">
          <xdr14:nvContentPartPr>
            <xdr14:cNvPr id="92" name="Ink 91">
              <a:extLst>
                <a:ext uri="{FF2B5EF4-FFF2-40B4-BE49-F238E27FC236}">
                  <a16:creationId xmlns:a16="http://schemas.microsoft.com/office/drawing/2014/main" id="{00000000-0008-0000-1100-00005C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96">
          <xdr14:nvContentPartPr>
            <xdr14:cNvPr id="93" name="Ink 92">
              <a:extLst>
                <a:ext uri="{FF2B5EF4-FFF2-40B4-BE49-F238E27FC236}">
                  <a16:creationId xmlns:a16="http://schemas.microsoft.com/office/drawing/2014/main" id="{00000000-0008-0000-1100-00005D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97">
          <xdr14:nvContentPartPr>
            <xdr14:cNvPr id="94" name="Ink 93">
              <a:extLst>
                <a:ext uri="{FF2B5EF4-FFF2-40B4-BE49-F238E27FC236}">
                  <a16:creationId xmlns:a16="http://schemas.microsoft.com/office/drawing/2014/main" id="{00000000-0008-0000-1100-00005E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98">
          <xdr14:nvContentPartPr>
            <xdr14:cNvPr id="95" name="Ink 94">
              <a:extLst>
                <a:ext uri="{FF2B5EF4-FFF2-40B4-BE49-F238E27FC236}">
                  <a16:creationId xmlns:a16="http://schemas.microsoft.com/office/drawing/2014/main" id="{00000000-0008-0000-1100-00005F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99">
          <xdr14:nvContentPartPr>
            <xdr14:cNvPr id="96" name="Ink 95">
              <a:extLst>
                <a:ext uri="{FF2B5EF4-FFF2-40B4-BE49-F238E27FC236}">
                  <a16:creationId xmlns:a16="http://schemas.microsoft.com/office/drawing/2014/main" id="{00000000-0008-0000-1100-000060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00">
          <xdr14:nvContentPartPr>
            <xdr14:cNvPr id="97" name="Ink 96">
              <a:extLst>
                <a:ext uri="{FF2B5EF4-FFF2-40B4-BE49-F238E27FC236}">
                  <a16:creationId xmlns:a16="http://schemas.microsoft.com/office/drawing/2014/main" id="{00000000-0008-0000-1100-000061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01">
          <xdr14:nvContentPartPr>
            <xdr14:cNvPr id="98" name="Ink 97">
              <a:extLst>
                <a:ext uri="{FF2B5EF4-FFF2-40B4-BE49-F238E27FC236}">
                  <a16:creationId xmlns:a16="http://schemas.microsoft.com/office/drawing/2014/main" id="{00000000-0008-0000-1100-000062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02">
          <xdr14:nvContentPartPr>
            <xdr14:cNvPr id="99" name="Ink 98">
              <a:extLst>
                <a:ext uri="{FF2B5EF4-FFF2-40B4-BE49-F238E27FC236}">
                  <a16:creationId xmlns:a16="http://schemas.microsoft.com/office/drawing/2014/main" id="{00000000-0008-0000-1100-000063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03">
          <xdr14:nvContentPartPr>
            <xdr14:cNvPr id="100" name="Ink 99">
              <a:extLst>
                <a:ext uri="{FF2B5EF4-FFF2-40B4-BE49-F238E27FC236}">
                  <a16:creationId xmlns:a16="http://schemas.microsoft.com/office/drawing/2014/main" id="{00000000-0008-0000-1100-000064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04">
          <xdr14:nvContentPartPr>
            <xdr14:cNvPr id="101" name="Ink 100">
              <a:extLst>
                <a:ext uri="{FF2B5EF4-FFF2-40B4-BE49-F238E27FC236}">
                  <a16:creationId xmlns:a16="http://schemas.microsoft.com/office/drawing/2014/main" id="{00000000-0008-0000-1100-000065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05">
          <xdr14:nvContentPartPr>
            <xdr14:cNvPr id="102" name="Ink 101">
              <a:extLst>
                <a:ext uri="{FF2B5EF4-FFF2-40B4-BE49-F238E27FC236}">
                  <a16:creationId xmlns:a16="http://schemas.microsoft.com/office/drawing/2014/main" id="{00000000-0008-0000-1100-000066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06">
          <xdr14:nvContentPartPr>
            <xdr14:cNvPr id="103" name="Ink 102">
              <a:extLst>
                <a:ext uri="{FF2B5EF4-FFF2-40B4-BE49-F238E27FC236}">
                  <a16:creationId xmlns:a16="http://schemas.microsoft.com/office/drawing/2014/main" id="{00000000-0008-0000-1100-000067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07">
          <xdr14:nvContentPartPr>
            <xdr14:cNvPr id="104" name="Ink 103">
              <a:extLst>
                <a:ext uri="{FF2B5EF4-FFF2-40B4-BE49-F238E27FC236}">
                  <a16:creationId xmlns:a16="http://schemas.microsoft.com/office/drawing/2014/main" id="{00000000-0008-0000-1100-000068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08">
          <xdr14:nvContentPartPr>
            <xdr14:cNvPr id="105" name="Ink 104">
              <a:extLst>
                <a:ext uri="{FF2B5EF4-FFF2-40B4-BE49-F238E27FC236}">
                  <a16:creationId xmlns:a16="http://schemas.microsoft.com/office/drawing/2014/main" id="{00000000-0008-0000-1100-000069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09">
          <xdr14:nvContentPartPr>
            <xdr14:cNvPr id="106" name="Ink 105">
              <a:extLst>
                <a:ext uri="{FF2B5EF4-FFF2-40B4-BE49-F238E27FC236}">
                  <a16:creationId xmlns:a16="http://schemas.microsoft.com/office/drawing/2014/main" id="{00000000-0008-0000-1100-00006A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10">
          <xdr14:nvContentPartPr>
            <xdr14:cNvPr id="107" name="Ink 106">
              <a:extLst>
                <a:ext uri="{FF2B5EF4-FFF2-40B4-BE49-F238E27FC236}">
                  <a16:creationId xmlns:a16="http://schemas.microsoft.com/office/drawing/2014/main" id="{00000000-0008-0000-1100-00006B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11">
          <xdr14:nvContentPartPr>
            <xdr14:cNvPr id="108" name="Ink 107">
              <a:extLst>
                <a:ext uri="{FF2B5EF4-FFF2-40B4-BE49-F238E27FC236}">
                  <a16:creationId xmlns:a16="http://schemas.microsoft.com/office/drawing/2014/main" id="{00000000-0008-0000-1100-00006C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12">
          <xdr14:nvContentPartPr>
            <xdr14:cNvPr id="109" name="Ink 108">
              <a:extLst>
                <a:ext uri="{FF2B5EF4-FFF2-40B4-BE49-F238E27FC236}">
                  <a16:creationId xmlns:a16="http://schemas.microsoft.com/office/drawing/2014/main" id="{00000000-0008-0000-1100-00006D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13">
          <xdr14:nvContentPartPr>
            <xdr14:cNvPr id="110" name="Ink 109">
              <a:extLst>
                <a:ext uri="{FF2B5EF4-FFF2-40B4-BE49-F238E27FC236}">
                  <a16:creationId xmlns:a16="http://schemas.microsoft.com/office/drawing/2014/main" id="{00000000-0008-0000-1100-00006E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14">
          <xdr14:nvContentPartPr>
            <xdr14:cNvPr id="111" name="Ink 110">
              <a:extLst>
                <a:ext uri="{FF2B5EF4-FFF2-40B4-BE49-F238E27FC236}">
                  <a16:creationId xmlns:a16="http://schemas.microsoft.com/office/drawing/2014/main" id="{00000000-0008-0000-1100-00006F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15">
          <xdr14:nvContentPartPr>
            <xdr14:cNvPr id="112" name="Ink 111">
              <a:extLst>
                <a:ext uri="{FF2B5EF4-FFF2-40B4-BE49-F238E27FC236}">
                  <a16:creationId xmlns:a16="http://schemas.microsoft.com/office/drawing/2014/main" id="{00000000-0008-0000-1100-000070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16">
          <xdr14:nvContentPartPr>
            <xdr14:cNvPr id="113" name="Ink 112">
              <a:extLst>
                <a:ext uri="{FF2B5EF4-FFF2-40B4-BE49-F238E27FC236}">
                  <a16:creationId xmlns:a16="http://schemas.microsoft.com/office/drawing/2014/main" id="{00000000-0008-0000-1100-000071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17">
          <xdr14:nvContentPartPr>
            <xdr14:cNvPr id="114" name="Ink 113">
              <a:extLst>
                <a:ext uri="{FF2B5EF4-FFF2-40B4-BE49-F238E27FC236}">
                  <a16:creationId xmlns:a16="http://schemas.microsoft.com/office/drawing/2014/main" id="{00000000-0008-0000-1100-000072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18">
          <xdr14:nvContentPartPr>
            <xdr14:cNvPr id="115" name="Ink 114">
              <a:extLst>
                <a:ext uri="{FF2B5EF4-FFF2-40B4-BE49-F238E27FC236}">
                  <a16:creationId xmlns:a16="http://schemas.microsoft.com/office/drawing/2014/main" id="{00000000-0008-0000-1100-000073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19">
          <xdr14:nvContentPartPr>
            <xdr14:cNvPr id="116" name="Ink 115">
              <a:extLst>
                <a:ext uri="{FF2B5EF4-FFF2-40B4-BE49-F238E27FC236}">
                  <a16:creationId xmlns:a16="http://schemas.microsoft.com/office/drawing/2014/main" id="{00000000-0008-0000-1100-000074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20">
          <xdr14:nvContentPartPr>
            <xdr14:cNvPr id="117" name="Ink 116">
              <a:extLst>
                <a:ext uri="{FF2B5EF4-FFF2-40B4-BE49-F238E27FC236}">
                  <a16:creationId xmlns:a16="http://schemas.microsoft.com/office/drawing/2014/main" id="{00000000-0008-0000-1100-000075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21">
          <xdr14:nvContentPartPr>
            <xdr14:cNvPr id="118" name="Ink 117">
              <a:extLst>
                <a:ext uri="{FF2B5EF4-FFF2-40B4-BE49-F238E27FC236}">
                  <a16:creationId xmlns:a16="http://schemas.microsoft.com/office/drawing/2014/main" id="{00000000-0008-0000-1100-000076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22">
          <xdr14:nvContentPartPr>
            <xdr14:cNvPr id="119" name="Ink 118">
              <a:extLst>
                <a:ext uri="{FF2B5EF4-FFF2-40B4-BE49-F238E27FC236}">
                  <a16:creationId xmlns:a16="http://schemas.microsoft.com/office/drawing/2014/main" id="{00000000-0008-0000-1100-000077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23">
          <xdr14:nvContentPartPr>
            <xdr14:cNvPr id="120" name="Ink 119">
              <a:extLst>
                <a:ext uri="{FF2B5EF4-FFF2-40B4-BE49-F238E27FC236}">
                  <a16:creationId xmlns:a16="http://schemas.microsoft.com/office/drawing/2014/main" id="{00000000-0008-0000-1100-000078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24">
          <xdr14:nvContentPartPr>
            <xdr14:cNvPr id="121" name="Ink 120">
              <a:extLst>
                <a:ext uri="{FF2B5EF4-FFF2-40B4-BE49-F238E27FC236}">
                  <a16:creationId xmlns:a16="http://schemas.microsoft.com/office/drawing/2014/main" id="{00000000-0008-0000-1100-000079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25">
          <xdr14:nvContentPartPr>
            <xdr14:cNvPr id="122" name="Ink 121">
              <a:extLst>
                <a:ext uri="{FF2B5EF4-FFF2-40B4-BE49-F238E27FC236}">
                  <a16:creationId xmlns:a16="http://schemas.microsoft.com/office/drawing/2014/main" id="{00000000-0008-0000-1100-00007A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26">
          <xdr14:nvContentPartPr>
            <xdr14:cNvPr id="123" name="Ink 122">
              <a:extLst>
                <a:ext uri="{FF2B5EF4-FFF2-40B4-BE49-F238E27FC236}">
                  <a16:creationId xmlns:a16="http://schemas.microsoft.com/office/drawing/2014/main" id="{00000000-0008-0000-1100-00007B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27">
          <xdr14:nvContentPartPr>
            <xdr14:cNvPr id="124" name="Ink 123">
              <a:extLst>
                <a:ext uri="{FF2B5EF4-FFF2-40B4-BE49-F238E27FC236}">
                  <a16:creationId xmlns:a16="http://schemas.microsoft.com/office/drawing/2014/main" id="{00000000-0008-0000-1100-00007C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28">
          <xdr14:nvContentPartPr>
            <xdr14:cNvPr id="125" name="Ink 124">
              <a:extLst>
                <a:ext uri="{FF2B5EF4-FFF2-40B4-BE49-F238E27FC236}">
                  <a16:creationId xmlns:a16="http://schemas.microsoft.com/office/drawing/2014/main" id="{00000000-0008-0000-1100-00007D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29">
          <xdr14:nvContentPartPr>
            <xdr14:cNvPr id="126" name="Ink 125">
              <a:extLst>
                <a:ext uri="{FF2B5EF4-FFF2-40B4-BE49-F238E27FC236}">
                  <a16:creationId xmlns:a16="http://schemas.microsoft.com/office/drawing/2014/main" id="{00000000-0008-0000-1100-00007E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30">
          <xdr14:nvContentPartPr>
            <xdr14:cNvPr id="127" name="Ink 126">
              <a:extLst>
                <a:ext uri="{FF2B5EF4-FFF2-40B4-BE49-F238E27FC236}">
                  <a16:creationId xmlns:a16="http://schemas.microsoft.com/office/drawing/2014/main" id="{00000000-0008-0000-1100-00007F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43"/>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21</xdr:row>
      <xdr:rowOff>109290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31">
          <xdr14:nvContentPartPr>
            <xdr14:cNvPr id="128" name="Ink 127">
              <a:extLst>
                <a:ext uri="{FF2B5EF4-FFF2-40B4-BE49-F238E27FC236}">
                  <a16:creationId xmlns:a16="http://schemas.microsoft.com/office/drawing/2014/main" id="{00000000-0008-0000-1100-000080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21</xdr:row>
      <xdr:rowOff>109290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32">
          <xdr14:nvContentPartPr>
            <xdr14:cNvPr id="129" name="Ink 128">
              <a:extLst>
                <a:ext uri="{FF2B5EF4-FFF2-40B4-BE49-F238E27FC236}">
                  <a16:creationId xmlns:a16="http://schemas.microsoft.com/office/drawing/2014/main" id="{00000000-0008-0000-1100-000081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28</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33">
          <xdr14:nvContentPartPr>
            <xdr14:cNvPr id="130" name="Ink 129">
              <a:extLst>
                <a:ext uri="{FF2B5EF4-FFF2-40B4-BE49-F238E27FC236}">
                  <a16:creationId xmlns:a16="http://schemas.microsoft.com/office/drawing/2014/main" id="{00000000-0008-0000-1100-000082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28</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34">
          <xdr14:nvContentPartPr>
            <xdr14:cNvPr id="131" name="Ink 130">
              <a:extLst>
                <a:ext uri="{FF2B5EF4-FFF2-40B4-BE49-F238E27FC236}">
                  <a16:creationId xmlns:a16="http://schemas.microsoft.com/office/drawing/2014/main" id="{00000000-0008-0000-1100-000083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35">
          <xdr14:nvContentPartPr>
            <xdr14:cNvPr id="132" name="Ink 131">
              <a:extLst>
                <a:ext uri="{FF2B5EF4-FFF2-40B4-BE49-F238E27FC236}">
                  <a16:creationId xmlns:a16="http://schemas.microsoft.com/office/drawing/2014/main" id="{00000000-0008-0000-1100-000084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36">
          <xdr14:nvContentPartPr>
            <xdr14:cNvPr id="133" name="Ink 132">
              <a:extLst>
                <a:ext uri="{FF2B5EF4-FFF2-40B4-BE49-F238E27FC236}">
                  <a16:creationId xmlns:a16="http://schemas.microsoft.com/office/drawing/2014/main" id="{00000000-0008-0000-1100-000085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37">
          <xdr14:nvContentPartPr>
            <xdr14:cNvPr id="134" name="Ink 133">
              <a:extLst>
                <a:ext uri="{FF2B5EF4-FFF2-40B4-BE49-F238E27FC236}">
                  <a16:creationId xmlns:a16="http://schemas.microsoft.com/office/drawing/2014/main" id="{00000000-0008-0000-1100-000086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38">
          <xdr14:nvContentPartPr>
            <xdr14:cNvPr id="135" name="Ink 134">
              <a:extLst>
                <a:ext uri="{FF2B5EF4-FFF2-40B4-BE49-F238E27FC236}">
                  <a16:creationId xmlns:a16="http://schemas.microsoft.com/office/drawing/2014/main" id="{00000000-0008-0000-1100-000087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39">
          <xdr14:nvContentPartPr>
            <xdr14:cNvPr id="136" name="Ink 135">
              <a:extLst>
                <a:ext uri="{FF2B5EF4-FFF2-40B4-BE49-F238E27FC236}">
                  <a16:creationId xmlns:a16="http://schemas.microsoft.com/office/drawing/2014/main" id="{00000000-0008-0000-1100-000088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40">
          <xdr14:nvContentPartPr>
            <xdr14:cNvPr id="137" name="Ink 136">
              <a:extLst>
                <a:ext uri="{FF2B5EF4-FFF2-40B4-BE49-F238E27FC236}">
                  <a16:creationId xmlns:a16="http://schemas.microsoft.com/office/drawing/2014/main" id="{00000000-0008-0000-1100-000089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41">
          <xdr14:nvContentPartPr>
            <xdr14:cNvPr id="138" name="Ink 137">
              <a:extLst>
                <a:ext uri="{FF2B5EF4-FFF2-40B4-BE49-F238E27FC236}">
                  <a16:creationId xmlns:a16="http://schemas.microsoft.com/office/drawing/2014/main" id="{00000000-0008-0000-1100-00008A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42"/>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43">
          <xdr14:nvContentPartPr>
            <xdr14:cNvPr id="139" name="Ink 138">
              <a:extLst>
                <a:ext uri="{FF2B5EF4-FFF2-40B4-BE49-F238E27FC236}">
                  <a16:creationId xmlns:a16="http://schemas.microsoft.com/office/drawing/2014/main" id="{00000000-0008-0000-1100-00008B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42"/>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28</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44">
          <xdr14:nvContentPartPr>
            <xdr14:cNvPr id="140" name="Ink 139">
              <a:extLst>
                <a:ext uri="{FF2B5EF4-FFF2-40B4-BE49-F238E27FC236}">
                  <a16:creationId xmlns:a16="http://schemas.microsoft.com/office/drawing/2014/main" id="{00000000-0008-0000-1100-00008C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42"/>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28</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45">
          <xdr14:nvContentPartPr>
            <xdr14:cNvPr id="141" name="Ink 140">
              <a:extLst>
                <a:ext uri="{FF2B5EF4-FFF2-40B4-BE49-F238E27FC236}">
                  <a16:creationId xmlns:a16="http://schemas.microsoft.com/office/drawing/2014/main" id="{00000000-0008-0000-1100-00008D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42"/>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46">
          <xdr14:nvContentPartPr>
            <xdr14:cNvPr id="142" name="Ink 141">
              <a:extLst>
                <a:ext uri="{FF2B5EF4-FFF2-40B4-BE49-F238E27FC236}">
                  <a16:creationId xmlns:a16="http://schemas.microsoft.com/office/drawing/2014/main" id="{00000000-0008-0000-1100-00008E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42"/>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47">
          <xdr14:nvContentPartPr>
            <xdr14:cNvPr id="143" name="Ink 142">
              <a:extLst>
                <a:ext uri="{FF2B5EF4-FFF2-40B4-BE49-F238E27FC236}">
                  <a16:creationId xmlns:a16="http://schemas.microsoft.com/office/drawing/2014/main" id="{00000000-0008-0000-1100-00008F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42"/>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48">
          <xdr14:nvContentPartPr>
            <xdr14:cNvPr id="144" name="Ink 143">
              <a:extLst>
                <a:ext uri="{FF2B5EF4-FFF2-40B4-BE49-F238E27FC236}">
                  <a16:creationId xmlns:a16="http://schemas.microsoft.com/office/drawing/2014/main" id="{00000000-0008-0000-1100-000090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42"/>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49">
          <xdr14:nvContentPartPr>
            <xdr14:cNvPr id="145" name="Ink 144">
              <a:extLst>
                <a:ext uri="{FF2B5EF4-FFF2-40B4-BE49-F238E27FC236}">
                  <a16:creationId xmlns:a16="http://schemas.microsoft.com/office/drawing/2014/main" id="{00000000-0008-0000-1100-000091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42"/>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28</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50">
          <xdr14:nvContentPartPr>
            <xdr14:cNvPr id="146" name="Ink 145">
              <a:extLst>
                <a:ext uri="{FF2B5EF4-FFF2-40B4-BE49-F238E27FC236}">
                  <a16:creationId xmlns:a16="http://schemas.microsoft.com/office/drawing/2014/main" id="{00000000-0008-0000-1100-000092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42"/>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28</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51">
          <xdr14:nvContentPartPr>
            <xdr14:cNvPr id="147" name="Ink 146">
              <a:extLst>
                <a:ext uri="{FF2B5EF4-FFF2-40B4-BE49-F238E27FC236}">
                  <a16:creationId xmlns:a16="http://schemas.microsoft.com/office/drawing/2014/main" id="{00000000-0008-0000-1100-000093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42"/>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52">
          <xdr14:nvContentPartPr>
            <xdr14:cNvPr id="148" name="Ink 147">
              <a:extLst>
                <a:ext uri="{FF2B5EF4-FFF2-40B4-BE49-F238E27FC236}">
                  <a16:creationId xmlns:a16="http://schemas.microsoft.com/office/drawing/2014/main" id="{00000000-0008-0000-1100-000094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42"/>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53">
          <xdr14:nvContentPartPr>
            <xdr14:cNvPr id="149" name="Ink 148">
              <a:extLst>
                <a:ext uri="{FF2B5EF4-FFF2-40B4-BE49-F238E27FC236}">
                  <a16:creationId xmlns:a16="http://schemas.microsoft.com/office/drawing/2014/main" id="{00000000-0008-0000-1100-000095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42"/>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54">
          <xdr14:nvContentPartPr>
            <xdr14:cNvPr id="150" name="Ink 149">
              <a:extLst>
                <a:ext uri="{FF2B5EF4-FFF2-40B4-BE49-F238E27FC236}">
                  <a16:creationId xmlns:a16="http://schemas.microsoft.com/office/drawing/2014/main" id="{00000000-0008-0000-1100-000096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42"/>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55">
          <xdr14:nvContentPartPr>
            <xdr14:cNvPr id="151" name="Ink 150">
              <a:extLst>
                <a:ext uri="{FF2B5EF4-FFF2-40B4-BE49-F238E27FC236}">
                  <a16:creationId xmlns:a16="http://schemas.microsoft.com/office/drawing/2014/main" id="{00000000-0008-0000-1100-000097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42"/>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56">
          <xdr14:nvContentPartPr>
            <xdr14:cNvPr id="152" name="Ink 151">
              <a:extLst>
                <a:ext uri="{FF2B5EF4-FFF2-40B4-BE49-F238E27FC236}">
                  <a16:creationId xmlns:a16="http://schemas.microsoft.com/office/drawing/2014/main" id="{00000000-0008-0000-1100-000098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42"/>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57">
          <xdr14:nvContentPartPr>
            <xdr14:cNvPr id="153" name="Ink 152">
              <a:extLst>
                <a:ext uri="{FF2B5EF4-FFF2-40B4-BE49-F238E27FC236}">
                  <a16:creationId xmlns:a16="http://schemas.microsoft.com/office/drawing/2014/main" id="{00000000-0008-0000-1100-000099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42"/>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58">
          <xdr14:nvContentPartPr>
            <xdr14:cNvPr id="154" name="Ink 153">
              <a:extLst>
                <a:ext uri="{FF2B5EF4-FFF2-40B4-BE49-F238E27FC236}">
                  <a16:creationId xmlns:a16="http://schemas.microsoft.com/office/drawing/2014/main" id="{00000000-0008-0000-1100-00009A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42"/>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59">
          <xdr14:nvContentPartPr>
            <xdr14:cNvPr id="155" name="Ink 154">
              <a:extLst>
                <a:ext uri="{FF2B5EF4-FFF2-40B4-BE49-F238E27FC236}">
                  <a16:creationId xmlns:a16="http://schemas.microsoft.com/office/drawing/2014/main" id="{00000000-0008-0000-1100-00009B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42"/>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60">
          <xdr14:nvContentPartPr>
            <xdr14:cNvPr id="156" name="Ink 155">
              <a:extLst>
                <a:ext uri="{FF2B5EF4-FFF2-40B4-BE49-F238E27FC236}">
                  <a16:creationId xmlns:a16="http://schemas.microsoft.com/office/drawing/2014/main" id="{00000000-0008-0000-1100-00009C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42"/>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61">
          <xdr14:nvContentPartPr>
            <xdr14:cNvPr id="157" name="Ink 156">
              <a:extLst>
                <a:ext uri="{FF2B5EF4-FFF2-40B4-BE49-F238E27FC236}">
                  <a16:creationId xmlns:a16="http://schemas.microsoft.com/office/drawing/2014/main" id="{00000000-0008-0000-1100-00009D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42"/>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62">
          <xdr14:nvContentPartPr>
            <xdr14:cNvPr id="158" name="Ink 157">
              <a:extLst>
                <a:ext uri="{FF2B5EF4-FFF2-40B4-BE49-F238E27FC236}">
                  <a16:creationId xmlns:a16="http://schemas.microsoft.com/office/drawing/2014/main" id="{00000000-0008-0000-1100-00009E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42"/>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63">
          <xdr14:nvContentPartPr>
            <xdr14:cNvPr id="159" name="Ink 158">
              <a:extLst>
                <a:ext uri="{FF2B5EF4-FFF2-40B4-BE49-F238E27FC236}">
                  <a16:creationId xmlns:a16="http://schemas.microsoft.com/office/drawing/2014/main" id="{00000000-0008-0000-1100-00009F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42"/>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64">
          <xdr14:nvContentPartPr>
            <xdr14:cNvPr id="160" name="Ink 159">
              <a:extLst>
                <a:ext uri="{FF2B5EF4-FFF2-40B4-BE49-F238E27FC236}">
                  <a16:creationId xmlns:a16="http://schemas.microsoft.com/office/drawing/2014/main" id="{00000000-0008-0000-1100-0000A0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42"/>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65">
          <xdr14:nvContentPartPr>
            <xdr14:cNvPr id="161" name="Ink 160">
              <a:extLst>
                <a:ext uri="{FF2B5EF4-FFF2-40B4-BE49-F238E27FC236}">
                  <a16:creationId xmlns:a16="http://schemas.microsoft.com/office/drawing/2014/main" id="{00000000-0008-0000-1100-0000A1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42"/>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66">
          <xdr14:nvContentPartPr>
            <xdr14:cNvPr id="162" name="Ink 161">
              <a:extLst>
                <a:ext uri="{FF2B5EF4-FFF2-40B4-BE49-F238E27FC236}">
                  <a16:creationId xmlns:a16="http://schemas.microsoft.com/office/drawing/2014/main" id="{00000000-0008-0000-1100-0000A2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42"/>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67">
          <xdr14:nvContentPartPr>
            <xdr14:cNvPr id="163" name="Ink 162">
              <a:extLst>
                <a:ext uri="{FF2B5EF4-FFF2-40B4-BE49-F238E27FC236}">
                  <a16:creationId xmlns:a16="http://schemas.microsoft.com/office/drawing/2014/main" id="{00000000-0008-0000-1100-0000A3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42"/>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68">
          <xdr14:nvContentPartPr>
            <xdr14:cNvPr id="164" name="Ink 163">
              <a:extLst>
                <a:ext uri="{FF2B5EF4-FFF2-40B4-BE49-F238E27FC236}">
                  <a16:creationId xmlns:a16="http://schemas.microsoft.com/office/drawing/2014/main" id="{00000000-0008-0000-1100-0000A4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42"/>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69">
          <xdr14:nvContentPartPr>
            <xdr14:cNvPr id="165" name="Ink 164">
              <a:extLst>
                <a:ext uri="{FF2B5EF4-FFF2-40B4-BE49-F238E27FC236}">
                  <a16:creationId xmlns:a16="http://schemas.microsoft.com/office/drawing/2014/main" id="{00000000-0008-0000-1100-0000A5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42"/>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70">
          <xdr14:nvContentPartPr>
            <xdr14:cNvPr id="166" name="Ink 165">
              <a:extLst>
                <a:ext uri="{FF2B5EF4-FFF2-40B4-BE49-F238E27FC236}">
                  <a16:creationId xmlns:a16="http://schemas.microsoft.com/office/drawing/2014/main" id="{00000000-0008-0000-1100-0000A6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42"/>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71">
          <xdr14:nvContentPartPr>
            <xdr14:cNvPr id="167" name="Ink 166">
              <a:extLst>
                <a:ext uri="{FF2B5EF4-FFF2-40B4-BE49-F238E27FC236}">
                  <a16:creationId xmlns:a16="http://schemas.microsoft.com/office/drawing/2014/main" id="{00000000-0008-0000-1100-0000A7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42"/>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72">
          <xdr14:nvContentPartPr>
            <xdr14:cNvPr id="168" name="Ink 167">
              <a:extLst>
                <a:ext uri="{FF2B5EF4-FFF2-40B4-BE49-F238E27FC236}">
                  <a16:creationId xmlns:a16="http://schemas.microsoft.com/office/drawing/2014/main" id="{00000000-0008-0000-1100-0000A8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42"/>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73">
          <xdr14:nvContentPartPr>
            <xdr14:cNvPr id="169" name="Ink 168">
              <a:extLst>
                <a:ext uri="{FF2B5EF4-FFF2-40B4-BE49-F238E27FC236}">
                  <a16:creationId xmlns:a16="http://schemas.microsoft.com/office/drawing/2014/main" id="{00000000-0008-0000-1100-0000A9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42"/>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74">
          <xdr14:nvContentPartPr>
            <xdr14:cNvPr id="170" name="Ink 169">
              <a:extLst>
                <a:ext uri="{FF2B5EF4-FFF2-40B4-BE49-F238E27FC236}">
                  <a16:creationId xmlns:a16="http://schemas.microsoft.com/office/drawing/2014/main" id="{00000000-0008-0000-1100-0000AA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42"/>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75">
          <xdr14:nvContentPartPr>
            <xdr14:cNvPr id="171" name="Ink 170">
              <a:extLst>
                <a:ext uri="{FF2B5EF4-FFF2-40B4-BE49-F238E27FC236}">
                  <a16:creationId xmlns:a16="http://schemas.microsoft.com/office/drawing/2014/main" id="{00000000-0008-0000-1100-0000AB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42"/>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76">
          <xdr14:nvContentPartPr>
            <xdr14:cNvPr id="172" name="Ink 171">
              <a:extLst>
                <a:ext uri="{FF2B5EF4-FFF2-40B4-BE49-F238E27FC236}">
                  <a16:creationId xmlns:a16="http://schemas.microsoft.com/office/drawing/2014/main" id="{00000000-0008-0000-1100-0000AC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42"/>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77">
          <xdr14:nvContentPartPr>
            <xdr14:cNvPr id="173" name="Ink 172">
              <a:extLst>
                <a:ext uri="{FF2B5EF4-FFF2-40B4-BE49-F238E27FC236}">
                  <a16:creationId xmlns:a16="http://schemas.microsoft.com/office/drawing/2014/main" id="{00000000-0008-0000-1100-0000AD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42"/>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78">
          <xdr14:nvContentPartPr>
            <xdr14:cNvPr id="174" name="Ink 173">
              <a:extLst>
                <a:ext uri="{FF2B5EF4-FFF2-40B4-BE49-F238E27FC236}">
                  <a16:creationId xmlns:a16="http://schemas.microsoft.com/office/drawing/2014/main" id="{00000000-0008-0000-1100-0000AE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79"/>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80">
          <xdr14:nvContentPartPr>
            <xdr14:cNvPr id="175" name="Ink 174">
              <a:extLst>
                <a:ext uri="{FF2B5EF4-FFF2-40B4-BE49-F238E27FC236}">
                  <a16:creationId xmlns:a16="http://schemas.microsoft.com/office/drawing/2014/main" id="{00000000-0008-0000-1100-0000AF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79"/>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81">
          <xdr14:nvContentPartPr>
            <xdr14:cNvPr id="176" name="Ink 175">
              <a:extLst>
                <a:ext uri="{FF2B5EF4-FFF2-40B4-BE49-F238E27FC236}">
                  <a16:creationId xmlns:a16="http://schemas.microsoft.com/office/drawing/2014/main" id="{00000000-0008-0000-1100-0000B0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79"/>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82">
          <xdr14:nvContentPartPr>
            <xdr14:cNvPr id="177" name="Ink 176">
              <a:extLst>
                <a:ext uri="{FF2B5EF4-FFF2-40B4-BE49-F238E27FC236}">
                  <a16:creationId xmlns:a16="http://schemas.microsoft.com/office/drawing/2014/main" id="{00000000-0008-0000-1100-0000B1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79"/>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83">
          <xdr14:nvContentPartPr>
            <xdr14:cNvPr id="178" name="Ink 177">
              <a:extLst>
                <a:ext uri="{FF2B5EF4-FFF2-40B4-BE49-F238E27FC236}">
                  <a16:creationId xmlns:a16="http://schemas.microsoft.com/office/drawing/2014/main" id="{00000000-0008-0000-1100-0000B2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79"/>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84">
          <xdr14:nvContentPartPr>
            <xdr14:cNvPr id="179" name="Ink 178">
              <a:extLst>
                <a:ext uri="{FF2B5EF4-FFF2-40B4-BE49-F238E27FC236}">
                  <a16:creationId xmlns:a16="http://schemas.microsoft.com/office/drawing/2014/main" id="{00000000-0008-0000-1100-0000B3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79"/>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85">
          <xdr14:nvContentPartPr>
            <xdr14:cNvPr id="180" name="Ink 179">
              <a:extLst>
                <a:ext uri="{FF2B5EF4-FFF2-40B4-BE49-F238E27FC236}">
                  <a16:creationId xmlns:a16="http://schemas.microsoft.com/office/drawing/2014/main" id="{00000000-0008-0000-1100-0000B4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79"/>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86">
          <xdr14:nvContentPartPr>
            <xdr14:cNvPr id="181" name="Ink 180">
              <a:extLst>
                <a:ext uri="{FF2B5EF4-FFF2-40B4-BE49-F238E27FC236}">
                  <a16:creationId xmlns:a16="http://schemas.microsoft.com/office/drawing/2014/main" id="{00000000-0008-0000-1100-0000B5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79"/>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87">
          <xdr14:nvContentPartPr>
            <xdr14:cNvPr id="182" name="Ink 181">
              <a:extLst>
                <a:ext uri="{FF2B5EF4-FFF2-40B4-BE49-F238E27FC236}">
                  <a16:creationId xmlns:a16="http://schemas.microsoft.com/office/drawing/2014/main" id="{00000000-0008-0000-1100-0000B6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88"/>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89">
          <xdr14:nvContentPartPr>
            <xdr14:cNvPr id="183" name="Ink 182">
              <a:extLst>
                <a:ext uri="{FF2B5EF4-FFF2-40B4-BE49-F238E27FC236}">
                  <a16:creationId xmlns:a16="http://schemas.microsoft.com/office/drawing/2014/main" id="{00000000-0008-0000-1100-0000B7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88"/>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90">
          <xdr14:nvContentPartPr>
            <xdr14:cNvPr id="184" name="Ink 183">
              <a:extLst>
                <a:ext uri="{FF2B5EF4-FFF2-40B4-BE49-F238E27FC236}">
                  <a16:creationId xmlns:a16="http://schemas.microsoft.com/office/drawing/2014/main" id="{00000000-0008-0000-1100-0000B8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88"/>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91">
          <xdr14:nvContentPartPr>
            <xdr14:cNvPr id="185" name="Ink 184">
              <a:extLst>
                <a:ext uri="{FF2B5EF4-FFF2-40B4-BE49-F238E27FC236}">
                  <a16:creationId xmlns:a16="http://schemas.microsoft.com/office/drawing/2014/main" id="{00000000-0008-0000-1100-0000B9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88"/>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92">
          <xdr14:nvContentPartPr>
            <xdr14:cNvPr id="186" name="Ink 185">
              <a:extLst>
                <a:ext uri="{FF2B5EF4-FFF2-40B4-BE49-F238E27FC236}">
                  <a16:creationId xmlns:a16="http://schemas.microsoft.com/office/drawing/2014/main" id="{00000000-0008-0000-1100-0000BA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88"/>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93">
          <xdr14:nvContentPartPr>
            <xdr14:cNvPr id="187" name="Ink 186">
              <a:extLst>
                <a:ext uri="{FF2B5EF4-FFF2-40B4-BE49-F238E27FC236}">
                  <a16:creationId xmlns:a16="http://schemas.microsoft.com/office/drawing/2014/main" id="{00000000-0008-0000-1100-0000BB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88"/>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94">
          <xdr14:nvContentPartPr>
            <xdr14:cNvPr id="188" name="Ink 187">
              <a:extLst>
                <a:ext uri="{FF2B5EF4-FFF2-40B4-BE49-F238E27FC236}">
                  <a16:creationId xmlns:a16="http://schemas.microsoft.com/office/drawing/2014/main" id="{00000000-0008-0000-1100-0000BC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88"/>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95">
          <xdr14:nvContentPartPr>
            <xdr14:cNvPr id="189" name="Ink 188">
              <a:extLst>
                <a:ext uri="{FF2B5EF4-FFF2-40B4-BE49-F238E27FC236}">
                  <a16:creationId xmlns:a16="http://schemas.microsoft.com/office/drawing/2014/main" id="{00000000-0008-0000-1100-0000BD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88"/>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96">
          <xdr14:nvContentPartPr>
            <xdr14:cNvPr id="190" name="Ink 189">
              <a:extLst>
                <a:ext uri="{FF2B5EF4-FFF2-40B4-BE49-F238E27FC236}">
                  <a16:creationId xmlns:a16="http://schemas.microsoft.com/office/drawing/2014/main" id="{00000000-0008-0000-1100-0000BE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88"/>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97">
          <xdr14:nvContentPartPr>
            <xdr14:cNvPr id="191" name="Ink 190">
              <a:extLst>
                <a:ext uri="{FF2B5EF4-FFF2-40B4-BE49-F238E27FC236}">
                  <a16:creationId xmlns:a16="http://schemas.microsoft.com/office/drawing/2014/main" id="{00000000-0008-0000-1100-0000BF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88"/>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98">
          <xdr14:nvContentPartPr>
            <xdr14:cNvPr id="192" name="Ink 191">
              <a:extLst>
                <a:ext uri="{FF2B5EF4-FFF2-40B4-BE49-F238E27FC236}">
                  <a16:creationId xmlns:a16="http://schemas.microsoft.com/office/drawing/2014/main" id="{00000000-0008-0000-1100-0000C0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88"/>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99">
          <xdr14:nvContentPartPr>
            <xdr14:cNvPr id="193" name="Ink 192">
              <a:extLst>
                <a:ext uri="{FF2B5EF4-FFF2-40B4-BE49-F238E27FC236}">
                  <a16:creationId xmlns:a16="http://schemas.microsoft.com/office/drawing/2014/main" id="{00000000-0008-0000-1100-0000C1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188"/>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00">
          <xdr14:nvContentPartPr>
            <xdr14:cNvPr id="194" name="Ink 193">
              <a:extLst>
                <a:ext uri="{FF2B5EF4-FFF2-40B4-BE49-F238E27FC236}">
                  <a16:creationId xmlns:a16="http://schemas.microsoft.com/office/drawing/2014/main" id="{00000000-0008-0000-1100-0000C2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01"/>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02">
          <xdr14:nvContentPartPr>
            <xdr14:cNvPr id="195" name="Ink 194">
              <a:extLst>
                <a:ext uri="{FF2B5EF4-FFF2-40B4-BE49-F238E27FC236}">
                  <a16:creationId xmlns:a16="http://schemas.microsoft.com/office/drawing/2014/main" id="{00000000-0008-0000-1100-0000C3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01"/>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03">
          <xdr14:nvContentPartPr>
            <xdr14:cNvPr id="196" name="Ink 195">
              <a:extLst>
                <a:ext uri="{FF2B5EF4-FFF2-40B4-BE49-F238E27FC236}">
                  <a16:creationId xmlns:a16="http://schemas.microsoft.com/office/drawing/2014/main" id="{00000000-0008-0000-1100-0000C4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01"/>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04">
          <xdr14:nvContentPartPr>
            <xdr14:cNvPr id="197" name="Ink 196">
              <a:extLst>
                <a:ext uri="{FF2B5EF4-FFF2-40B4-BE49-F238E27FC236}">
                  <a16:creationId xmlns:a16="http://schemas.microsoft.com/office/drawing/2014/main" id="{00000000-0008-0000-1100-0000C5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01"/>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05">
          <xdr14:nvContentPartPr>
            <xdr14:cNvPr id="198" name="Ink 197">
              <a:extLst>
                <a:ext uri="{FF2B5EF4-FFF2-40B4-BE49-F238E27FC236}">
                  <a16:creationId xmlns:a16="http://schemas.microsoft.com/office/drawing/2014/main" id="{00000000-0008-0000-1100-0000C6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01"/>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06">
          <xdr14:nvContentPartPr>
            <xdr14:cNvPr id="199" name="Ink 198">
              <a:extLst>
                <a:ext uri="{FF2B5EF4-FFF2-40B4-BE49-F238E27FC236}">
                  <a16:creationId xmlns:a16="http://schemas.microsoft.com/office/drawing/2014/main" id="{00000000-0008-0000-1100-0000C7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01"/>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07">
          <xdr14:nvContentPartPr>
            <xdr14:cNvPr id="200" name="Ink 199">
              <a:extLst>
                <a:ext uri="{FF2B5EF4-FFF2-40B4-BE49-F238E27FC236}">
                  <a16:creationId xmlns:a16="http://schemas.microsoft.com/office/drawing/2014/main" id="{00000000-0008-0000-1100-0000C8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01"/>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08">
          <xdr14:nvContentPartPr>
            <xdr14:cNvPr id="201" name="Ink 200">
              <a:extLst>
                <a:ext uri="{FF2B5EF4-FFF2-40B4-BE49-F238E27FC236}">
                  <a16:creationId xmlns:a16="http://schemas.microsoft.com/office/drawing/2014/main" id="{00000000-0008-0000-1100-0000C9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01"/>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09">
          <xdr14:nvContentPartPr>
            <xdr14:cNvPr id="202" name="Ink 201">
              <a:extLst>
                <a:ext uri="{FF2B5EF4-FFF2-40B4-BE49-F238E27FC236}">
                  <a16:creationId xmlns:a16="http://schemas.microsoft.com/office/drawing/2014/main" id="{00000000-0008-0000-1100-0000CA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01"/>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10">
          <xdr14:nvContentPartPr>
            <xdr14:cNvPr id="203" name="Ink 202">
              <a:extLst>
                <a:ext uri="{FF2B5EF4-FFF2-40B4-BE49-F238E27FC236}">
                  <a16:creationId xmlns:a16="http://schemas.microsoft.com/office/drawing/2014/main" id="{00000000-0008-0000-1100-0000CB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01"/>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11">
          <xdr14:nvContentPartPr>
            <xdr14:cNvPr id="204" name="Ink 203">
              <a:extLst>
                <a:ext uri="{FF2B5EF4-FFF2-40B4-BE49-F238E27FC236}">
                  <a16:creationId xmlns:a16="http://schemas.microsoft.com/office/drawing/2014/main" id="{00000000-0008-0000-1100-0000CC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01"/>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12">
          <xdr14:nvContentPartPr>
            <xdr14:cNvPr id="205" name="Ink 204">
              <a:extLst>
                <a:ext uri="{FF2B5EF4-FFF2-40B4-BE49-F238E27FC236}">
                  <a16:creationId xmlns:a16="http://schemas.microsoft.com/office/drawing/2014/main" id="{00000000-0008-0000-1100-0000CD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01"/>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13">
          <xdr14:nvContentPartPr>
            <xdr14:cNvPr id="206" name="Ink 205">
              <a:extLst>
                <a:ext uri="{FF2B5EF4-FFF2-40B4-BE49-F238E27FC236}">
                  <a16:creationId xmlns:a16="http://schemas.microsoft.com/office/drawing/2014/main" id="{00000000-0008-0000-1100-0000CE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14"/>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15">
          <xdr14:nvContentPartPr>
            <xdr14:cNvPr id="207" name="Ink 206">
              <a:extLst>
                <a:ext uri="{FF2B5EF4-FFF2-40B4-BE49-F238E27FC236}">
                  <a16:creationId xmlns:a16="http://schemas.microsoft.com/office/drawing/2014/main" id="{00000000-0008-0000-1100-0000CF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14"/>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16">
          <xdr14:nvContentPartPr>
            <xdr14:cNvPr id="208" name="Ink 207">
              <a:extLst>
                <a:ext uri="{FF2B5EF4-FFF2-40B4-BE49-F238E27FC236}">
                  <a16:creationId xmlns:a16="http://schemas.microsoft.com/office/drawing/2014/main" id="{00000000-0008-0000-1100-0000D0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14"/>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17">
          <xdr14:nvContentPartPr>
            <xdr14:cNvPr id="209" name="Ink 208">
              <a:extLst>
                <a:ext uri="{FF2B5EF4-FFF2-40B4-BE49-F238E27FC236}">
                  <a16:creationId xmlns:a16="http://schemas.microsoft.com/office/drawing/2014/main" id="{00000000-0008-0000-1100-0000D1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14"/>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18">
          <xdr14:nvContentPartPr>
            <xdr14:cNvPr id="210" name="Ink 209">
              <a:extLst>
                <a:ext uri="{FF2B5EF4-FFF2-40B4-BE49-F238E27FC236}">
                  <a16:creationId xmlns:a16="http://schemas.microsoft.com/office/drawing/2014/main" id="{00000000-0008-0000-1100-0000D2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19"/>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20">
          <xdr14:nvContentPartPr>
            <xdr14:cNvPr id="211" name="Ink 210">
              <a:extLst>
                <a:ext uri="{FF2B5EF4-FFF2-40B4-BE49-F238E27FC236}">
                  <a16:creationId xmlns:a16="http://schemas.microsoft.com/office/drawing/2014/main" id="{00000000-0008-0000-1100-0000D3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19"/>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21">
          <xdr14:nvContentPartPr>
            <xdr14:cNvPr id="212" name="Ink 211">
              <a:extLst>
                <a:ext uri="{FF2B5EF4-FFF2-40B4-BE49-F238E27FC236}">
                  <a16:creationId xmlns:a16="http://schemas.microsoft.com/office/drawing/2014/main" id="{00000000-0008-0000-1100-0000D4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19"/>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22">
          <xdr14:nvContentPartPr>
            <xdr14:cNvPr id="213" name="Ink 212">
              <a:extLst>
                <a:ext uri="{FF2B5EF4-FFF2-40B4-BE49-F238E27FC236}">
                  <a16:creationId xmlns:a16="http://schemas.microsoft.com/office/drawing/2014/main" id="{00000000-0008-0000-1100-0000D5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19"/>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28</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23">
          <xdr14:nvContentPartPr>
            <xdr14:cNvPr id="214" name="Ink 213">
              <a:extLst>
                <a:ext uri="{FF2B5EF4-FFF2-40B4-BE49-F238E27FC236}">
                  <a16:creationId xmlns:a16="http://schemas.microsoft.com/office/drawing/2014/main" id="{00000000-0008-0000-1100-0000D6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24"/>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28</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25">
          <xdr14:nvContentPartPr>
            <xdr14:cNvPr id="215" name="Ink 214">
              <a:extLst>
                <a:ext uri="{FF2B5EF4-FFF2-40B4-BE49-F238E27FC236}">
                  <a16:creationId xmlns:a16="http://schemas.microsoft.com/office/drawing/2014/main" id="{00000000-0008-0000-1100-0000D7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24"/>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26">
          <xdr14:nvContentPartPr>
            <xdr14:cNvPr id="216" name="Ink 215">
              <a:extLst>
                <a:ext uri="{FF2B5EF4-FFF2-40B4-BE49-F238E27FC236}">
                  <a16:creationId xmlns:a16="http://schemas.microsoft.com/office/drawing/2014/main" id="{00000000-0008-0000-1100-0000D8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24"/>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27">
          <xdr14:nvContentPartPr>
            <xdr14:cNvPr id="217" name="Ink 216">
              <a:extLst>
                <a:ext uri="{FF2B5EF4-FFF2-40B4-BE49-F238E27FC236}">
                  <a16:creationId xmlns:a16="http://schemas.microsoft.com/office/drawing/2014/main" id="{00000000-0008-0000-1100-0000D9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24"/>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28">
          <xdr14:nvContentPartPr>
            <xdr14:cNvPr id="218" name="Ink 217">
              <a:extLst>
                <a:ext uri="{FF2B5EF4-FFF2-40B4-BE49-F238E27FC236}">
                  <a16:creationId xmlns:a16="http://schemas.microsoft.com/office/drawing/2014/main" id="{00000000-0008-0000-1100-0000DA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24"/>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29">
          <xdr14:nvContentPartPr>
            <xdr14:cNvPr id="219" name="Ink 218">
              <a:extLst>
                <a:ext uri="{FF2B5EF4-FFF2-40B4-BE49-F238E27FC236}">
                  <a16:creationId xmlns:a16="http://schemas.microsoft.com/office/drawing/2014/main" id="{00000000-0008-0000-1100-0000DB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24"/>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28</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30">
          <xdr14:nvContentPartPr>
            <xdr14:cNvPr id="220" name="Ink 219">
              <a:extLst>
                <a:ext uri="{FF2B5EF4-FFF2-40B4-BE49-F238E27FC236}">
                  <a16:creationId xmlns:a16="http://schemas.microsoft.com/office/drawing/2014/main" id="{00000000-0008-0000-1100-0000DC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24"/>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28</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31">
          <xdr14:nvContentPartPr>
            <xdr14:cNvPr id="221" name="Ink 220">
              <a:extLst>
                <a:ext uri="{FF2B5EF4-FFF2-40B4-BE49-F238E27FC236}">
                  <a16:creationId xmlns:a16="http://schemas.microsoft.com/office/drawing/2014/main" id="{00000000-0008-0000-1100-0000DD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24"/>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28</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32">
          <xdr14:nvContentPartPr>
            <xdr14:cNvPr id="222" name="Ink 221">
              <a:extLst>
                <a:ext uri="{FF2B5EF4-FFF2-40B4-BE49-F238E27FC236}">
                  <a16:creationId xmlns:a16="http://schemas.microsoft.com/office/drawing/2014/main" id="{00000000-0008-0000-1100-0000DE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24"/>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28</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33">
          <xdr14:nvContentPartPr>
            <xdr14:cNvPr id="223" name="Ink 222">
              <a:extLst>
                <a:ext uri="{FF2B5EF4-FFF2-40B4-BE49-F238E27FC236}">
                  <a16:creationId xmlns:a16="http://schemas.microsoft.com/office/drawing/2014/main" id="{00000000-0008-0000-1100-0000DF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24"/>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28</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34">
          <xdr14:nvContentPartPr>
            <xdr14:cNvPr id="224" name="Ink 223">
              <a:extLst>
                <a:ext uri="{FF2B5EF4-FFF2-40B4-BE49-F238E27FC236}">
                  <a16:creationId xmlns:a16="http://schemas.microsoft.com/office/drawing/2014/main" id="{00000000-0008-0000-1100-0000E0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24"/>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28</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35">
          <xdr14:nvContentPartPr>
            <xdr14:cNvPr id="225" name="Ink 224">
              <a:extLst>
                <a:ext uri="{FF2B5EF4-FFF2-40B4-BE49-F238E27FC236}">
                  <a16:creationId xmlns:a16="http://schemas.microsoft.com/office/drawing/2014/main" id="{00000000-0008-0000-1100-0000E1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24"/>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28</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36">
          <xdr14:nvContentPartPr>
            <xdr14:cNvPr id="226" name="Ink 225">
              <a:extLst>
                <a:ext uri="{FF2B5EF4-FFF2-40B4-BE49-F238E27FC236}">
                  <a16:creationId xmlns:a16="http://schemas.microsoft.com/office/drawing/2014/main" id="{00000000-0008-0000-1100-0000E2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24"/>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28</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37">
          <xdr14:nvContentPartPr>
            <xdr14:cNvPr id="227" name="Ink 226">
              <a:extLst>
                <a:ext uri="{FF2B5EF4-FFF2-40B4-BE49-F238E27FC236}">
                  <a16:creationId xmlns:a16="http://schemas.microsoft.com/office/drawing/2014/main" id="{00000000-0008-0000-1100-0000E3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24"/>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38">
          <xdr14:nvContentPartPr>
            <xdr14:cNvPr id="228" name="Ink 227">
              <a:extLst>
                <a:ext uri="{FF2B5EF4-FFF2-40B4-BE49-F238E27FC236}">
                  <a16:creationId xmlns:a16="http://schemas.microsoft.com/office/drawing/2014/main" id="{00000000-0008-0000-1100-0000E4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24"/>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39">
          <xdr14:nvContentPartPr>
            <xdr14:cNvPr id="229" name="Ink 228">
              <a:extLst>
                <a:ext uri="{FF2B5EF4-FFF2-40B4-BE49-F238E27FC236}">
                  <a16:creationId xmlns:a16="http://schemas.microsoft.com/office/drawing/2014/main" id="{00000000-0008-0000-1100-0000E5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24"/>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40">
          <xdr14:nvContentPartPr>
            <xdr14:cNvPr id="230" name="Ink 229">
              <a:extLst>
                <a:ext uri="{FF2B5EF4-FFF2-40B4-BE49-F238E27FC236}">
                  <a16:creationId xmlns:a16="http://schemas.microsoft.com/office/drawing/2014/main" id="{00000000-0008-0000-1100-0000E6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24"/>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41">
          <xdr14:nvContentPartPr>
            <xdr14:cNvPr id="231" name="Ink 230">
              <a:extLst>
                <a:ext uri="{FF2B5EF4-FFF2-40B4-BE49-F238E27FC236}">
                  <a16:creationId xmlns:a16="http://schemas.microsoft.com/office/drawing/2014/main" id="{00000000-0008-0000-1100-0000E7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24"/>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42">
          <xdr14:nvContentPartPr>
            <xdr14:cNvPr id="232" name="Ink 231">
              <a:extLst>
                <a:ext uri="{FF2B5EF4-FFF2-40B4-BE49-F238E27FC236}">
                  <a16:creationId xmlns:a16="http://schemas.microsoft.com/office/drawing/2014/main" id="{00000000-0008-0000-1100-0000E8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24"/>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43">
          <xdr14:nvContentPartPr>
            <xdr14:cNvPr id="233" name="Ink 232">
              <a:extLst>
                <a:ext uri="{FF2B5EF4-FFF2-40B4-BE49-F238E27FC236}">
                  <a16:creationId xmlns:a16="http://schemas.microsoft.com/office/drawing/2014/main" id="{00000000-0008-0000-1100-0000E9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24"/>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44">
          <xdr14:nvContentPartPr>
            <xdr14:cNvPr id="234" name="Ink 233">
              <a:extLst>
                <a:ext uri="{FF2B5EF4-FFF2-40B4-BE49-F238E27FC236}">
                  <a16:creationId xmlns:a16="http://schemas.microsoft.com/office/drawing/2014/main" id="{00000000-0008-0000-1100-0000EA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24"/>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45">
          <xdr14:nvContentPartPr>
            <xdr14:cNvPr id="235" name="Ink 234">
              <a:extLst>
                <a:ext uri="{FF2B5EF4-FFF2-40B4-BE49-F238E27FC236}">
                  <a16:creationId xmlns:a16="http://schemas.microsoft.com/office/drawing/2014/main" id="{00000000-0008-0000-1100-0000EB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24"/>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46">
          <xdr14:nvContentPartPr>
            <xdr14:cNvPr id="236" name="Ink 235">
              <a:extLst>
                <a:ext uri="{FF2B5EF4-FFF2-40B4-BE49-F238E27FC236}">
                  <a16:creationId xmlns:a16="http://schemas.microsoft.com/office/drawing/2014/main" id="{00000000-0008-0000-1100-0000EC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24"/>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47">
          <xdr14:nvContentPartPr>
            <xdr14:cNvPr id="237" name="Ink 236">
              <a:extLst>
                <a:ext uri="{FF2B5EF4-FFF2-40B4-BE49-F238E27FC236}">
                  <a16:creationId xmlns:a16="http://schemas.microsoft.com/office/drawing/2014/main" id="{00000000-0008-0000-1100-0000ED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24"/>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48">
          <xdr14:nvContentPartPr>
            <xdr14:cNvPr id="238" name="Ink 237">
              <a:extLst>
                <a:ext uri="{FF2B5EF4-FFF2-40B4-BE49-F238E27FC236}">
                  <a16:creationId xmlns:a16="http://schemas.microsoft.com/office/drawing/2014/main" id="{00000000-0008-0000-1100-0000EE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24"/>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94</xdr:row>
      <xdr:rowOff>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49">
          <xdr14:nvContentPartPr>
            <xdr14:cNvPr id="239" name="Ink 238">
              <a:extLst>
                <a:ext uri="{FF2B5EF4-FFF2-40B4-BE49-F238E27FC236}">
                  <a16:creationId xmlns:a16="http://schemas.microsoft.com/office/drawing/2014/main" id="{00000000-0008-0000-1100-0000EF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24"/>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32</xdr:row>
      <xdr:rowOff>109290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50">
          <xdr14:nvContentPartPr>
            <xdr14:cNvPr id="240" name="Ink 239">
              <a:extLst>
                <a:ext uri="{FF2B5EF4-FFF2-40B4-BE49-F238E27FC236}">
                  <a16:creationId xmlns:a16="http://schemas.microsoft.com/office/drawing/2014/main" id="{00000000-0008-0000-1100-0000F0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24"/>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32</xdr:row>
      <xdr:rowOff>109290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51">
          <xdr14:nvContentPartPr>
            <xdr14:cNvPr id="241" name="Ink 240">
              <a:extLst>
                <a:ext uri="{FF2B5EF4-FFF2-40B4-BE49-F238E27FC236}">
                  <a16:creationId xmlns:a16="http://schemas.microsoft.com/office/drawing/2014/main" id="{00000000-0008-0000-1100-0000F1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24"/>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43</xdr:row>
      <xdr:rowOff>109290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52">
          <xdr14:nvContentPartPr>
            <xdr14:cNvPr id="242" name="Ink 241">
              <a:extLst>
                <a:ext uri="{FF2B5EF4-FFF2-40B4-BE49-F238E27FC236}">
                  <a16:creationId xmlns:a16="http://schemas.microsoft.com/office/drawing/2014/main" id="{00000000-0008-0000-1100-0000F2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53"/>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43</xdr:row>
      <xdr:rowOff>109290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54">
          <xdr14:nvContentPartPr>
            <xdr14:cNvPr id="243" name="Ink 242">
              <a:extLst>
                <a:ext uri="{FF2B5EF4-FFF2-40B4-BE49-F238E27FC236}">
                  <a16:creationId xmlns:a16="http://schemas.microsoft.com/office/drawing/2014/main" id="{00000000-0008-0000-1100-0000F3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53"/>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54</xdr:row>
      <xdr:rowOff>109290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55">
          <xdr14:nvContentPartPr>
            <xdr14:cNvPr id="244" name="Ink 243">
              <a:extLst>
                <a:ext uri="{FF2B5EF4-FFF2-40B4-BE49-F238E27FC236}">
                  <a16:creationId xmlns:a16="http://schemas.microsoft.com/office/drawing/2014/main" id="{00000000-0008-0000-1100-0000F4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53"/>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54</xdr:row>
      <xdr:rowOff>109290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56">
          <xdr14:nvContentPartPr>
            <xdr14:cNvPr id="245" name="Ink 244">
              <a:extLst>
                <a:ext uri="{FF2B5EF4-FFF2-40B4-BE49-F238E27FC236}">
                  <a16:creationId xmlns:a16="http://schemas.microsoft.com/office/drawing/2014/main" id="{00000000-0008-0000-1100-0000F5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53"/>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65</xdr:row>
      <xdr:rowOff>109290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57">
          <xdr14:nvContentPartPr>
            <xdr14:cNvPr id="246" name="Ink 245">
              <a:extLst>
                <a:ext uri="{FF2B5EF4-FFF2-40B4-BE49-F238E27FC236}">
                  <a16:creationId xmlns:a16="http://schemas.microsoft.com/office/drawing/2014/main" id="{00000000-0008-0000-1100-0000F6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53"/>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65</xdr:row>
      <xdr:rowOff>109290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58">
          <xdr14:nvContentPartPr>
            <xdr14:cNvPr id="247" name="Ink 246">
              <a:extLst>
                <a:ext uri="{FF2B5EF4-FFF2-40B4-BE49-F238E27FC236}">
                  <a16:creationId xmlns:a16="http://schemas.microsoft.com/office/drawing/2014/main" id="{00000000-0008-0000-1100-0000F7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53"/>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76</xdr:row>
      <xdr:rowOff>109290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59">
          <xdr14:nvContentPartPr>
            <xdr14:cNvPr id="248" name="Ink 247">
              <a:extLst>
                <a:ext uri="{FF2B5EF4-FFF2-40B4-BE49-F238E27FC236}">
                  <a16:creationId xmlns:a16="http://schemas.microsoft.com/office/drawing/2014/main" id="{00000000-0008-0000-1100-0000F8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53"/>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76</xdr:row>
      <xdr:rowOff>109290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60">
          <xdr14:nvContentPartPr>
            <xdr14:cNvPr id="249" name="Ink 248">
              <a:extLst>
                <a:ext uri="{FF2B5EF4-FFF2-40B4-BE49-F238E27FC236}">
                  <a16:creationId xmlns:a16="http://schemas.microsoft.com/office/drawing/2014/main" id="{00000000-0008-0000-1100-0000F9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53"/>
            <a:stretch>
              <a:fillRect/>
            </a:stretch>
          </xdr:blipFill>
          <xdr:spPr>
            <a:xfrm>
              <a:off x="11354400" y="1377000"/>
              <a:ext cx="18000" cy="18000"/>
            </a:xfrm>
            <a:prstGeom prst="rect">
              <a:avLst/>
            </a:prstGeom>
          </xdr:spPr>
        </xdr:pic>
      </mc:Fallback>
    </mc:AlternateContent>
    <xdr:clientData/>
  </xdr:oneCellAnchor>
  <xdr:oneCellAnchor>
    <xdr:from>
      <xdr:col>27</xdr:col>
      <xdr:colOff>0</xdr:colOff>
      <xdr:row>87</xdr:row>
      <xdr:rowOff>109290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61">
          <xdr14:nvContentPartPr>
            <xdr14:cNvPr id="250" name="Ink 249">
              <a:extLst>
                <a:ext uri="{FF2B5EF4-FFF2-40B4-BE49-F238E27FC236}">
                  <a16:creationId xmlns:a16="http://schemas.microsoft.com/office/drawing/2014/main" id="{00000000-0008-0000-1100-0000FA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53"/>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87</xdr:row>
      <xdr:rowOff>109290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62">
          <xdr14:nvContentPartPr>
            <xdr14:cNvPr id="251" name="Ink 250">
              <a:extLst>
                <a:ext uri="{FF2B5EF4-FFF2-40B4-BE49-F238E27FC236}">
                  <a16:creationId xmlns:a16="http://schemas.microsoft.com/office/drawing/2014/main" id="{00000000-0008-0000-1100-0000FB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53"/>
            <a:stretch>
              <a:fillRect/>
            </a:stretch>
          </xdr:blipFill>
          <xdr:spPr>
            <a:xfrm>
              <a:off x="11354400" y="1377000"/>
              <a:ext cx="18000" cy="18000"/>
            </a:xfrm>
            <a:prstGeom prst="rect">
              <a:avLst/>
            </a:prstGeom>
          </xdr:spPr>
        </xdr:pic>
      </mc:Fallback>
    </mc:AlternateContent>
    <xdr:clientData/>
  </xdr:oneCellAnchor>
</xdr:wsDr>
</file>

<file path=xl/drawings/drawing6.xml><?xml version="1.0" encoding="utf-8"?>
<xdr:wsDr xmlns:xdr="http://schemas.openxmlformats.org/drawingml/2006/spreadsheetDrawing" xmlns:a="http://schemas.openxmlformats.org/drawingml/2006/main">
  <xdr:oneCellAnchor>
    <xdr:from>
      <xdr:col>27</xdr:col>
      <xdr:colOff>0</xdr:colOff>
      <xdr:row>5</xdr:row>
      <xdr:rowOff>109290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4" name="Ink 3">
              <a:extLst>
                <a:ext uri="{FF2B5EF4-FFF2-40B4-BE49-F238E27FC236}">
                  <a16:creationId xmlns:a16="http://schemas.microsoft.com/office/drawing/2014/main" id="{00000000-0008-0000-1400-000004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
            <a:stretch>
              <a:fillRect/>
            </a:stretch>
          </xdr:blipFill>
          <xdr:spPr>
            <a:xfrm>
              <a:off x="11354400" y="1377000"/>
              <a:ext cx="18000" cy="18000"/>
            </a:xfrm>
            <a:prstGeom prst="rect">
              <a:avLst/>
            </a:prstGeom>
          </xdr:spPr>
        </xdr:pic>
      </mc:Fallback>
    </mc:AlternateContent>
    <xdr:clientData/>
  </xdr:oneCellAnchor>
  <xdr:oneCellAnchor>
    <xdr:from>
      <xdr:col>31</xdr:col>
      <xdr:colOff>0</xdr:colOff>
      <xdr:row>5</xdr:row>
      <xdr:rowOff>109290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5" name="Ink 4">
              <a:extLst>
                <a:ext uri="{FF2B5EF4-FFF2-40B4-BE49-F238E27FC236}">
                  <a16:creationId xmlns:a16="http://schemas.microsoft.com/office/drawing/2014/main" id="{00000000-0008-0000-1400-000005000000}"/>
                </a:ext>
              </a:extLst>
            </xdr14:cNvPr>
            <xdr14:cNvContentPartPr/>
          </xdr14:nvContentPartPr>
          <xdr14:nvPr macro=""/>
          <xdr14:xfrm>
            <a:off x="11363040" y="1385640"/>
            <a:ext cx="360" cy="360"/>
          </xdr14:xfrm>
        </xdr:contentPart>
      </mc:Choice>
      <mc:Fallback xmlns="">
        <xdr:pic>
          <xdr:nvPicPr>
            <xdr:cNvPr id="2" name="Ink 1">
              <a:extLst>
                <a:ext uri="{FF2B5EF4-FFF2-40B4-BE49-F238E27FC236}">
                  <a16:creationId xmlns:a16="http://schemas.microsoft.com/office/drawing/2014/main" id="{DF8B82B4-52FE-4599-992A-FCE0B3C43BD6}"/>
                </a:ext>
              </a:extLst>
            </xdr:cNvPr>
            <xdr:cNvPicPr/>
          </xdr:nvPicPr>
          <xdr:blipFill>
            <a:blip xmlns:r="http://schemas.openxmlformats.org/officeDocument/2006/relationships" r:embed="rId2"/>
            <a:stretch>
              <a:fillRect/>
            </a:stretch>
          </xdr:blipFill>
          <xdr:spPr>
            <a:xfrm>
              <a:off x="11354400" y="1377000"/>
              <a:ext cx="18000" cy="18000"/>
            </a:xfrm>
            <a:prstGeom prst="rect">
              <a:avLst/>
            </a:prstGeom>
          </xdr:spPr>
        </xdr:pic>
      </mc:Fallback>
    </mc:AlternateContent>
    <xdr:clientData/>
  </xdr:oneCellAnchor>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19-11-11T15:51:28.557"/>
    </inkml:context>
    <inkml:brush xml:id="br0">
      <inkml:brushProperty name="width" value="0.05" units="cm"/>
      <inkml:brushProperty name="height" value="0.05" units="cm"/>
    </inkml:brush>
  </inkml:definitions>
  <inkml:trace contextRef="#ctx0" brushRef="#br0">36 0 7113,'0'1'211,"-1"1"0,1-1 0,-1 1 0,0-1 0,1 0 0,-1 0 0,0 1 0,0-1 0,0 0 0,0 0 0,0 0 1,0 0-1,0 0 0,0 0 0,0 0 0,-1 0 0,0 0-211,0 0-5,1 0 0,-1 1 0,0-1 1,1 0-1,-1 1 0,1-1 0,0 1 0,-1-1 0,1 1 1,0 0-1,0 0 0,0 0 5,1 6 1445,4-7-884,14-10-1018,-1 0-248,29-3-4373,-36 11 2564,-10 1 2447,0 0 0,1 0 0,-1 0 0,0 0 0,0 0-1,1 0 1,-1 0 0,0 0 0,0 0 0,0 0 0,1 0 0,-1 1 0,0-1 0,0 0-1,0 0 1,1 0 0,-1 0 0,0 0 0,0 1 0,0-1 0,0 0 0,1 0 0,-1 0 0,0 0-1,0 1 1,0-1 0,0 0 0,0 0 0,0 0 0,0 1 0,0-1 0,0 0 0,0 0 0,1 1-1,-1-1 1,0 0 0,0 0 0,0 0 0,0 1 0,0-1 0,-1 0 0,1 0 0,0 1-1,0-1 1,0 0 0,0 0 0,0 0 0,0 1 67,-3 4-330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08-18T00:07:11.203"/>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1T15:36:23.678"/>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1T15:36:47.916"/>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1T15:36:47.917"/>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1T15:36:51.818"/>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1T15:36:51.819"/>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1T15:36:56.240"/>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1T15:36:56.241"/>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1T15:37:00.522"/>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1T15:37:00.523"/>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1T21:17:50.542"/>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1T21:17:50.543"/>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1T21:19:17.541"/>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1T21:19:17.542"/>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1T21:21:51.713"/>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1T21:21:51.714"/>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1T21:44:21.553"/>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1T21:44:21.554"/>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2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1T22:14:09.375"/>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2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1T22:14:09.376"/>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2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1T22:19:05.433"/>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2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1T22:19:05.434"/>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2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1T22:19:52.280"/>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2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1T22:19:52.281"/>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2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1T22:33:28.247"/>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2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1T22:33:28.248"/>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2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1T22:39:18.364"/>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2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1T22:39:18.365"/>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3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1T22:43:40.368"/>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3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1T22:43:40.369"/>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3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1T22:47:06.273"/>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3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1T22:47:06.274"/>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3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1T22:54:51.749"/>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3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1T22:54:51.750"/>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3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1T22:56:35.887"/>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3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1T22:56:35.888"/>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3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3T22:43:25.328"/>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3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3T22:43:25.330"/>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4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7:07:33.438"/>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4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7:07:33.439"/>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4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7:14:02.807"/>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4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7:14:02.808"/>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4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7:21:24.726"/>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4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7:21:24.727"/>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4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7:22:14.375"/>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4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7:22:14.376"/>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4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7:22:52.677"/>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4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7:22:52.678"/>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5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7:24:17.543"/>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5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7:24:17.544"/>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5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7:27:55.052"/>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5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7:27:55.053"/>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5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7:28:24.901"/>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5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7:28:24.902"/>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5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7:29:05.275"/>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5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7:29:05.276"/>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5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7:29:31.263"/>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5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7:29:31.264"/>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6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7:32:12.208"/>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6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7:32:12.209"/>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6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7:33:41.016"/>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6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7:33:41.017"/>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6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7:51:09.365"/>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6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7:51:09.366"/>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6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7:51:47.029"/>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6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7:51:47.030"/>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6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7:57:42.346"/>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6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7:57:42.347"/>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7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7:58:04.339"/>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7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7:58:04.340"/>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7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8:14:35.910"/>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7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8:14:35.911"/>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7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8:14:51.772"/>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7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8:14:51.773"/>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7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8:28:17.429"/>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7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8:28:17.430"/>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7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8:31:17.376"/>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7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8:31:17.377"/>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8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8:31:23.352"/>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8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8:31:23.353"/>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8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8:50:59.080"/>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8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8:50:59.081"/>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8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8:51:17.239"/>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8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8:51:17.240"/>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8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9:00:19.088"/>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8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9:00:19.089"/>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8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9:00:50.850"/>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8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9:00:50.851"/>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9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9:00:54.752"/>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9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9:00:54.753"/>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9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9:00:58.234"/>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9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9:00:58.235"/>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9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9:02:10.609"/>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9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9:02:10.610"/>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9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9:02:16.171"/>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9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9:02:16.172"/>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9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9:02:19.220"/>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9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9:02:19.221"/>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0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9:06:05.737"/>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0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9:06:05.738"/>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0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9:06:08.509"/>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0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9:06:08.510"/>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0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9:06:11.301"/>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0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9:06:11.302"/>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0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9:08:21.682"/>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0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9:08:21.683"/>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0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9:08:24.437"/>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0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9:08:24.438"/>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1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9:08:26.911"/>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1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9:08:26.912"/>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1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9:30:03.626"/>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1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9:30:03.627"/>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1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9:30:06.938"/>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1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19:30:06.939"/>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1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20:53:56.245"/>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1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20:53:56.246"/>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1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20:55:40.881"/>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1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20:55:40.882"/>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2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20:55:44.978"/>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2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20:55:44.979"/>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2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20:58:17.405"/>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2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20:58:17.406"/>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2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20:58:20.543"/>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2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20:58:20.544"/>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2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20:58:24.025"/>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2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4T20:58:24.026"/>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2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7T01:48:23.095"/>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2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7T01:48:23.097"/>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3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7T01:48:24.866"/>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3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7T01:48:24.867"/>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3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7T01:48:30.034"/>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3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7T01:48:30.035"/>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3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7T01:48:31.600"/>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3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7T01:48:31.601"/>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3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7T01:48:35.619"/>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3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7T01:48:35.620"/>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3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7T02:49:26.251"/>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3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7T02:49:26.252"/>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4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7T02:54:23.692"/>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4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7T02:54:23.693"/>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4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7T02:54:32.649"/>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4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7T02:54:32.650"/>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4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7T02:55:01.938"/>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4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7T02:55:01.939"/>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4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7T03:02:02.464"/>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4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7T03:02:02.465"/>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4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7T03:02:08.352"/>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4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7T03:02:08.353"/>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5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7T03:05:20.129"/>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5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7T03:05:20.130"/>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5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7T03:05:22.190"/>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5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7T03:05:22.191"/>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5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7T03:05:38.606"/>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5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7T03:05:38.607"/>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5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7T03:09:09.852"/>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5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7T03:09:09.853"/>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5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7T03:10:56.060"/>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5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7T03:10:56.061"/>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6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7T03:12:37.777"/>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6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7T03:12:37.778"/>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6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7T03:16:19.820"/>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6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7T03:16:19.821"/>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6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7T03:17:07.105"/>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6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7T03:17:07.106"/>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6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7T03:18:40.690"/>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6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7T03:18:40.691"/>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6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7T03:20:02.883"/>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6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7T03:20:02.884"/>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7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7T15:43:11.064"/>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7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7T15:43:11.065"/>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7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7T15:43:40.209"/>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7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7T15:43:40.210"/>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7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12T23:52:28.256"/>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7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12T23:52:28.257"/>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7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12T23:52:29.637"/>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7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12T23:52:29.638"/>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7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12T23:52:34.107"/>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7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12T23:52:34.108"/>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8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13T00:01:23.932"/>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8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13T00:01:23.933"/>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8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13T17:24:45.539"/>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8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13T17:24:45.540"/>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8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14T01:23:16.397"/>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8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14T01:23:16.398"/>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8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14T01:30:34.433"/>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8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14T01:30:34.434"/>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8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14T01:34:30.315"/>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8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14T01:34:30.316"/>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9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14T02:39:07.268"/>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9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14T02:39:07.269"/>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9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14T02:39:10.050"/>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9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14T02:39:10.051"/>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9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15T23:22:30.535"/>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9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15T23:22:30.536"/>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9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16T01:59:28.584"/>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9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16T01:59:28.585"/>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9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16T02:30:42.577"/>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19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16T02:30:42.578"/>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20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16T02:30:54.119"/>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20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16T02:30:54.120"/>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20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16T20:27:23.871"/>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20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16T20:27:23.872"/>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20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16T20:27:49.091"/>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20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16T20:27:49.092"/>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20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2-03T20:01:12.489"/>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20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2-03T20:01:12.490"/>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20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2-03T20:05:10.453"/>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20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2-03T20:05:10.454"/>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21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2-04T01:26:43.734"/>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21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2-04T01:26:43.736"/>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21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2-04T01:31:02.345"/>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21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2-04T01:31:02.346"/>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21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2-04T02:03:54.789"/>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21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2-04T02:03:54.790"/>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21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2-04T04:40:30.998"/>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21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2-04T04:40:31"/>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21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2-04T04:46:49.454"/>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21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2-04T04:46:49.455"/>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22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2-04T04:47:49.105"/>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22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2-04T04:47:49.106"/>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22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2-04T04:52:00.058"/>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22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2-04T04:52:00.059"/>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22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2-04T05:08:55.729"/>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22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2-04T05:08:55.730"/>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22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2-04T05:10:39.720"/>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22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2-04T05:10:39.721"/>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22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2-04T05:12:04.077"/>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22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2-04T05:12:04.078"/>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23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2-04T05:14:39.847"/>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23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2-04T05:14:39.848"/>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23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2-04T05:16:01.118"/>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23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2-04T05:16:01.119"/>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23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2-04T05:16:02.772"/>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23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2-04T05:16:02.773"/>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23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2-04T05:17:47.823"/>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23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2-04T05:17:47.824"/>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23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2-04T05:18:31.699"/>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23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2-04T05:18:31.700"/>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24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2-04T05:21:42.254"/>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24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2-04T05:21:42.255"/>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24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2-04T15:42:35.267"/>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24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2-04T15:42:35.268"/>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24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2-04T15:42:36.704"/>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24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2-04T15:42:36.705"/>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24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2-04T15:42:38.028"/>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24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2-04T15:42:38.029"/>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24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2-04T15:42:56.870"/>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24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2-04T15:42:56.871"/>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25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2-04T15:42:58.664"/>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25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2-04T15:42:58.665"/>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25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1T20:53:24.991"/>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ink/ink25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19-11-01T20:53:24.992"/>
    </inkml:context>
    <inkml:brush xml:id="br0">
      <inkml:brushProperty name="width" value="0.05" units="cm"/>
      <inkml:brushProperty name="height" value="0.05" units="cm"/>
    </inkml:brush>
  </inkml:definitions>
  <inkml:trace contextRef="#ctx0" brushRef="#br0">1 1 11589 0 0,'0'0'1601'0'0,"0"0"-801"0"0,0 0 33 0 0,0 0 207 0 0,0 0 145 0 0,0 0-465 0 0,0 0-432 0 0,0 0-144 0 0,0 0-80 0 0,0 0-48 0 0,0 0-144 0 0,0 0-496 0 0,0 0-753 0 0,0 0-608 0 0,0 0 113 0 0,0 0-1106 0 0,0 0-2480 0 0</inkml:trace>
</inkml:ink>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vmlDrawing" Target="../drawings/vmlDrawing9.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vmlDrawing" Target="../drawings/vmlDrawing10.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vmlDrawing" Target="../drawings/vmlDrawing11.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2" Type="http://schemas.openxmlformats.org/officeDocument/2006/relationships/vmlDrawing" Target="../drawings/vmlDrawing12.v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vmlDrawing" Target="../drawings/vmlDrawing14.vml"/><Relationship Id="rId1" Type="http://schemas.openxmlformats.org/officeDocument/2006/relationships/printerSettings" Target="../printerSettings/printerSettings25.bin"/></Relationships>
</file>

<file path=xl/worksheets/_rels/sheet28.xml.rels><?xml version="1.0" encoding="UTF-8" standalone="yes"?>
<Relationships xmlns="http://schemas.openxmlformats.org/package/2006/relationships"><Relationship Id="rId2" Type="http://schemas.openxmlformats.org/officeDocument/2006/relationships/vmlDrawing" Target="../drawings/vmlDrawing15.vml"/><Relationship Id="rId1" Type="http://schemas.openxmlformats.org/officeDocument/2006/relationships/printerSettings" Target="../printerSettings/printerSettings2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Z94"/>
  <sheetViews>
    <sheetView tabSelected="1" topLeftCell="L1" zoomScale="140" zoomScaleNormal="140" zoomScaleSheetLayoutView="90" workbookViewId="0">
      <pane ySplit="8" topLeftCell="A9" activePane="bottomLeft" state="frozen"/>
      <selection activeCell="N42" sqref="N42:Y42"/>
      <selection pane="bottomLeft" activeCell="N42" sqref="N42:Y42"/>
    </sheetView>
  </sheetViews>
  <sheetFormatPr baseColWidth="10" defaultColWidth="11" defaultRowHeight="16" x14ac:dyDescent="0.2"/>
  <cols>
    <col min="1" max="34" width="4.6640625" customWidth="1"/>
    <col min="35" max="37" width="4.6640625" style="75" customWidth="1"/>
    <col min="38" max="55" width="4.6640625" customWidth="1"/>
    <col min="56" max="56" width="4.6640625" hidden="1" customWidth="1"/>
    <col min="57" max="57" width="4.6640625" customWidth="1"/>
    <col min="58" max="58" width="5.6640625" customWidth="1"/>
    <col min="59" max="71" width="4.6640625" customWidth="1"/>
  </cols>
  <sheetData>
    <row r="1" spans="1:78" x14ac:dyDescent="0.2">
      <c r="A1" s="275"/>
      <c r="C1" s="180"/>
      <c r="D1" s="181"/>
      <c r="E1" s="181"/>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267"/>
    </row>
    <row r="2" spans="1:78" x14ac:dyDescent="0.2">
      <c r="C2" s="210"/>
      <c r="D2" s="568" t="s">
        <v>444</v>
      </c>
      <c r="E2" s="569"/>
      <c r="F2" s="569"/>
      <c r="G2" s="569"/>
      <c r="H2" s="569"/>
      <c r="I2" s="569"/>
      <c r="J2" s="569"/>
      <c r="K2" s="569"/>
      <c r="L2" s="569"/>
      <c r="M2" s="569"/>
      <c r="N2" s="569"/>
      <c r="O2" s="570"/>
      <c r="P2" s="73"/>
      <c r="Q2" s="534" t="s">
        <v>860</v>
      </c>
      <c r="R2" s="535"/>
      <c r="S2" s="536"/>
      <c r="T2" s="540" t="s">
        <v>861</v>
      </c>
      <c r="U2" s="541"/>
      <c r="V2" s="541"/>
      <c r="W2" s="542"/>
      <c r="X2" s="586" t="s">
        <v>245</v>
      </c>
      <c r="Y2" s="587"/>
      <c r="Z2" s="587"/>
      <c r="AA2" s="587"/>
      <c r="AB2" s="587"/>
      <c r="AC2" s="588"/>
      <c r="AD2" s="73"/>
      <c r="AE2" s="73"/>
      <c r="AF2" s="73"/>
      <c r="AG2" s="211"/>
      <c r="AI2"/>
      <c r="AJ2"/>
      <c r="AK2"/>
    </row>
    <row r="3" spans="1:78" s="111" customFormat="1" ht="14" x14ac:dyDescent="0.2">
      <c r="C3" s="214"/>
      <c r="D3" s="571" t="s">
        <v>299</v>
      </c>
      <c r="E3" s="572"/>
      <c r="F3" s="572"/>
      <c r="G3" s="572"/>
      <c r="H3" s="572"/>
      <c r="I3" s="572"/>
      <c r="J3" s="572"/>
      <c r="K3" s="572"/>
      <c r="L3" s="572"/>
      <c r="M3" s="572"/>
      <c r="N3" s="572"/>
      <c r="O3" s="573"/>
      <c r="P3" s="215"/>
      <c r="Q3" s="537"/>
      <c r="R3" s="538"/>
      <c r="S3" s="539"/>
      <c r="T3" s="540"/>
      <c r="U3" s="541"/>
      <c r="V3" s="541"/>
      <c r="W3" s="542"/>
      <c r="X3" s="574"/>
      <c r="Y3" s="538"/>
      <c r="Z3" s="538"/>
      <c r="AA3" s="538"/>
      <c r="AB3" s="538"/>
      <c r="AC3" s="575"/>
      <c r="AD3" s="215"/>
      <c r="AE3" s="215"/>
      <c r="AF3" s="215"/>
      <c r="AG3" s="216"/>
    </row>
    <row r="4" spans="1:78" s="111" customFormat="1" ht="14" x14ac:dyDescent="0.2">
      <c r="C4" s="214"/>
      <c r="D4" s="497" t="s">
        <v>89</v>
      </c>
      <c r="E4" s="498"/>
      <c r="F4" s="499"/>
      <c r="G4" s="503" t="s">
        <v>445</v>
      </c>
      <c r="H4" s="504"/>
      <c r="I4" s="505"/>
      <c r="J4" s="543" t="s">
        <v>446</v>
      </c>
      <c r="K4" s="544"/>
      <c r="L4" s="545"/>
      <c r="M4" s="543" t="s">
        <v>495</v>
      </c>
      <c r="N4" s="544"/>
      <c r="O4" s="545"/>
      <c r="P4" s="215"/>
      <c r="Q4" s="528" t="s">
        <v>379</v>
      </c>
      <c r="R4" s="529"/>
      <c r="S4" s="530"/>
      <c r="T4" s="540"/>
      <c r="U4" s="541"/>
      <c r="V4" s="541"/>
      <c r="W4" s="542"/>
      <c r="X4" s="583" t="s">
        <v>378</v>
      </c>
      <c r="Y4" s="529"/>
      <c r="Z4" s="530"/>
      <c r="AA4" s="528" t="s">
        <v>284</v>
      </c>
      <c r="AB4" s="529"/>
      <c r="AC4" s="585"/>
      <c r="AD4" s="215"/>
      <c r="AE4" s="215"/>
      <c r="AF4" s="215"/>
      <c r="AG4" s="216"/>
    </row>
    <row r="5" spans="1:78" s="111" customFormat="1" ht="20.75" customHeight="1" x14ac:dyDescent="0.2">
      <c r="C5" s="214"/>
      <c r="D5" s="500"/>
      <c r="E5" s="501"/>
      <c r="F5" s="502"/>
      <c r="G5" s="506"/>
      <c r="H5" s="507"/>
      <c r="I5" s="508"/>
      <c r="J5" s="500"/>
      <c r="K5" s="501"/>
      <c r="L5" s="502"/>
      <c r="M5" s="500"/>
      <c r="N5" s="501"/>
      <c r="O5" s="502"/>
      <c r="P5" s="215"/>
      <c r="Q5" s="531"/>
      <c r="R5" s="532"/>
      <c r="S5" s="533"/>
      <c r="T5" s="540"/>
      <c r="U5" s="541"/>
      <c r="V5" s="541"/>
      <c r="W5" s="542"/>
      <c r="X5" s="584" t="s">
        <v>245</v>
      </c>
      <c r="Y5" s="532"/>
      <c r="Z5" s="533"/>
      <c r="AA5" s="515" t="s">
        <v>245</v>
      </c>
      <c r="AB5" s="516"/>
      <c r="AC5" s="517"/>
      <c r="AD5" s="215"/>
      <c r="AE5" s="215"/>
      <c r="AF5" s="215"/>
      <c r="AG5" s="216"/>
    </row>
    <row r="6" spans="1:78" s="111" customFormat="1" ht="14" x14ac:dyDescent="0.2">
      <c r="C6" s="214"/>
      <c r="D6" s="509">
        <v>0</v>
      </c>
      <c r="E6" s="510"/>
      <c r="F6" s="511"/>
      <c r="G6" s="509">
        <v>0</v>
      </c>
      <c r="H6" s="510"/>
      <c r="I6" s="511"/>
      <c r="J6" s="546">
        <v>0</v>
      </c>
      <c r="K6" s="547"/>
      <c r="L6" s="552"/>
      <c r="M6" s="546">
        <v>0</v>
      </c>
      <c r="N6" s="547"/>
      <c r="O6" s="548"/>
      <c r="P6" s="215"/>
      <c r="Q6" s="518">
        <v>0</v>
      </c>
      <c r="R6" s="519"/>
      <c r="S6" s="520"/>
      <c r="T6" s="540"/>
      <c r="U6" s="541"/>
      <c r="V6" s="541"/>
      <c r="W6" s="542"/>
      <c r="X6" s="524">
        <v>0</v>
      </c>
      <c r="Y6" s="519"/>
      <c r="Z6" s="520"/>
      <c r="AA6" s="578">
        <v>0</v>
      </c>
      <c r="AB6" s="579"/>
      <c r="AC6" s="580"/>
      <c r="AD6" s="215"/>
      <c r="AE6" s="215"/>
      <c r="AF6" s="215"/>
      <c r="AG6" s="216"/>
    </row>
    <row r="7" spans="1:78" s="111" customFormat="1" x14ac:dyDescent="0.2">
      <c r="C7" s="214"/>
      <c r="D7" s="512"/>
      <c r="E7" s="513"/>
      <c r="F7" s="514"/>
      <c r="G7" s="512"/>
      <c r="H7" s="513"/>
      <c r="I7" s="514"/>
      <c r="J7" s="549"/>
      <c r="K7" s="550"/>
      <c r="L7" s="553"/>
      <c r="M7" s="549"/>
      <c r="N7" s="550"/>
      <c r="O7" s="551"/>
      <c r="P7" s="215"/>
      <c r="Q7" s="521"/>
      <c r="R7" s="522"/>
      <c r="S7" s="523"/>
      <c r="T7" s="540"/>
      <c r="U7" s="541"/>
      <c r="V7" s="541"/>
      <c r="W7" s="542"/>
      <c r="X7" s="525"/>
      <c r="Y7" s="526"/>
      <c r="Z7" s="527"/>
      <c r="AA7" s="581"/>
      <c r="AB7" s="526"/>
      <c r="AC7" s="582"/>
      <c r="AD7" s="215"/>
      <c r="AE7" s="215"/>
      <c r="AF7" s="215"/>
      <c r="AG7" s="216"/>
      <c r="AI7"/>
      <c r="AJ7"/>
      <c r="AK7"/>
      <c r="AL7"/>
      <c r="AM7"/>
      <c r="AN7"/>
      <c r="BX7" s="217" t="s">
        <v>393</v>
      </c>
      <c r="BY7" s="217"/>
    </row>
    <row r="8" spans="1:78" ht="33.75" customHeight="1" x14ac:dyDescent="0.2">
      <c r="A8" s="111"/>
      <c r="C8" s="182"/>
      <c r="D8" s="183"/>
      <c r="E8" s="183"/>
      <c r="F8" s="183"/>
      <c r="G8" s="183"/>
      <c r="H8" s="183"/>
      <c r="I8" s="183"/>
      <c r="J8" s="183"/>
      <c r="K8" s="183"/>
      <c r="L8" s="183"/>
      <c r="M8" s="183"/>
      <c r="N8" s="183"/>
      <c r="O8" s="183"/>
      <c r="P8" s="183"/>
      <c r="Q8" s="183"/>
      <c r="R8" s="183"/>
      <c r="S8" s="183"/>
      <c r="T8" s="183"/>
      <c r="U8" s="183"/>
      <c r="V8" s="183"/>
      <c r="W8" s="183"/>
      <c r="X8" s="183"/>
      <c r="Y8" s="183"/>
      <c r="Z8" s="183"/>
      <c r="AA8" s="183"/>
      <c r="AB8" s="183"/>
      <c r="AC8" s="183"/>
      <c r="AD8" s="73"/>
      <c r="AE8" s="73"/>
      <c r="AF8" s="73"/>
      <c r="AG8" s="211"/>
      <c r="AI8"/>
      <c r="AJ8"/>
      <c r="AK8"/>
      <c r="BX8" s="7" t="s">
        <v>392</v>
      </c>
      <c r="BY8" s="7" t="s">
        <v>395</v>
      </c>
      <c r="BZ8" t="s">
        <v>395</v>
      </c>
    </row>
    <row r="9" spans="1:78" ht="21" customHeight="1" x14ac:dyDescent="0.2">
      <c r="C9" s="204" t="s">
        <v>251</v>
      </c>
      <c r="D9" s="205"/>
      <c r="E9" s="205"/>
      <c r="F9" s="206"/>
      <c r="G9" s="206"/>
      <c r="H9" s="206"/>
      <c r="I9" s="206"/>
      <c r="J9" s="206"/>
      <c r="K9" s="206"/>
      <c r="L9" s="206"/>
      <c r="M9" s="206"/>
      <c r="N9" s="206"/>
      <c r="O9" s="206"/>
      <c r="P9" s="206"/>
      <c r="Q9" s="206"/>
      <c r="R9" s="206"/>
      <c r="S9" s="206"/>
      <c r="T9" s="206"/>
      <c r="U9" s="206"/>
      <c r="V9" s="206"/>
      <c r="W9" s="207"/>
      <c r="X9" s="207"/>
      <c r="Y9" s="206"/>
      <c r="Z9" s="206"/>
      <c r="AA9" s="206"/>
      <c r="AB9" s="206"/>
      <c r="AC9" s="283"/>
      <c r="AD9" s="284"/>
      <c r="AE9" s="286"/>
      <c r="AF9" s="286"/>
      <c r="AG9" s="286"/>
      <c r="AI9"/>
      <c r="AJ9"/>
      <c r="AK9"/>
      <c r="BX9" s="208" t="s">
        <v>394</v>
      </c>
      <c r="BY9" s="208"/>
    </row>
    <row r="10" spans="1:78" s="51" customFormat="1" ht="16" customHeight="1" x14ac:dyDescent="0.2">
      <c r="C10" s="496" t="s">
        <v>355</v>
      </c>
      <c r="D10" s="457"/>
      <c r="E10" s="457"/>
      <c r="F10" s="457"/>
      <c r="G10" s="457"/>
      <c r="H10" s="463"/>
      <c r="I10" s="463"/>
      <c r="J10" s="463"/>
      <c r="K10" s="463"/>
      <c r="L10" s="457" t="s">
        <v>412</v>
      </c>
      <c r="M10" s="457"/>
      <c r="N10" s="457"/>
      <c r="O10" s="457"/>
      <c r="P10" s="457"/>
      <c r="Q10" s="463"/>
      <c r="R10" s="463"/>
      <c r="S10" s="463"/>
      <c r="T10" s="463"/>
      <c r="U10" s="554" t="s">
        <v>253</v>
      </c>
      <c r="V10" s="554"/>
      <c r="W10" s="554"/>
      <c r="X10" s="554"/>
      <c r="Y10" s="554"/>
      <c r="Z10" s="463"/>
      <c r="AA10" s="463"/>
      <c r="AB10" s="463"/>
      <c r="AC10" s="463"/>
      <c r="AD10" s="285"/>
      <c r="AE10" s="286"/>
      <c r="AF10" s="286"/>
      <c r="AG10" s="286"/>
      <c r="AH10" s="287"/>
      <c r="AI10" s="287"/>
      <c r="AJ10" s="287"/>
      <c r="AK10" s="287"/>
      <c r="AL10" s="287"/>
      <c r="AM10" s="287"/>
      <c r="AN10" s="287"/>
      <c r="AO10" s="287"/>
      <c r="AP10" s="287"/>
      <c r="AQ10" s="287"/>
      <c r="AR10" s="287"/>
      <c r="BX10" s="51" t="s">
        <v>392</v>
      </c>
      <c r="BY10" s="51" t="s">
        <v>395</v>
      </c>
      <c r="BZ10" s="51" t="s">
        <v>392</v>
      </c>
    </row>
    <row r="11" spans="1:78" s="51" customFormat="1" ht="16" customHeight="1" x14ac:dyDescent="0.2">
      <c r="C11" s="459" t="s">
        <v>255</v>
      </c>
      <c r="D11" s="460"/>
      <c r="E11" s="460"/>
      <c r="F11" s="460"/>
      <c r="G11" s="460"/>
      <c r="H11" s="462"/>
      <c r="I11" s="462"/>
      <c r="J11" s="462"/>
      <c r="K11" s="462"/>
      <c r="L11" s="454" t="s">
        <v>256</v>
      </c>
      <c r="M11" s="454"/>
      <c r="N11" s="454"/>
      <c r="O11" s="454"/>
      <c r="P11" s="454"/>
      <c r="Q11" s="462"/>
      <c r="R11" s="462"/>
      <c r="S11" s="462"/>
      <c r="T11" s="462"/>
      <c r="U11" s="454" t="s">
        <v>252</v>
      </c>
      <c r="V11" s="454"/>
      <c r="W11" s="454"/>
      <c r="X11" s="454"/>
      <c r="Y11" s="454"/>
      <c r="Z11" s="462"/>
      <c r="AA11" s="462"/>
      <c r="AB11" s="462"/>
      <c r="AC11" s="462"/>
      <c r="AD11" s="285"/>
      <c r="AE11" s="286"/>
      <c r="AF11" s="286"/>
      <c r="AG11" s="286"/>
      <c r="AH11" s="287"/>
      <c r="AI11" s="288"/>
      <c r="AJ11" s="288"/>
      <c r="AK11" s="288"/>
      <c r="AM11" s="287"/>
      <c r="AN11" s="287"/>
      <c r="AO11" s="287"/>
      <c r="AP11" s="287"/>
      <c r="AQ11" s="287"/>
      <c r="AR11" s="287"/>
      <c r="BD11" s="490"/>
      <c r="BE11" s="490"/>
    </row>
    <row r="12" spans="1:78" s="51" customFormat="1" ht="16" customHeight="1" x14ac:dyDescent="0.2">
      <c r="C12" s="459" t="s">
        <v>410</v>
      </c>
      <c r="D12" s="460"/>
      <c r="E12" s="460"/>
      <c r="F12" s="460"/>
      <c r="G12" s="460"/>
      <c r="H12" s="462"/>
      <c r="I12" s="462"/>
      <c r="J12" s="462"/>
      <c r="K12" s="462"/>
      <c r="L12" s="454" t="s">
        <v>257</v>
      </c>
      <c r="M12" s="454"/>
      <c r="N12" s="454"/>
      <c r="O12" s="454"/>
      <c r="P12" s="454"/>
      <c r="Q12" s="462"/>
      <c r="R12" s="462"/>
      <c r="S12" s="462"/>
      <c r="T12" s="462"/>
      <c r="U12" s="454" t="s">
        <v>493</v>
      </c>
      <c r="V12" s="454"/>
      <c r="W12" s="454"/>
      <c r="X12" s="454"/>
      <c r="Y12" s="454"/>
      <c r="Z12" s="462"/>
      <c r="AA12" s="462"/>
      <c r="AB12" s="462"/>
      <c r="AC12" s="462"/>
      <c r="AD12" s="285"/>
      <c r="AE12" s="286"/>
      <c r="AF12" s="286"/>
      <c r="AG12" s="286"/>
      <c r="AH12" s="287"/>
      <c r="AI12" s="288"/>
      <c r="AJ12" s="288"/>
      <c r="AK12" s="288"/>
      <c r="AM12" s="287"/>
      <c r="AN12" s="287"/>
      <c r="AO12" s="287"/>
      <c r="AP12" s="287"/>
      <c r="AQ12" s="287"/>
      <c r="AR12" s="287"/>
      <c r="BD12" s="490"/>
      <c r="BE12" s="490"/>
    </row>
    <row r="13" spans="1:78" s="51" customFormat="1" ht="16" customHeight="1" x14ac:dyDescent="0.2">
      <c r="C13" s="459" t="s">
        <v>411</v>
      </c>
      <c r="D13" s="460"/>
      <c r="E13" s="460"/>
      <c r="F13" s="460"/>
      <c r="G13" s="460"/>
      <c r="H13" s="462"/>
      <c r="I13" s="462"/>
      <c r="J13" s="462"/>
      <c r="K13" s="462"/>
      <c r="L13" s="454"/>
      <c r="M13" s="454"/>
      <c r="N13" s="454"/>
      <c r="O13" s="454"/>
      <c r="P13" s="454"/>
      <c r="Q13" s="462"/>
      <c r="R13" s="462"/>
      <c r="S13" s="462"/>
      <c r="T13" s="462"/>
      <c r="U13" s="455"/>
      <c r="V13" s="455"/>
      <c r="W13" s="455"/>
      <c r="X13" s="455"/>
      <c r="Y13" s="455"/>
      <c r="Z13" s="462"/>
      <c r="AA13" s="462"/>
      <c r="AB13" s="462"/>
      <c r="AC13" s="462"/>
      <c r="AD13" s="285"/>
      <c r="AE13" s="289"/>
      <c r="AF13" s="289"/>
      <c r="AG13" s="289"/>
      <c r="AH13" s="287"/>
      <c r="AI13" s="288"/>
      <c r="AJ13" s="288"/>
      <c r="AK13" s="288"/>
      <c r="AM13" s="287"/>
      <c r="AN13" s="287"/>
      <c r="AO13" s="287"/>
      <c r="AP13" s="287"/>
      <c r="AQ13" s="287"/>
      <c r="AR13" s="287"/>
    </row>
    <row r="14" spans="1:78" s="51" customFormat="1" ht="16" customHeight="1" x14ac:dyDescent="0.2">
      <c r="C14" s="494"/>
      <c r="D14" s="495"/>
      <c r="E14" s="495"/>
      <c r="F14" s="495"/>
      <c r="G14" s="495"/>
      <c r="H14" s="462"/>
      <c r="I14" s="462"/>
      <c r="J14" s="462"/>
      <c r="K14" s="462"/>
      <c r="L14" s="454"/>
      <c r="M14" s="454"/>
      <c r="N14" s="454"/>
      <c r="O14" s="454"/>
      <c r="P14" s="454"/>
      <c r="Q14" s="462"/>
      <c r="R14" s="462"/>
      <c r="S14" s="462"/>
      <c r="T14" s="462"/>
      <c r="U14" s="456"/>
      <c r="V14" s="456"/>
      <c r="W14" s="456"/>
      <c r="X14" s="456"/>
      <c r="Y14" s="456"/>
      <c r="Z14" s="462"/>
      <c r="AA14" s="462"/>
      <c r="AB14" s="462"/>
      <c r="AC14" s="462"/>
      <c r="AD14" s="285"/>
      <c r="AE14" s="289"/>
      <c r="AF14" s="289"/>
      <c r="AG14" s="289"/>
      <c r="AH14" s="287"/>
      <c r="AI14" s="288"/>
      <c r="AJ14" s="288"/>
      <c r="AK14" s="288"/>
      <c r="AM14" s="287"/>
      <c r="AN14" s="287"/>
      <c r="AO14" s="287"/>
      <c r="AP14" s="287"/>
      <c r="AQ14" s="287"/>
      <c r="AR14" s="287"/>
    </row>
    <row r="15" spans="1:78" ht="20" customHeight="1" x14ac:dyDescent="0.2">
      <c r="C15" s="209" t="s">
        <v>254</v>
      </c>
      <c r="D15" s="187"/>
      <c r="E15" s="187"/>
      <c r="F15" s="187"/>
      <c r="G15" s="187"/>
      <c r="H15" s="187"/>
      <c r="I15" s="187"/>
      <c r="J15" s="187"/>
      <c r="K15" s="187"/>
      <c r="L15" s="187"/>
      <c r="M15" s="187"/>
      <c r="N15" s="187"/>
      <c r="O15" s="187"/>
      <c r="P15" s="187"/>
      <c r="Q15" s="187"/>
      <c r="R15" s="187"/>
      <c r="S15" s="187"/>
      <c r="T15" s="187"/>
      <c r="U15" s="187"/>
      <c r="V15" s="187"/>
      <c r="W15" s="187"/>
      <c r="X15" s="187"/>
      <c r="Y15" s="187"/>
      <c r="Z15" s="187"/>
      <c r="AA15" s="187"/>
      <c r="AB15" s="276"/>
      <c r="AC15" s="277"/>
      <c r="AD15" s="284"/>
      <c r="AE15" s="286"/>
      <c r="AF15" s="286"/>
      <c r="AG15" s="286"/>
    </row>
    <row r="16" spans="1:78" s="51" customFormat="1" ht="16" customHeight="1" x14ac:dyDescent="0.2">
      <c r="C16" s="496" t="s">
        <v>433</v>
      </c>
      <c r="D16" s="457"/>
      <c r="E16" s="457"/>
      <c r="F16" s="457"/>
      <c r="G16" s="457"/>
      <c r="H16" s="463"/>
      <c r="I16" s="463"/>
      <c r="J16" s="463"/>
      <c r="K16" s="463"/>
      <c r="L16" s="454" t="s">
        <v>538</v>
      </c>
      <c r="M16" s="454"/>
      <c r="N16" s="454"/>
      <c r="O16" s="454"/>
      <c r="P16" s="454"/>
      <c r="Q16" s="463"/>
      <c r="R16" s="463"/>
      <c r="S16" s="463"/>
      <c r="T16" s="463"/>
      <c r="U16" s="454" t="s">
        <v>356</v>
      </c>
      <c r="V16" s="454"/>
      <c r="W16" s="454"/>
      <c r="X16" s="454"/>
      <c r="Y16" s="454"/>
      <c r="Z16" s="463"/>
      <c r="AA16" s="463"/>
      <c r="AB16" s="463"/>
      <c r="AC16" s="463"/>
      <c r="AD16" s="290"/>
      <c r="AE16" s="286"/>
      <c r="AF16" s="286"/>
      <c r="AG16" s="286"/>
      <c r="AH16" s="287"/>
      <c r="AI16" s="288"/>
      <c r="AJ16" s="288"/>
      <c r="AK16" s="288"/>
      <c r="AM16" s="287"/>
      <c r="AN16" s="287"/>
      <c r="AO16" s="287"/>
      <c r="AP16" s="287"/>
      <c r="AQ16" s="287"/>
      <c r="AR16" s="287"/>
    </row>
    <row r="17" spans="3:58" s="51" customFormat="1" ht="16" customHeight="1" x14ac:dyDescent="0.2">
      <c r="C17" s="459" t="s">
        <v>366</v>
      </c>
      <c r="D17" s="460"/>
      <c r="E17" s="460"/>
      <c r="F17" s="460"/>
      <c r="G17" s="460"/>
      <c r="H17" s="462"/>
      <c r="I17" s="462"/>
      <c r="J17" s="462"/>
      <c r="K17" s="462"/>
      <c r="L17" s="461" t="s">
        <v>543</v>
      </c>
      <c r="M17" s="461"/>
      <c r="N17" s="461"/>
      <c r="O17" s="461"/>
      <c r="P17" s="461"/>
      <c r="Q17" s="462"/>
      <c r="R17" s="462"/>
      <c r="S17" s="462"/>
      <c r="T17" s="462"/>
      <c r="U17" s="454" t="s">
        <v>357</v>
      </c>
      <c r="V17" s="454"/>
      <c r="W17" s="454"/>
      <c r="X17" s="454"/>
      <c r="Y17" s="454"/>
      <c r="Z17" s="462"/>
      <c r="AA17" s="462"/>
      <c r="AB17" s="462"/>
      <c r="AC17" s="462"/>
      <c r="AD17" s="290"/>
      <c r="AE17" s="286"/>
      <c r="AF17" s="286"/>
      <c r="AG17" s="286"/>
      <c r="AH17" s="287"/>
      <c r="AI17" s="288"/>
      <c r="AJ17" s="288"/>
      <c r="AK17" s="288"/>
      <c r="AM17" s="287"/>
      <c r="AN17" s="287"/>
      <c r="AO17" s="287"/>
      <c r="AP17" s="287"/>
      <c r="AQ17" s="287"/>
      <c r="AR17" s="287"/>
    </row>
    <row r="18" spans="3:58" s="51" customFormat="1" ht="16" customHeight="1" x14ac:dyDescent="0.2">
      <c r="C18" s="459" t="s">
        <v>369</v>
      </c>
      <c r="D18" s="460"/>
      <c r="E18" s="460"/>
      <c r="F18" s="460"/>
      <c r="G18" s="460"/>
      <c r="H18" s="462"/>
      <c r="I18" s="462"/>
      <c r="J18" s="462"/>
      <c r="K18" s="462"/>
      <c r="L18" s="461"/>
      <c r="M18" s="461"/>
      <c r="N18" s="461"/>
      <c r="O18" s="461"/>
      <c r="P18" s="461"/>
      <c r="Q18" s="462"/>
      <c r="R18" s="462"/>
      <c r="S18" s="462"/>
      <c r="T18" s="462"/>
      <c r="U18" s="454" t="s">
        <v>358</v>
      </c>
      <c r="V18" s="454"/>
      <c r="W18" s="454"/>
      <c r="X18" s="454"/>
      <c r="Y18" s="454"/>
      <c r="Z18" s="462"/>
      <c r="AA18" s="462"/>
      <c r="AB18" s="462"/>
      <c r="AC18" s="462"/>
      <c r="AD18" s="290"/>
      <c r="AE18" s="286"/>
      <c r="AF18" s="286"/>
      <c r="AG18" s="286"/>
      <c r="AH18" s="287"/>
      <c r="AI18" s="288"/>
      <c r="AJ18" s="288"/>
      <c r="AK18" s="288"/>
      <c r="AM18" s="287"/>
      <c r="AN18" s="287"/>
      <c r="AO18" s="287"/>
      <c r="AP18" s="287"/>
      <c r="AQ18" s="287"/>
      <c r="AR18" s="287"/>
    </row>
    <row r="19" spans="3:58" s="51" customFormat="1" ht="16" customHeight="1" x14ac:dyDescent="0.2">
      <c r="C19" s="459" t="s">
        <v>368</v>
      </c>
      <c r="D19" s="460"/>
      <c r="E19" s="460"/>
      <c r="F19" s="460"/>
      <c r="G19" s="460"/>
      <c r="H19" s="462"/>
      <c r="I19" s="462"/>
      <c r="J19" s="462"/>
      <c r="K19" s="462"/>
      <c r="L19" s="461"/>
      <c r="M19" s="461"/>
      <c r="N19" s="461"/>
      <c r="O19" s="461"/>
      <c r="P19" s="461"/>
      <c r="Q19" s="462"/>
      <c r="R19" s="462"/>
      <c r="S19" s="462"/>
      <c r="T19" s="462"/>
      <c r="U19" s="454" t="s">
        <v>359</v>
      </c>
      <c r="V19" s="454"/>
      <c r="W19" s="454"/>
      <c r="X19" s="454"/>
      <c r="Y19" s="454"/>
      <c r="Z19" s="462"/>
      <c r="AA19" s="462"/>
      <c r="AB19" s="462"/>
      <c r="AC19" s="462"/>
      <c r="AD19" s="290"/>
      <c r="AE19" s="286"/>
      <c r="AF19" s="286"/>
      <c r="AG19" s="286"/>
      <c r="AH19" s="287"/>
      <c r="AI19" s="288"/>
      <c r="AJ19" s="288"/>
      <c r="AK19" s="288"/>
      <c r="AM19" s="287"/>
      <c r="AN19" s="287"/>
      <c r="AO19" s="287"/>
      <c r="AP19" s="287"/>
      <c r="AQ19" s="287"/>
      <c r="AR19" s="287"/>
    </row>
    <row r="20" spans="3:58" s="51" customFormat="1" ht="16" customHeight="1" x14ac:dyDescent="0.2">
      <c r="C20" s="459"/>
      <c r="D20" s="460"/>
      <c r="E20" s="460"/>
      <c r="F20" s="460"/>
      <c r="G20" s="460"/>
      <c r="H20" s="462"/>
      <c r="I20" s="462"/>
      <c r="J20" s="462"/>
      <c r="K20" s="462"/>
      <c r="L20" s="461"/>
      <c r="M20" s="461"/>
      <c r="N20" s="461"/>
      <c r="O20" s="461"/>
      <c r="P20" s="461"/>
      <c r="Q20" s="462"/>
      <c r="R20" s="462"/>
      <c r="S20" s="462"/>
      <c r="T20" s="462"/>
      <c r="U20" s="454" t="s">
        <v>360</v>
      </c>
      <c r="V20" s="454"/>
      <c r="W20" s="454"/>
      <c r="X20" s="454"/>
      <c r="Y20" s="454"/>
      <c r="Z20" s="462"/>
      <c r="AA20" s="462"/>
      <c r="AB20" s="462"/>
      <c r="AC20" s="462"/>
      <c r="AD20" s="290"/>
      <c r="AE20" s="286"/>
      <c r="AF20" s="286"/>
      <c r="AG20" s="286"/>
      <c r="AH20" s="287"/>
      <c r="AI20" s="288"/>
      <c r="AJ20" s="288"/>
      <c r="AK20" s="288"/>
      <c r="AM20" s="287"/>
      <c r="AN20" s="287"/>
      <c r="AO20" s="287"/>
      <c r="AP20" s="287"/>
      <c r="AQ20" s="287"/>
      <c r="AR20" s="287"/>
    </row>
    <row r="21" spans="3:58" s="51" customFormat="1" ht="16" customHeight="1" x14ac:dyDescent="0.2">
      <c r="C21" s="459" t="s">
        <v>247</v>
      </c>
      <c r="D21" s="460"/>
      <c r="E21" s="460"/>
      <c r="F21" s="460"/>
      <c r="G21" s="460"/>
      <c r="H21" s="462"/>
      <c r="I21" s="462"/>
      <c r="J21" s="462"/>
      <c r="K21" s="462"/>
      <c r="L21" s="454" t="s">
        <v>539</v>
      </c>
      <c r="M21" s="454"/>
      <c r="N21" s="454"/>
      <c r="O21" s="454"/>
      <c r="P21" s="454"/>
      <c r="Q21" s="462"/>
      <c r="R21" s="462"/>
      <c r="S21" s="462"/>
      <c r="T21" s="462"/>
      <c r="U21" s="454" t="s">
        <v>492</v>
      </c>
      <c r="V21" s="454"/>
      <c r="W21" s="454"/>
      <c r="X21" s="454"/>
      <c r="Y21" s="454"/>
      <c r="Z21" s="462"/>
      <c r="AA21" s="462"/>
      <c r="AB21" s="462"/>
      <c r="AC21" s="462"/>
      <c r="AD21" s="290"/>
      <c r="AE21" s="286"/>
      <c r="AF21" s="286"/>
      <c r="AG21" s="286"/>
      <c r="AH21" s="287"/>
      <c r="AI21" s="288"/>
      <c r="AJ21" s="288"/>
      <c r="AK21" s="288"/>
    </row>
    <row r="22" spans="3:58" s="51" customFormat="1" ht="16" customHeight="1" x14ac:dyDescent="0.2">
      <c r="C22" s="459" t="s">
        <v>354</v>
      </c>
      <c r="D22" s="460"/>
      <c r="E22" s="460"/>
      <c r="F22" s="460"/>
      <c r="G22" s="460"/>
      <c r="H22" s="462"/>
      <c r="I22" s="462"/>
      <c r="J22" s="462"/>
      <c r="K22" s="462"/>
      <c r="L22" s="456" t="s">
        <v>540</v>
      </c>
      <c r="M22" s="456"/>
      <c r="N22" s="456"/>
      <c r="O22" s="456"/>
      <c r="P22" s="456"/>
      <c r="Q22" s="462"/>
      <c r="R22" s="462"/>
      <c r="S22" s="462"/>
      <c r="T22" s="462"/>
      <c r="U22" s="454"/>
      <c r="V22" s="454"/>
      <c r="W22" s="454"/>
      <c r="X22" s="454"/>
      <c r="Y22" s="454"/>
      <c r="Z22" s="462"/>
      <c r="AA22" s="462"/>
      <c r="AB22" s="462"/>
      <c r="AC22" s="462"/>
      <c r="AD22" s="290"/>
      <c r="AE22" s="286"/>
      <c r="AF22" s="286"/>
      <c r="AG22" s="286"/>
      <c r="AH22" s="287"/>
      <c r="AI22" s="288"/>
      <c r="AJ22" s="288"/>
      <c r="AK22" s="288"/>
    </row>
    <row r="23" spans="3:58" s="51" customFormat="1" ht="16" customHeight="1" x14ac:dyDescent="0.2">
      <c r="C23" s="459" t="s">
        <v>216</v>
      </c>
      <c r="D23" s="460"/>
      <c r="E23" s="460"/>
      <c r="F23" s="460"/>
      <c r="G23" s="460"/>
      <c r="H23" s="462"/>
      <c r="I23" s="462"/>
      <c r="J23" s="462"/>
      <c r="K23" s="462"/>
      <c r="L23" s="456" t="s">
        <v>354</v>
      </c>
      <c r="M23" s="456"/>
      <c r="N23" s="456"/>
      <c r="O23" s="456"/>
      <c r="P23" s="456"/>
      <c r="Q23" s="462"/>
      <c r="R23" s="462"/>
      <c r="S23" s="462"/>
      <c r="T23" s="462"/>
      <c r="U23" s="454"/>
      <c r="V23" s="454"/>
      <c r="W23" s="454"/>
      <c r="X23" s="454"/>
      <c r="Y23" s="454"/>
      <c r="Z23" s="462"/>
      <c r="AA23" s="462"/>
      <c r="AB23" s="462"/>
      <c r="AC23" s="462"/>
      <c r="AD23" s="290"/>
      <c r="AE23" s="286"/>
      <c r="AF23" s="286"/>
      <c r="AG23" s="286"/>
      <c r="AH23" s="287"/>
      <c r="AI23" s="288"/>
      <c r="AJ23" s="288"/>
      <c r="AK23" s="288"/>
    </row>
    <row r="24" spans="3:58" s="51" customFormat="1" ht="16" customHeight="1" x14ac:dyDescent="0.2">
      <c r="C24" s="459" t="s">
        <v>354</v>
      </c>
      <c r="D24" s="460"/>
      <c r="E24" s="460"/>
      <c r="F24" s="460"/>
      <c r="G24" s="460"/>
      <c r="H24" s="462"/>
      <c r="I24" s="462"/>
      <c r="J24" s="462"/>
      <c r="K24" s="462"/>
      <c r="L24" s="454" t="s">
        <v>541</v>
      </c>
      <c r="M24" s="454"/>
      <c r="N24" s="454"/>
      <c r="O24" s="454"/>
      <c r="P24" s="454"/>
      <c r="Q24" s="462"/>
      <c r="R24" s="462"/>
      <c r="S24" s="462"/>
      <c r="T24" s="462"/>
      <c r="U24" s="458" t="s">
        <v>494</v>
      </c>
      <c r="V24" s="458"/>
      <c r="W24" s="458"/>
      <c r="X24" s="458"/>
      <c r="Y24" s="458"/>
      <c r="Z24" s="462"/>
      <c r="AA24" s="462"/>
      <c r="AB24" s="462"/>
      <c r="AC24" s="462"/>
      <c r="AD24" s="290"/>
      <c r="AE24" s="286"/>
      <c r="AF24" s="286"/>
      <c r="AG24" s="286"/>
      <c r="AH24" s="287"/>
      <c r="AI24" s="288"/>
      <c r="AJ24" s="288"/>
      <c r="AK24" s="288"/>
    </row>
    <row r="25" spans="3:58" s="51" customFormat="1" ht="16" customHeight="1" x14ac:dyDescent="0.2">
      <c r="C25" s="459" t="s">
        <v>365</v>
      </c>
      <c r="D25" s="460"/>
      <c r="E25" s="460"/>
      <c r="F25" s="460"/>
      <c r="G25" s="460"/>
      <c r="H25" s="462"/>
      <c r="I25" s="462"/>
      <c r="J25" s="462"/>
      <c r="K25" s="462"/>
      <c r="L25" s="461"/>
      <c r="M25" s="461"/>
      <c r="N25" s="461"/>
      <c r="O25" s="461"/>
      <c r="P25" s="461"/>
      <c r="Q25" s="462"/>
      <c r="R25" s="462"/>
      <c r="S25" s="462"/>
      <c r="T25" s="462"/>
      <c r="U25" s="456"/>
      <c r="V25" s="456"/>
      <c r="W25" s="456"/>
      <c r="X25" s="456"/>
      <c r="Y25" s="456"/>
      <c r="Z25" s="462"/>
      <c r="AA25" s="462"/>
      <c r="AB25" s="462"/>
      <c r="AC25" s="462"/>
      <c r="AD25" s="290"/>
      <c r="AE25" s="286"/>
      <c r="AF25" s="286"/>
      <c r="AG25" s="286"/>
      <c r="AH25" s="287"/>
      <c r="AI25" s="288"/>
      <c r="AJ25" s="288"/>
      <c r="AK25" s="288"/>
    </row>
    <row r="26" spans="3:58" s="51" customFormat="1" ht="16" customHeight="1" x14ac:dyDescent="0.2">
      <c r="C26" s="459" t="s">
        <v>354</v>
      </c>
      <c r="D26" s="460"/>
      <c r="E26" s="460"/>
      <c r="F26" s="460"/>
      <c r="G26" s="460"/>
      <c r="H26" s="462"/>
      <c r="I26" s="462"/>
      <c r="J26" s="462"/>
      <c r="K26" s="462"/>
      <c r="L26" s="454"/>
      <c r="M26" s="454"/>
      <c r="N26" s="454"/>
      <c r="O26" s="454"/>
      <c r="P26" s="454"/>
      <c r="Q26" s="462"/>
      <c r="R26" s="462"/>
      <c r="S26" s="462"/>
      <c r="T26" s="462"/>
      <c r="U26" s="456"/>
      <c r="V26" s="456"/>
      <c r="W26" s="456"/>
      <c r="X26" s="456"/>
      <c r="Y26" s="456"/>
      <c r="Z26" s="462"/>
      <c r="AA26" s="462"/>
      <c r="AB26" s="462"/>
      <c r="AC26" s="462"/>
      <c r="AD26" s="290"/>
      <c r="AE26" s="286"/>
      <c r="AF26" s="286"/>
      <c r="AG26" s="286"/>
      <c r="AH26" s="287"/>
      <c r="AI26" s="288"/>
      <c r="AJ26" s="288"/>
      <c r="AK26" s="288"/>
    </row>
    <row r="27" spans="3:58" s="51" customFormat="1" ht="16" customHeight="1" x14ac:dyDescent="0.2">
      <c r="C27" s="459" t="s">
        <v>367</v>
      </c>
      <c r="D27" s="460"/>
      <c r="E27" s="460"/>
      <c r="F27" s="460"/>
      <c r="G27" s="460"/>
      <c r="H27" s="462"/>
      <c r="I27" s="462"/>
      <c r="J27" s="462"/>
      <c r="K27" s="462"/>
      <c r="L27" s="454"/>
      <c r="M27" s="454"/>
      <c r="N27" s="454"/>
      <c r="O27" s="454"/>
      <c r="P27" s="454"/>
      <c r="Q27" s="462"/>
      <c r="R27" s="462"/>
      <c r="S27" s="462"/>
      <c r="T27" s="462"/>
      <c r="U27" s="456"/>
      <c r="V27" s="456"/>
      <c r="W27" s="456"/>
      <c r="X27" s="456"/>
      <c r="Y27" s="456"/>
      <c r="Z27" s="462"/>
      <c r="AA27" s="462"/>
      <c r="AB27" s="462"/>
      <c r="AC27" s="462"/>
      <c r="AD27" s="290"/>
      <c r="AE27" s="286"/>
      <c r="AF27" s="286"/>
      <c r="AG27" s="286"/>
      <c r="AH27" s="287"/>
      <c r="AI27" s="288"/>
      <c r="AJ27" s="288"/>
      <c r="AK27" s="288"/>
      <c r="AS27" s="287"/>
      <c r="AT27" s="287"/>
      <c r="AU27" s="287"/>
      <c r="AV27" s="287"/>
      <c r="AW27" s="287"/>
      <c r="AX27" s="287"/>
      <c r="AY27" s="287"/>
      <c r="AZ27" s="287"/>
      <c r="BA27" s="287"/>
      <c r="BB27" s="287"/>
      <c r="BC27" s="287"/>
      <c r="BD27" s="287"/>
      <c r="BE27" s="287"/>
      <c r="BF27" s="287"/>
    </row>
    <row r="28" spans="3:58" s="51" customFormat="1" ht="16" customHeight="1" x14ac:dyDescent="0.2">
      <c r="C28" s="459" t="s">
        <v>354</v>
      </c>
      <c r="D28" s="460"/>
      <c r="E28" s="460"/>
      <c r="F28" s="460"/>
      <c r="G28" s="460"/>
      <c r="H28" s="462"/>
      <c r="I28" s="462"/>
      <c r="J28" s="462"/>
      <c r="K28" s="462"/>
      <c r="L28" s="454"/>
      <c r="M28" s="454"/>
      <c r="N28" s="454"/>
      <c r="O28" s="454"/>
      <c r="P28" s="454"/>
      <c r="Q28" s="462"/>
      <c r="R28" s="462"/>
      <c r="S28" s="462"/>
      <c r="T28" s="462"/>
      <c r="U28" s="456"/>
      <c r="V28" s="456"/>
      <c r="W28" s="456"/>
      <c r="X28" s="456"/>
      <c r="Y28" s="456"/>
      <c r="Z28" s="462"/>
      <c r="AA28" s="462"/>
      <c r="AB28" s="462"/>
      <c r="AC28" s="462"/>
      <c r="AD28" s="290"/>
      <c r="AE28" s="286"/>
      <c r="AF28" s="286"/>
      <c r="AG28" s="286"/>
      <c r="AH28" s="287"/>
      <c r="AI28" s="288"/>
      <c r="AJ28" s="288"/>
      <c r="AK28" s="288"/>
      <c r="AS28" s="287"/>
      <c r="AT28" s="287"/>
      <c r="AU28" s="287"/>
      <c r="AV28" s="287"/>
      <c r="AW28" s="287"/>
      <c r="AX28" s="287"/>
      <c r="AY28" s="287"/>
      <c r="AZ28" s="287"/>
      <c r="BA28" s="287"/>
      <c r="BB28" s="287"/>
      <c r="BC28" s="287"/>
      <c r="BD28" s="287"/>
      <c r="BE28" s="287"/>
      <c r="BF28" s="287"/>
    </row>
    <row r="29" spans="3:58" s="51" customFormat="1" ht="16" customHeight="1" x14ac:dyDescent="0.2">
      <c r="C29" s="459" t="s">
        <v>248</v>
      </c>
      <c r="D29" s="460"/>
      <c r="E29" s="460"/>
      <c r="F29" s="460"/>
      <c r="G29" s="460"/>
      <c r="H29" s="462"/>
      <c r="I29" s="462"/>
      <c r="J29" s="462"/>
      <c r="K29" s="462"/>
      <c r="L29" s="454" t="s">
        <v>542</v>
      </c>
      <c r="M29" s="454"/>
      <c r="N29" s="454"/>
      <c r="O29" s="454"/>
      <c r="P29" s="454"/>
      <c r="Q29" s="462"/>
      <c r="R29" s="462"/>
      <c r="S29" s="462"/>
      <c r="T29" s="462"/>
      <c r="U29" s="456"/>
      <c r="V29" s="456"/>
      <c r="W29" s="456"/>
      <c r="X29" s="456"/>
      <c r="Y29" s="456"/>
      <c r="Z29" s="462"/>
      <c r="AA29" s="462"/>
      <c r="AB29" s="462"/>
      <c r="AC29" s="462"/>
      <c r="AD29" s="290"/>
      <c r="AE29" s="286"/>
      <c r="AF29" s="286"/>
      <c r="AG29" s="286"/>
      <c r="AH29" s="287"/>
      <c r="AI29" s="288"/>
      <c r="AJ29" s="288"/>
      <c r="AK29" s="288"/>
      <c r="AS29" s="287"/>
      <c r="AT29" s="287"/>
      <c r="AU29" s="287"/>
      <c r="AV29" s="287"/>
      <c r="AW29" s="287"/>
      <c r="AX29" s="287"/>
      <c r="AY29" s="287"/>
      <c r="AZ29" s="287"/>
      <c r="BA29" s="287"/>
      <c r="BB29" s="287"/>
      <c r="BC29" s="287"/>
      <c r="BD29" s="287"/>
      <c r="BE29" s="287"/>
      <c r="BF29" s="287"/>
    </row>
    <row r="30" spans="3:58" s="51" customFormat="1" ht="16" customHeight="1" x14ac:dyDescent="0.2">
      <c r="C30" s="459"/>
      <c r="D30" s="460"/>
      <c r="E30" s="460"/>
      <c r="F30" s="460"/>
      <c r="G30" s="460"/>
      <c r="H30" s="462"/>
      <c r="I30" s="462"/>
      <c r="J30" s="462"/>
      <c r="K30" s="462"/>
      <c r="L30" s="454" t="s">
        <v>540</v>
      </c>
      <c r="M30" s="454"/>
      <c r="N30" s="454"/>
      <c r="O30" s="454"/>
      <c r="P30" s="454"/>
      <c r="Q30" s="462"/>
      <c r="R30" s="462"/>
      <c r="S30" s="462"/>
      <c r="T30" s="462"/>
      <c r="U30" s="456"/>
      <c r="V30" s="456"/>
      <c r="W30" s="456"/>
      <c r="X30" s="456"/>
      <c r="Y30" s="456"/>
      <c r="Z30" s="462"/>
      <c r="AA30" s="462"/>
      <c r="AB30" s="462"/>
      <c r="AC30" s="462"/>
      <c r="AD30" s="290"/>
      <c r="AE30" s="286"/>
      <c r="AF30" s="286"/>
      <c r="AG30" s="286"/>
      <c r="AH30" s="287"/>
      <c r="AI30" s="288"/>
      <c r="AJ30" s="288"/>
      <c r="AK30" s="288"/>
      <c r="AS30" s="287"/>
      <c r="AT30" s="287"/>
      <c r="AU30" s="287"/>
      <c r="AV30" s="287"/>
      <c r="AW30" s="287"/>
      <c r="AX30" s="287"/>
      <c r="AY30" s="287"/>
      <c r="AZ30" s="287"/>
      <c r="BA30" s="287"/>
      <c r="BB30" s="287"/>
      <c r="BC30" s="287"/>
      <c r="BD30" s="287"/>
      <c r="BE30" s="287"/>
      <c r="BF30" s="287"/>
    </row>
    <row r="31" spans="3:58" s="51" customFormat="1" ht="16" customHeight="1" x14ac:dyDescent="0.2">
      <c r="C31" s="459" t="s">
        <v>150</v>
      </c>
      <c r="D31" s="460"/>
      <c r="E31" s="460"/>
      <c r="F31" s="460"/>
      <c r="G31" s="460"/>
      <c r="H31" s="462"/>
      <c r="I31" s="462"/>
      <c r="J31" s="462"/>
      <c r="K31" s="462"/>
      <c r="L31" s="454" t="s">
        <v>354</v>
      </c>
      <c r="M31" s="454"/>
      <c r="N31" s="454"/>
      <c r="O31" s="454"/>
      <c r="P31" s="454"/>
      <c r="Q31" s="462"/>
      <c r="R31" s="462"/>
      <c r="S31" s="462"/>
      <c r="T31" s="462"/>
      <c r="U31" s="456"/>
      <c r="V31" s="456"/>
      <c r="W31" s="456"/>
      <c r="X31" s="456"/>
      <c r="Y31" s="456"/>
      <c r="Z31" s="462"/>
      <c r="AA31" s="462"/>
      <c r="AB31" s="462"/>
      <c r="AC31" s="462"/>
      <c r="AD31" s="290"/>
      <c r="AE31" s="286"/>
      <c r="AF31" s="286"/>
      <c r="AG31" s="286"/>
      <c r="AH31" s="287"/>
      <c r="AI31" s="288"/>
      <c r="AJ31" s="288"/>
      <c r="AK31" s="288"/>
      <c r="AS31" s="287"/>
      <c r="AT31" s="287"/>
      <c r="AU31" s="287"/>
      <c r="AV31" s="287"/>
      <c r="AW31" s="287"/>
      <c r="AX31" s="287"/>
      <c r="AY31" s="287"/>
      <c r="AZ31" s="287"/>
      <c r="BA31" s="287"/>
      <c r="BB31" s="287"/>
      <c r="BC31" s="287"/>
      <c r="BD31" s="287"/>
      <c r="BE31" s="287"/>
      <c r="BF31" s="287"/>
    </row>
    <row r="32" spans="3:58" s="51" customFormat="1" ht="16" customHeight="1" x14ac:dyDescent="0.2">
      <c r="C32" s="459" t="s">
        <v>491</v>
      </c>
      <c r="D32" s="460"/>
      <c r="E32" s="460"/>
      <c r="F32" s="460"/>
      <c r="G32" s="460"/>
      <c r="H32" s="462"/>
      <c r="I32" s="462"/>
      <c r="J32" s="462"/>
      <c r="K32" s="462"/>
      <c r="L32" s="456"/>
      <c r="M32" s="456"/>
      <c r="N32" s="456"/>
      <c r="O32" s="456"/>
      <c r="P32" s="456"/>
      <c r="Q32" s="462"/>
      <c r="R32" s="462"/>
      <c r="S32" s="462"/>
      <c r="T32" s="462"/>
      <c r="U32" s="456"/>
      <c r="V32" s="456"/>
      <c r="W32" s="456"/>
      <c r="X32" s="456"/>
      <c r="Y32" s="456"/>
      <c r="Z32" s="462"/>
      <c r="AA32" s="462"/>
      <c r="AB32" s="462"/>
      <c r="AC32" s="462"/>
      <c r="AD32" s="290"/>
      <c r="AE32" s="286"/>
      <c r="AF32" s="286"/>
      <c r="AG32" s="286"/>
      <c r="AH32" s="287"/>
      <c r="AI32" s="288"/>
      <c r="AJ32" s="288"/>
      <c r="AK32" s="288"/>
      <c r="AS32" s="287"/>
      <c r="AT32" s="287"/>
      <c r="AU32" s="287"/>
      <c r="AV32" s="287"/>
      <c r="AW32" s="287"/>
      <c r="AX32" s="287"/>
      <c r="AY32" s="287"/>
      <c r="AZ32" s="287"/>
      <c r="BA32" s="287"/>
      <c r="BB32" s="287"/>
      <c r="BC32" s="287"/>
      <c r="BD32" s="287"/>
      <c r="BE32" s="287"/>
      <c r="BF32" s="287"/>
    </row>
    <row r="33" spans="2:65" s="51" customFormat="1" ht="16" customHeight="1" x14ac:dyDescent="0.2">
      <c r="C33" s="459"/>
      <c r="D33" s="460"/>
      <c r="E33" s="460"/>
      <c r="F33" s="460"/>
      <c r="G33" s="460"/>
      <c r="H33" s="462"/>
      <c r="I33" s="462"/>
      <c r="J33" s="462"/>
      <c r="K33" s="462"/>
      <c r="L33" s="456"/>
      <c r="M33" s="456"/>
      <c r="N33" s="456"/>
      <c r="O33" s="456"/>
      <c r="P33" s="456"/>
      <c r="Q33" s="462"/>
      <c r="R33" s="462"/>
      <c r="S33" s="462"/>
      <c r="T33" s="462"/>
      <c r="U33" s="456"/>
      <c r="V33" s="456"/>
      <c r="W33" s="456"/>
      <c r="X33" s="456"/>
      <c r="Y33" s="456"/>
      <c r="Z33" s="462"/>
      <c r="AA33" s="462"/>
      <c r="AB33" s="462"/>
      <c r="AC33" s="462"/>
      <c r="AD33" s="290"/>
      <c r="AE33" s="286"/>
      <c r="AF33" s="286"/>
      <c r="AG33" s="286"/>
      <c r="AH33" s="287"/>
      <c r="AI33" s="288"/>
      <c r="AJ33" s="288"/>
      <c r="AK33" s="288"/>
      <c r="AS33" s="287"/>
      <c r="AT33" s="287"/>
      <c r="AU33" s="287"/>
      <c r="AV33" s="287"/>
      <c r="AW33" s="287"/>
      <c r="AX33" s="287"/>
      <c r="AY33" s="287"/>
      <c r="AZ33" s="287"/>
      <c r="BA33" s="287"/>
      <c r="BB33" s="287"/>
      <c r="BC33" s="287"/>
      <c r="BD33" s="287"/>
      <c r="BE33" s="287"/>
      <c r="BF33" s="287"/>
    </row>
    <row r="34" spans="2:65" ht="16.25" customHeight="1" x14ac:dyDescent="0.2">
      <c r="C34" s="212" t="s">
        <v>258</v>
      </c>
      <c r="D34" s="213"/>
      <c r="E34" s="213"/>
      <c r="F34" s="213"/>
      <c r="G34" s="213"/>
      <c r="H34" s="187"/>
      <c r="I34" s="187"/>
      <c r="J34" s="187"/>
      <c r="K34" s="187"/>
      <c r="L34" s="187"/>
      <c r="M34" s="213"/>
      <c r="N34" s="213"/>
      <c r="O34" s="213"/>
      <c r="P34" s="213"/>
      <c r="Q34" s="213"/>
      <c r="R34" s="491"/>
      <c r="S34" s="491"/>
      <c r="T34" s="491"/>
      <c r="U34" s="491"/>
      <c r="V34" s="491"/>
      <c r="W34" s="491"/>
      <c r="X34" s="491"/>
      <c r="Y34" s="491"/>
      <c r="Z34" s="491"/>
      <c r="AA34" s="491"/>
      <c r="AB34" s="491"/>
      <c r="AC34" s="491"/>
      <c r="AD34" s="56"/>
      <c r="AE34" s="213"/>
      <c r="AF34" s="213"/>
      <c r="AG34" s="213"/>
      <c r="AI34" s="260"/>
      <c r="AJ34" s="260"/>
      <c r="AK34" s="260"/>
      <c r="AR34" s="90"/>
    </row>
    <row r="35" spans="2:65" s="111" customFormat="1" ht="15" customHeight="1" x14ac:dyDescent="0.2">
      <c r="B35"/>
      <c r="C35" s="112"/>
      <c r="D35" s="173" t="s">
        <v>113</v>
      </c>
      <c r="E35" s="218"/>
      <c r="F35" s="219"/>
      <c r="G35" s="219"/>
      <c r="H35" s="219"/>
      <c r="I35" s="219"/>
      <c r="J35" s="219"/>
      <c r="K35" s="219"/>
      <c r="L35" s="219"/>
      <c r="M35" s="219"/>
      <c r="N35" s="219"/>
      <c r="O35" s="219"/>
      <c r="P35" s="219"/>
      <c r="Q35" s="219"/>
      <c r="R35" s="218"/>
      <c r="S35" s="218"/>
      <c r="T35" s="218"/>
      <c r="U35" s="218"/>
      <c r="V35" s="220"/>
      <c r="W35" s="220"/>
      <c r="X35" s="221"/>
      <c r="Y35" s="221"/>
      <c r="Z35" s="576" t="s">
        <v>370</v>
      </c>
      <c r="AA35" s="576"/>
      <c r="AB35" s="576"/>
      <c r="AC35" s="577"/>
      <c r="AD35" s="222"/>
      <c r="AE35" s="492" t="s">
        <v>363</v>
      </c>
      <c r="AF35" s="492"/>
      <c r="AG35" s="493"/>
      <c r="AI35" s="476" t="s">
        <v>447</v>
      </c>
      <c r="AJ35" s="477"/>
      <c r="AK35" s="478"/>
    </row>
    <row r="36" spans="2:65" s="291" customFormat="1" ht="16" customHeight="1" x14ac:dyDescent="0.2">
      <c r="C36" s="432" t="s">
        <v>259</v>
      </c>
      <c r="D36" s="433"/>
      <c r="E36" s="434" t="str">
        <f>A!D10</f>
        <v>Prep Crew</v>
      </c>
      <c r="F36" s="434"/>
      <c r="G36" s="434"/>
      <c r="H36" s="434"/>
      <c r="I36" s="434"/>
      <c r="J36" s="434"/>
      <c r="K36" s="434"/>
      <c r="L36" s="434"/>
      <c r="M36" s="434"/>
      <c r="N36" s="434" t="s">
        <v>281</v>
      </c>
      <c r="O36" s="434"/>
      <c r="P36" s="434"/>
      <c r="Q36" s="434"/>
      <c r="R36" s="434"/>
      <c r="S36" s="434"/>
      <c r="T36" s="434"/>
      <c r="U36" s="434"/>
      <c r="V36" s="434"/>
      <c r="W36" s="434"/>
      <c r="X36" s="434"/>
      <c r="Y36" s="434"/>
      <c r="Z36" s="486">
        <f>Total_A</f>
        <v>0</v>
      </c>
      <c r="AA36" s="486"/>
      <c r="AB36" s="486"/>
      <c r="AC36" s="487"/>
      <c r="AD36" s="292"/>
      <c r="AE36" s="488">
        <f>Actual_A</f>
        <v>0</v>
      </c>
      <c r="AF36" s="488"/>
      <c r="AG36" s="489"/>
      <c r="AI36" s="465">
        <f>AE36-Z36</f>
        <v>0</v>
      </c>
      <c r="AJ36" s="466"/>
      <c r="AK36" s="467"/>
      <c r="AS36" s="287"/>
      <c r="AT36" s="287"/>
      <c r="AU36" s="287"/>
      <c r="AV36" s="287"/>
      <c r="AW36" s="287"/>
      <c r="AX36" s="287"/>
      <c r="AY36" s="287"/>
      <c r="AZ36" s="287"/>
      <c r="BA36" s="287"/>
      <c r="BB36" s="287"/>
      <c r="BC36" s="287"/>
      <c r="BD36" s="287"/>
      <c r="BE36" s="287"/>
      <c r="BF36" s="287"/>
    </row>
    <row r="37" spans="2:65" s="291" customFormat="1" ht="16" customHeight="1" x14ac:dyDescent="0.2">
      <c r="C37" s="432" t="s">
        <v>260</v>
      </c>
      <c r="D37" s="433"/>
      <c r="E37" s="434" t="str">
        <f>B!D10</f>
        <v>Shoot Crew</v>
      </c>
      <c r="F37" s="434"/>
      <c r="G37" s="434"/>
      <c r="H37" s="434"/>
      <c r="I37" s="434"/>
      <c r="J37" s="434"/>
      <c r="K37" s="434"/>
      <c r="L37" s="434"/>
      <c r="M37" s="434"/>
      <c r="N37" s="434" t="s">
        <v>282</v>
      </c>
      <c r="O37" s="434"/>
      <c r="P37" s="434"/>
      <c r="Q37" s="434"/>
      <c r="R37" s="434"/>
      <c r="S37" s="434"/>
      <c r="T37" s="434"/>
      <c r="U37" s="434"/>
      <c r="V37" s="434"/>
      <c r="W37" s="434"/>
      <c r="X37" s="434"/>
      <c r="Y37" s="434"/>
      <c r="Z37" s="486">
        <f>Total_B</f>
        <v>0</v>
      </c>
      <c r="AA37" s="486"/>
      <c r="AB37" s="486"/>
      <c r="AC37" s="487"/>
      <c r="AD37" s="292"/>
      <c r="AE37" s="488">
        <f>Actual_B</f>
        <v>0</v>
      </c>
      <c r="AF37" s="488"/>
      <c r="AG37" s="489"/>
      <c r="AI37" s="465">
        <f t="shared" ref="AI37:AI56" si="0">AE37-Z37</f>
        <v>0</v>
      </c>
      <c r="AJ37" s="466"/>
      <c r="AK37" s="467"/>
      <c r="AS37" s="287"/>
      <c r="AT37" s="287"/>
      <c r="AU37" s="287"/>
      <c r="AV37" s="287"/>
      <c r="AW37" s="287"/>
      <c r="AX37" s="287"/>
      <c r="AY37" s="287"/>
      <c r="AZ37" s="287"/>
      <c r="BA37" s="287"/>
      <c r="BB37" s="287"/>
      <c r="BC37" s="287"/>
      <c r="BD37" s="287"/>
      <c r="BE37" s="287"/>
      <c r="BF37" s="287"/>
    </row>
    <row r="38" spans="2:65" s="291" customFormat="1" ht="16" customHeight="1" x14ac:dyDescent="0.2">
      <c r="C38" s="432" t="s">
        <v>261</v>
      </c>
      <c r="D38" s="433"/>
      <c r="E38" s="434" t="str">
        <f>CDE!D8</f>
        <v>Prep &amp; Wrap Expenses</v>
      </c>
      <c r="F38" s="434"/>
      <c r="G38" s="434"/>
      <c r="H38" s="434"/>
      <c r="I38" s="434"/>
      <c r="J38" s="434"/>
      <c r="K38" s="434"/>
      <c r="L38" s="434"/>
      <c r="M38" s="434"/>
      <c r="N38" s="434" t="s">
        <v>127</v>
      </c>
      <c r="O38" s="434"/>
      <c r="P38" s="434"/>
      <c r="Q38" s="434"/>
      <c r="R38" s="434"/>
      <c r="S38" s="434"/>
      <c r="T38" s="434"/>
      <c r="U38" s="434"/>
      <c r="V38" s="434"/>
      <c r="W38" s="434"/>
      <c r="X38" s="434"/>
      <c r="Y38" s="434"/>
      <c r="Z38" s="486">
        <f>Total_C</f>
        <v>0</v>
      </c>
      <c r="AA38" s="486"/>
      <c r="AB38" s="486"/>
      <c r="AC38" s="487"/>
      <c r="AD38" s="292"/>
      <c r="AE38" s="488">
        <f>Actual_C</f>
        <v>0</v>
      </c>
      <c r="AF38" s="488"/>
      <c r="AG38" s="489"/>
      <c r="AI38" s="465">
        <f t="shared" si="0"/>
        <v>0</v>
      </c>
      <c r="AJ38" s="466"/>
      <c r="AK38" s="467"/>
      <c r="AS38" s="287"/>
      <c r="AT38" s="287"/>
      <c r="AU38" s="287"/>
      <c r="AV38" s="287"/>
      <c r="AW38" s="287"/>
      <c r="AX38" s="287"/>
      <c r="AY38" s="287"/>
      <c r="AZ38" s="287"/>
      <c r="BA38" s="287"/>
      <c r="BB38" s="287"/>
      <c r="BC38" s="287"/>
      <c r="BD38" s="287"/>
      <c r="BE38" s="287"/>
      <c r="BF38" s="287"/>
    </row>
    <row r="39" spans="2:65" s="291" customFormat="1" ht="16" customHeight="1" x14ac:dyDescent="0.2">
      <c r="C39" s="432" t="s">
        <v>262</v>
      </c>
      <c r="D39" s="433"/>
      <c r="E39" s="434" t="str">
        <f>CDE!D25</f>
        <v xml:space="preserve">Location Expenses </v>
      </c>
      <c r="F39" s="434"/>
      <c r="G39" s="434"/>
      <c r="H39" s="434"/>
      <c r="I39" s="434"/>
      <c r="J39" s="434"/>
      <c r="K39" s="434"/>
      <c r="L39" s="434"/>
      <c r="M39" s="434"/>
      <c r="N39" s="434" t="s">
        <v>128</v>
      </c>
      <c r="O39" s="434"/>
      <c r="P39" s="434"/>
      <c r="Q39" s="434"/>
      <c r="R39" s="434"/>
      <c r="S39" s="434"/>
      <c r="T39" s="434"/>
      <c r="U39" s="434"/>
      <c r="V39" s="434"/>
      <c r="W39" s="434"/>
      <c r="X39" s="434"/>
      <c r="Y39" s="434"/>
      <c r="Z39" s="486">
        <f>Total_D</f>
        <v>0</v>
      </c>
      <c r="AA39" s="486"/>
      <c r="AB39" s="486"/>
      <c r="AC39" s="487"/>
      <c r="AD39" s="292"/>
      <c r="AE39" s="488">
        <f>Actual_D</f>
        <v>0</v>
      </c>
      <c r="AF39" s="488"/>
      <c r="AG39" s="489"/>
      <c r="AI39" s="465">
        <f t="shared" si="0"/>
        <v>0</v>
      </c>
      <c r="AJ39" s="466"/>
      <c r="AK39" s="467"/>
      <c r="AS39" s="287"/>
      <c r="AT39" s="287"/>
      <c r="AU39" s="287"/>
      <c r="AV39" s="287"/>
      <c r="AW39" s="287"/>
      <c r="AX39" s="287"/>
      <c r="AY39" s="287"/>
      <c r="AZ39" s="287"/>
      <c r="BA39" s="287"/>
      <c r="BB39" s="287"/>
      <c r="BC39" s="287"/>
      <c r="BD39" s="287"/>
      <c r="BE39" s="287"/>
      <c r="BF39" s="287"/>
    </row>
    <row r="40" spans="2:65" s="291" customFormat="1" ht="16" customHeight="1" x14ac:dyDescent="0.2">
      <c r="C40" s="432" t="s">
        <v>249</v>
      </c>
      <c r="D40" s="433"/>
      <c r="E40" s="434" t="str">
        <f>CDE!D55</f>
        <v>Props, Wardrobe &amp; Animals</v>
      </c>
      <c r="F40" s="434"/>
      <c r="G40" s="434"/>
      <c r="H40" s="434"/>
      <c r="I40" s="434"/>
      <c r="J40" s="434"/>
      <c r="K40" s="434"/>
      <c r="L40" s="434"/>
      <c r="M40" s="434"/>
      <c r="N40" s="434" t="s">
        <v>129</v>
      </c>
      <c r="O40" s="434"/>
      <c r="P40" s="434"/>
      <c r="Q40" s="434"/>
      <c r="R40" s="434"/>
      <c r="S40" s="434"/>
      <c r="T40" s="434"/>
      <c r="U40" s="434"/>
      <c r="V40" s="434"/>
      <c r="W40" s="434"/>
      <c r="X40" s="434"/>
      <c r="Y40" s="434"/>
      <c r="Z40" s="486">
        <f>Total_E</f>
        <v>0</v>
      </c>
      <c r="AA40" s="486"/>
      <c r="AB40" s="486"/>
      <c r="AC40" s="487"/>
      <c r="AD40" s="292"/>
      <c r="AE40" s="488">
        <f>Actual_E</f>
        <v>0</v>
      </c>
      <c r="AF40" s="488"/>
      <c r="AG40" s="489"/>
      <c r="AI40" s="465">
        <f t="shared" si="0"/>
        <v>0</v>
      </c>
      <c r="AJ40" s="466"/>
      <c r="AK40" s="467"/>
      <c r="AS40" s="287"/>
      <c r="AT40" s="287"/>
      <c r="AU40" s="287"/>
      <c r="AV40" s="287"/>
      <c r="AW40" s="287"/>
      <c r="AX40" s="287"/>
      <c r="AY40" s="287"/>
      <c r="AZ40" s="287"/>
      <c r="BA40" s="287"/>
      <c r="BB40" s="287"/>
      <c r="BC40" s="287"/>
      <c r="BD40" s="287"/>
      <c r="BE40" s="287"/>
      <c r="BF40" s="287"/>
    </row>
    <row r="41" spans="2:65" s="291" customFormat="1" ht="16" customHeight="1" x14ac:dyDescent="0.2">
      <c r="C41" s="432" t="s">
        <v>263</v>
      </c>
      <c r="D41" s="433"/>
      <c r="E41" s="434" t="str">
        <f>FGH!D10</f>
        <v>Studio Costs</v>
      </c>
      <c r="F41" s="434"/>
      <c r="G41" s="434"/>
      <c r="H41" s="434"/>
      <c r="I41" s="434"/>
      <c r="J41" s="434"/>
      <c r="K41" s="434"/>
      <c r="L41" s="434"/>
      <c r="M41" s="434"/>
      <c r="N41" s="434" t="s">
        <v>130</v>
      </c>
      <c r="O41" s="434"/>
      <c r="P41" s="434"/>
      <c r="Q41" s="434"/>
      <c r="R41" s="434"/>
      <c r="S41" s="434"/>
      <c r="T41" s="434"/>
      <c r="U41" s="434"/>
      <c r="V41" s="434"/>
      <c r="W41" s="434"/>
      <c r="X41" s="434"/>
      <c r="Y41" s="434"/>
      <c r="Z41" s="486">
        <f>Total_F</f>
        <v>0</v>
      </c>
      <c r="AA41" s="486"/>
      <c r="AB41" s="486"/>
      <c r="AC41" s="487"/>
      <c r="AD41" s="292"/>
      <c r="AE41" s="488">
        <f>Actual_F</f>
        <v>0</v>
      </c>
      <c r="AF41" s="488"/>
      <c r="AG41" s="489"/>
      <c r="AI41" s="465">
        <f t="shared" si="0"/>
        <v>0</v>
      </c>
      <c r="AJ41" s="466"/>
      <c r="AK41" s="467"/>
      <c r="AS41" s="287"/>
      <c r="AT41" s="287"/>
      <c r="AU41" s="287"/>
      <c r="AV41" s="287"/>
      <c r="AW41" s="287"/>
      <c r="AX41" s="287"/>
      <c r="AY41" s="287"/>
      <c r="AZ41" s="287"/>
      <c r="BA41" s="287"/>
      <c r="BB41" s="287"/>
      <c r="BC41" s="287"/>
      <c r="BD41" s="287"/>
      <c r="BE41" s="287"/>
      <c r="BF41" s="287"/>
    </row>
    <row r="42" spans="2:65" s="291" customFormat="1" ht="16" customHeight="1" x14ac:dyDescent="0.2">
      <c r="C42" s="432" t="s">
        <v>264</v>
      </c>
      <c r="D42" s="433"/>
      <c r="E42" s="434" t="str">
        <f>FGH!D31</f>
        <v>Art Department Labor</v>
      </c>
      <c r="F42" s="434"/>
      <c r="G42" s="434"/>
      <c r="H42" s="434"/>
      <c r="I42" s="434"/>
      <c r="J42" s="434"/>
      <c r="K42" s="434"/>
      <c r="L42" s="434"/>
      <c r="M42" s="434"/>
      <c r="N42" s="434" t="s">
        <v>131</v>
      </c>
      <c r="O42" s="434"/>
      <c r="P42" s="434"/>
      <c r="Q42" s="434"/>
      <c r="R42" s="434"/>
      <c r="S42" s="434"/>
      <c r="T42" s="434"/>
      <c r="U42" s="434"/>
      <c r="V42" s="434"/>
      <c r="W42" s="434"/>
      <c r="X42" s="434"/>
      <c r="Y42" s="434"/>
      <c r="Z42" s="486">
        <f>Total_G</f>
        <v>0</v>
      </c>
      <c r="AA42" s="486"/>
      <c r="AB42" s="486"/>
      <c r="AC42" s="487"/>
      <c r="AD42" s="292"/>
      <c r="AE42" s="488">
        <f>Actual_G</f>
        <v>0</v>
      </c>
      <c r="AF42" s="488"/>
      <c r="AG42" s="489"/>
      <c r="AI42" s="465">
        <f t="shared" si="0"/>
        <v>0</v>
      </c>
      <c r="AJ42" s="466"/>
      <c r="AK42" s="467"/>
      <c r="AS42" s="287"/>
      <c r="AT42" s="287"/>
      <c r="AU42" s="287"/>
      <c r="AV42" s="287"/>
      <c r="AW42" s="287"/>
      <c r="AX42" s="287"/>
      <c r="AY42" s="287"/>
      <c r="AZ42" s="287"/>
      <c r="BA42" s="287"/>
      <c r="BB42" s="287"/>
      <c r="BC42" s="287"/>
      <c r="BD42" s="287"/>
      <c r="BE42" s="287"/>
      <c r="BF42" s="287"/>
    </row>
    <row r="43" spans="2:65" s="291" customFormat="1" ht="16" customHeight="1" x14ac:dyDescent="0.2">
      <c r="C43" s="432" t="s">
        <v>265</v>
      </c>
      <c r="D43" s="433"/>
      <c r="E43" s="434" t="str">
        <f>FGH!D51</f>
        <v>Art Department Expenses</v>
      </c>
      <c r="F43" s="434"/>
      <c r="G43" s="434"/>
      <c r="H43" s="434"/>
      <c r="I43" s="434"/>
      <c r="J43" s="434"/>
      <c r="K43" s="434"/>
      <c r="L43" s="434"/>
      <c r="M43" s="434"/>
      <c r="N43" s="434" t="s">
        <v>283</v>
      </c>
      <c r="O43" s="434"/>
      <c r="P43" s="434"/>
      <c r="Q43" s="434"/>
      <c r="R43" s="434"/>
      <c r="S43" s="434"/>
      <c r="T43" s="434"/>
      <c r="U43" s="434"/>
      <c r="V43" s="434"/>
      <c r="W43" s="434"/>
      <c r="X43" s="434"/>
      <c r="Y43" s="434"/>
      <c r="Z43" s="486">
        <f>Total_H</f>
        <v>0</v>
      </c>
      <c r="AA43" s="486"/>
      <c r="AB43" s="486"/>
      <c r="AC43" s="487"/>
      <c r="AD43" s="292"/>
      <c r="AE43" s="488">
        <f>Actual_H</f>
        <v>0</v>
      </c>
      <c r="AF43" s="488"/>
      <c r="AG43" s="489"/>
      <c r="AI43" s="465">
        <f t="shared" si="0"/>
        <v>0</v>
      </c>
      <c r="AJ43" s="466"/>
      <c r="AK43" s="467"/>
    </row>
    <row r="44" spans="2:65" s="291" customFormat="1" ht="16" customHeight="1" x14ac:dyDescent="0.2">
      <c r="C44" s="432" t="s">
        <v>266</v>
      </c>
      <c r="D44" s="433"/>
      <c r="E44" s="434" t="str">
        <f>IJKL!D8</f>
        <v>Equipment Rental</v>
      </c>
      <c r="F44" s="434"/>
      <c r="G44" s="434"/>
      <c r="H44" s="434"/>
      <c r="I44" s="434"/>
      <c r="J44" s="434"/>
      <c r="K44" s="434"/>
      <c r="L44" s="434"/>
      <c r="M44" s="434"/>
      <c r="N44" s="434" t="s">
        <v>133</v>
      </c>
      <c r="O44" s="434"/>
      <c r="P44" s="434"/>
      <c r="Q44" s="434"/>
      <c r="R44" s="434"/>
      <c r="S44" s="434"/>
      <c r="T44" s="434"/>
      <c r="U44" s="434"/>
      <c r="V44" s="434"/>
      <c r="W44" s="434"/>
      <c r="X44" s="434"/>
      <c r="Y44" s="434"/>
      <c r="Z44" s="486">
        <f>Total_I</f>
        <v>0</v>
      </c>
      <c r="AA44" s="486"/>
      <c r="AB44" s="486"/>
      <c r="AC44" s="487"/>
      <c r="AD44" s="292"/>
      <c r="AE44" s="488">
        <f>Actual_I</f>
        <v>0</v>
      </c>
      <c r="AF44" s="488"/>
      <c r="AG44" s="489"/>
      <c r="AI44" s="465">
        <f t="shared" si="0"/>
        <v>0</v>
      </c>
      <c r="AJ44" s="466"/>
      <c r="AK44" s="467"/>
    </row>
    <row r="45" spans="2:65" s="291" customFormat="1" ht="16" customHeight="1" x14ac:dyDescent="0.2">
      <c r="C45" s="432" t="s">
        <v>267</v>
      </c>
      <c r="D45" s="433"/>
      <c r="E45" s="434" t="str">
        <f>IJKL!D30</f>
        <v xml:space="preserve">Media </v>
      </c>
      <c r="F45" s="434"/>
      <c r="G45" s="434"/>
      <c r="H45" s="434"/>
      <c r="I45" s="434"/>
      <c r="J45" s="434"/>
      <c r="K45" s="434"/>
      <c r="L45" s="434"/>
      <c r="M45" s="434"/>
      <c r="N45" s="434" t="s">
        <v>134</v>
      </c>
      <c r="O45" s="434"/>
      <c r="P45" s="434"/>
      <c r="Q45" s="434"/>
      <c r="R45" s="434"/>
      <c r="S45" s="434"/>
      <c r="T45" s="434"/>
      <c r="U45" s="434"/>
      <c r="V45" s="434"/>
      <c r="W45" s="434"/>
      <c r="X45" s="434"/>
      <c r="Y45" s="434"/>
      <c r="Z45" s="486">
        <f>Total_J</f>
        <v>0</v>
      </c>
      <c r="AA45" s="486"/>
      <c r="AB45" s="486"/>
      <c r="AC45" s="487"/>
      <c r="AD45" s="292"/>
      <c r="AE45" s="488">
        <f>Actual_J</f>
        <v>0</v>
      </c>
      <c r="AF45" s="488"/>
      <c r="AG45" s="489"/>
      <c r="AI45" s="465">
        <f t="shared" si="0"/>
        <v>0</v>
      </c>
      <c r="AJ45" s="466"/>
      <c r="AK45" s="467"/>
      <c r="AM45" s="485" t="s">
        <v>382</v>
      </c>
      <c r="AN45" s="485"/>
      <c r="AO45" s="485"/>
      <c r="AP45" s="485"/>
      <c r="AQ45" s="485"/>
      <c r="AR45" s="485"/>
      <c r="AS45" s="485"/>
      <c r="AT45" s="485"/>
      <c r="AU45" s="485"/>
      <c r="AV45" s="485"/>
      <c r="AW45" s="485"/>
      <c r="AX45" s="485"/>
      <c r="AY45" s="485"/>
    </row>
    <row r="46" spans="2:65" s="291" customFormat="1" ht="16" customHeight="1" x14ac:dyDescent="0.2">
      <c r="C46" s="432" t="s">
        <v>268</v>
      </c>
      <c r="D46" s="433"/>
      <c r="E46" s="434" t="str">
        <f>IJKL!D40</f>
        <v xml:space="preserve">Miscellaneous Production Costs </v>
      </c>
      <c r="F46" s="434"/>
      <c r="G46" s="434"/>
      <c r="H46" s="434"/>
      <c r="I46" s="434"/>
      <c r="J46" s="434"/>
      <c r="K46" s="434"/>
      <c r="L46" s="434"/>
      <c r="M46" s="434"/>
      <c r="N46" s="434" t="s">
        <v>135</v>
      </c>
      <c r="O46" s="434"/>
      <c r="P46" s="434"/>
      <c r="Q46" s="434"/>
      <c r="R46" s="434"/>
      <c r="S46" s="434"/>
      <c r="T46" s="434"/>
      <c r="U46" s="434"/>
      <c r="V46" s="434"/>
      <c r="W46" s="434"/>
      <c r="X46" s="434"/>
      <c r="Y46" s="434"/>
      <c r="Z46" s="486">
        <f>Total_K</f>
        <v>0</v>
      </c>
      <c r="AA46" s="486"/>
      <c r="AB46" s="486"/>
      <c r="AC46" s="487"/>
      <c r="AD46" s="292"/>
      <c r="AE46" s="488">
        <f>Actual_K</f>
        <v>0</v>
      </c>
      <c r="AF46" s="488"/>
      <c r="AG46" s="489"/>
      <c r="AI46" s="465">
        <f t="shared" si="0"/>
        <v>0</v>
      </c>
      <c r="AJ46" s="466"/>
      <c r="AK46" s="467"/>
      <c r="AM46" s="293" t="s">
        <v>417</v>
      </c>
      <c r="AN46" s="293" t="s">
        <v>418</v>
      </c>
      <c r="AO46" s="294"/>
      <c r="AP46" s="295"/>
      <c r="AQ46" s="295"/>
      <c r="AR46" s="295"/>
      <c r="AS46" s="295"/>
      <c r="AT46" s="484" t="s">
        <v>526</v>
      </c>
      <c r="AU46" s="484"/>
      <c r="AV46" s="484"/>
      <c r="AW46" s="484" t="s">
        <v>527</v>
      </c>
      <c r="AX46" s="484"/>
      <c r="AY46" s="484"/>
    </row>
    <row r="47" spans="2:65" s="291" customFormat="1" ht="16" customHeight="1" x14ac:dyDescent="0.2">
      <c r="C47" s="464"/>
      <c r="D47" s="434"/>
      <c r="E47" s="434"/>
      <c r="F47" s="434"/>
      <c r="G47" s="434"/>
      <c r="H47" s="434"/>
      <c r="I47" s="434"/>
      <c r="J47" s="434"/>
      <c r="K47" s="434"/>
      <c r="L47" s="434"/>
      <c r="M47" s="434"/>
      <c r="N47" s="556" t="s">
        <v>288</v>
      </c>
      <c r="O47" s="556"/>
      <c r="P47" s="556"/>
      <c r="Q47" s="556"/>
      <c r="R47" s="556"/>
      <c r="S47" s="556"/>
      <c r="T47" s="556"/>
      <c r="U47" s="556"/>
      <c r="V47" s="556"/>
      <c r="W47" s="556"/>
      <c r="X47" s="556"/>
      <c r="Y47" s="556"/>
      <c r="Z47" s="486">
        <f>SUM(Z36:AC46)</f>
        <v>0</v>
      </c>
      <c r="AA47" s="486"/>
      <c r="AB47" s="486"/>
      <c r="AC47" s="487"/>
      <c r="AD47" s="296"/>
      <c r="AE47" s="442">
        <f>SUM(AE36:AG46)</f>
        <v>0</v>
      </c>
      <c r="AF47" s="442"/>
      <c r="AG47" s="443"/>
      <c r="AI47" s="465">
        <f t="shared" si="0"/>
        <v>0</v>
      </c>
      <c r="AJ47" s="466"/>
      <c r="AK47" s="467"/>
      <c r="AM47" s="411"/>
      <c r="AN47" s="411"/>
      <c r="AO47" s="434" t="str">
        <f>N47</f>
        <v>Sub-Total A to K</v>
      </c>
      <c r="AP47" s="434"/>
      <c r="AQ47" s="434"/>
      <c r="AR47" s="434"/>
      <c r="AS47" s="600"/>
      <c r="AT47" s="483">
        <f>IF($AM$47="X",Z47,0)</f>
        <v>0</v>
      </c>
      <c r="AU47" s="483"/>
      <c r="AV47" s="483"/>
      <c r="AW47" s="483">
        <f t="shared" ref="AW47:AW48" si="1">IF(AN47="X",Z47,0)</f>
        <v>0</v>
      </c>
      <c r="AX47" s="483"/>
      <c r="AY47" s="483"/>
    </row>
    <row r="48" spans="2:65" s="291" customFormat="1" ht="16" customHeight="1" x14ac:dyDescent="0.2">
      <c r="C48" s="432" t="s">
        <v>84</v>
      </c>
      <c r="D48" s="433"/>
      <c r="E48" s="434" t="str">
        <f>IJKL!D54</f>
        <v xml:space="preserve">Director's Fees </v>
      </c>
      <c r="F48" s="434"/>
      <c r="G48" s="434"/>
      <c r="H48" s="434"/>
      <c r="I48" s="434"/>
      <c r="J48" s="434"/>
      <c r="K48" s="434"/>
      <c r="L48" s="434"/>
      <c r="M48" s="434"/>
      <c r="N48" s="434" t="s">
        <v>136</v>
      </c>
      <c r="O48" s="434"/>
      <c r="P48" s="434"/>
      <c r="Q48" s="434"/>
      <c r="R48" s="434"/>
      <c r="S48" s="434"/>
      <c r="T48" s="434"/>
      <c r="U48" s="434"/>
      <c r="V48" s="434"/>
      <c r="W48" s="434"/>
      <c r="X48" s="434"/>
      <c r="Y48" s="434"/>
      <c r="Z48" s="486">
        <f>Total_L</f>
        <v>0</v>
      </c>
      <c r="AA48" s="486"/>
      <c r="AB48" s="486"/>
      <c r="AC48" s="487"/>
      <c r="AD48" s="296"/>
      <c r="AE48" s="442">
        <f>Actual_L</f>
        <v>0</v>
      </c>
      <c r="AF48" s="442"/>
      <c r="AG48" s="443"/>
      <c r="AI48" s="465">
        <f t="shared" si="0"/>
        <v>0</v>
      </c>
      <c r="AJ48" s="466"/>
      <c r="AK48" s="467"/>
      <c r="AM48" s="406"/>
      <c r="AN48" s="406"/>
      <c r="AO48" s="434" t="str">
        <f>C48&amp;" "&amp;E48</f>
        <v xml:space="preserve">L Director's Fees </v>
      </c>
      <c r="AP48" s="434"/>
      <c r="AQ48" s="434"/>
      <c r="AR48" s="434"/>
      <c r="AS48" s="600"/>
      <c r="AT48" s="483">
        <f>IF(AM48="X",Z48,0)</f>
        <v>0</v>
      </c>
      <c r="AU48" s="483"/>
      <c r="AV48" s="483"/>
      <c r="AW48" s="483">
        <f t="shared" si="1"/>
        <v>0</v>
      </c>
      <c r="AX48" s="483"/>
      <c r="AY48" s="483"/>
      <c r="BD48" s="287"/>
      <c r="BE48" s="287"/>
      <c r="BF48" s="287"/>
      <c r="BG48" s="287"/>
      <c r="BH48" s="287"/>
      <c r="BI48" s="287"/>
      <c r="BJ48" s="287"/>
      <c r="BK48" s="287"/>
      <c r="BL48" s="287"/>
      <c r="BM48" s="287"/>
    </row>
    <row r="49" spans="3:65" s="291" customFormat="1" ht="16" customHeight="1" x14ac:dyDescent="0.2">
      <c r="C49" s="432" t="s">
        <v>250</v>
      </c>
      <c r="D49" s="433"/>
      <c r="E49" s="434" t="str">
        <f>MN!D8</f>
        <v>Talent</v>
      </c>
      <c r="F49" s="434"/>
      <c r="G49" s="434"/>
      <c r="H49" s="434"/>
      <c r="I49" s="434"/>
      <c r="J49" s="434"/>
      <c r="K49" s="434"/>
      <c r="L49" s="434"/>
      <c r="M49" s="434"/>
      <c r="N49" s="434" t="s">
        <v>137</v>
      </c>
      <c r="O49" s="434"/>
      <c r="P49" s="434"/>
      <c r="Q49" s="434"/>
      <c r="R49" s="434"/>
      <c r="S49" s="434"/>
      <c r="T49" s="434"/>
      <c r="U49" s="434"/>
      <c r="V49" s="434"/>
      <c r="W49" s="434"/>
      <c r="X49" s="434"/>
      <c r="Y49" s="434"/>
      <c r="Z49" s="563">
        <f>Total_M</f>
        <v>0</v>
      </c>
      <c r="AA49" s="563"/>
      <c r="AB49" s="563"/>
      <c r="AC49" s="564"/>
      <c r="AD49" s="296"/>
      <c r="AE49" s="442">
        <f>Actual_M</f>
        <v>0</v>
      </c>
      <c r="AF49" s="442"/>
      <c r="AG49" s="443"/>
      <c r="AI49" s="465">
        <f t="shared" si="0"/>
        <v>0</v>
      </c>
      <c r="AJ49" s="466"/>
      <c r="AK49" s="467"/>
      <c r="AM49" s="406"/>
      <c r="AN49" s="406"/>
      <c r="AO49" s="434" t="str">
        <f t="shared" ref="AO49:AO52" si="2">C49&amp;" "&amp;E49</f>
        <v>M. Talent</v>
      </c>
      <c r="AP49" s="434"/>
      <c r="AQ49" s="434"/>
      <c r="AR49" s="434"/>
      <c r="AS49" s="600"/>
      <c r="AT49" s="483">
        <f>IF(AM49="X",Z49,0)</f>
        <v>0</v>
      </c>
      <c r="AU49" s="483"/>
      <c r="AV49" s="483"/>
      <c r="AW49" s="483">
        <f>IF(AN49="X",Z49,0)</f>
        <v>0</v>
      </c>
      <c r="AX49" s="483"/>
      <c r="AY49" s="483"/>
      <c r="BD49" s="287"/>
      <c r="BE49" s="287"/>
      <c r="BF49" s="287"/>
      <c r="BG49" s="287"/>
      <c r="BH49" s="287"/>
      <c r="BI49" s="287"/>
      <c r="BJ49" s="287"/>
      <c r="BK49" s="287"/>
      <c r="BL49" s="287"/>
      <c r="BM49" s="287"/>
    </row>
    <row r="50" spans="3:65" s="291" customFormat="1" ht="16" customHeight="1" x14ac:dyDescent="0.2">
      <c r="C50" s="432" t="s">
        <v>277</v>
      </c>
      <c r="D50" s="433"/>
      <c r="E50" s="434" t="str">
        <f>MN!D55</f>
        <v>Talent Expenses</v>
      </c>
      <c r="F50" s="434"/>
      <c r="G50" s="434"/>
      <c r="H50" s="434"/>
      <c r="I50" s="434"/>
      <c r="J50" s="434"/>
      <c r="K50" s="434"/>
      <c r="L50" s="434"/>
      <c r="M50" s="434"/>
      <c r="N50" s="434" t="s">
        <v>138</v>
      </c>
      <c r="O50" s="434"/>
      <c r="P50" s="434"/>
      <c r="Q50" s="434"/>
      <c r="R50" s="434"/>
      <c r="S50" s="434"/>
      <c r="T50" s="434"/>
      <c r="U50" s="434"/>
      <c r="V50" s="434"/>
      <c r="W50" s="434"/>
      <c r="X50" s="434"/>
      <c r="Y50" s="434"/>
      <c r="Z50" s="563">
        <f>Total_N</f>
        <v>0</v>
      </c>
      <c r="AA50" s="563"/>
      <c r="AB50" s="563"/>
      <c r="AC50" s="564"/>
      <c r="AD50" s="296"/>
      <c r="AE50" s="442">
        <f>Actual_N</f>
        <v>0</v>
      </c>
      <c r="AF50" s="442"/>
      <c r="AG50" s="443"/>
      <c r="AI50" s="465">
        <f t="shared" si="0"/>
        <v>0</v>
      </c>
      <c r="AJ50" s="466"/>
      <c r="AK50" s="467"/>
      <c r="AM50" s="410"/>
      <c r="AN50" s="406"/>
      <c r="AO50" s="434" t="str">
        <f t="shared" si="2"/>
        <v>N. Talent Expenses</v>
      </c>
      <c r="AP50" s="434"/>
      <c r="AQ50" s="434"/>
      <c r="AR50" s="434"/>
      <c r="AS50" s="600"/>
      <c r="AT50" s="483">
        <f>IF(AM50="X",Z50,0)</f>
        <v>0</v>
      </c>
      <c r="AU50" s="483"/>
      <c r="AV50" s="483"/>
      <c r="AW50" s="483">
        <f t="shared" ref="AW50" si="3">IF(AN50="X",Z50,0)</f>
        <v>0</v>
      </c>
      <c r="AX50" s="483"/>
      <c r="AY50" s="483"/>
      <c r="BD50" s="287"/>
      <c r="BE50" s="287"/>
      <c r="BF50" s="287"/>
      <c r="BG50" s="287"/>
      <c r="BH50" s="287"/>
      <c r="BI50" s="287"/>
      <c r="BJ50" s="287"/>
      <c r="BK50" s="287"/>
      <c r="BL50" s="287"/>
      <c r="BM50" s="287"/>
    </row>
    <row r="51" spans="3:65" s="291" customFormat="1" ht="16" customHeight="1" x14ac:dyDescent="0.2">
      <c r="C51" s="432" t="s">
        <v>279</v>
      </c>
      <c r="D51" s="433"/>
      <c r="E51" s="434" t="str">
        <f>O!D8</f>
        <v>Other</v>
      </c>
      <c r="F51" s="434"/>
      <c r="G51" s="434"/>
      <c r="H51" s="434"/>
      <c r="I51" s="434"/>
      <c r="J51" s="434"/>
      <c r="K51" s="434"/>
      <c r="L51" s="434"/>
      <c r="M51" s="434"/>
      <c r="N51" s="434" t="s">
        <v>139</v>
      </c>
      <c r="O51" s="434"/>
      <c r="P51" s="434"/>
      <c r="Q51" s="434"/>
      <c r="R51" s="434"/>
      <c r="S51" s="434"/>
      <c r="T51" s="434"/>
      <c r="U51" s="434"/>
      <c r="V51" s="434"/>
      <c r="W51" s="434"/>
      <c r="X51" s="434"/>
      <c r="Y51" s="434"/>
      <c r="Z51" s="563">
        <f>Total_O</f>
        <v>0</v>
      </c>
      <c r="AA51" s="563"/>
      <c r="AB51" s="563"/>
      <c r="AC51" s="564"/>
      <c r="AD51" s="296"/>
      <c r="AE51" s="442">
        <f>Actual_O</f>
        <v>0</v>
      </c>
      <c r="AF51" s="442"/>
      <c r="AG51" s="443"/>
      <c r="AI51" s="465">
        <f t="shared" si="0"/>
        <v>0</v>
      </c>
      <c r="AJ51" s="466"/>
      <c r="AK51" s="467"/>
      <c r="AM51" s="405"/>
      <c r="AN51" s="406"/>
      <c r="AO51" s="434" t="str">
        <f t="shared" si="2"/>
        <v>O. Other</v>
      </c>
      <c r="AP51" s="434"/>
      <c r="AQ51" s="434"/>
      <c r="AR51" s="434"/>
      <c r="AS51" s="600"/>
      <c r="AT51" s="483">
        <f t="shared" ref="AT51:AT52" si="4">IF(AM51="X",Z51,0)</f>
        <v>0</v>
      </c>
      <c r="AU51" s="483"/>
      <c r="AV51" s="483"/>
      <c r="AW51" s="483">
        <f t="shared" ref="AW51:AW52" si="5">IF(AN51="X",Z51,0)</f>
        <v>0</v>
      </c>
      <c r="AX51" s="483"/>
      <c r="AY51" s="483"/>
      <c r="BD51" s="287"/>
      <c r="BE51" s="287"/>
      <c r="BF51" s="287"/>
      <c r="BG51" s="287"/>
      <c r="BH51" s="287"/>
      <c r="BI51" s="287"/>
      <c r="BJ51" s="287"/>
      <c r="BK51" s="287"/>
      <c r="BL51" s="287"/>
      <c r="BM51" s="287"/>
    </row>
    <row r="52" spans="3:65" s="291" customFormat="1" ht="16" customHeight="1" x14ac:dyDescent="0.2">
      <c r="C52" s="432" t="str">
        <f>IF(AI79="X",C79,"")</f>
        <v/>
      </c>
      <c r="D52" s="433"/>
      <c r="E52" s="434" t="str">
        <f>IF(AI79="X",E79,"")</f>
        <v/>
      </c>
      <c r="F52" s="434"/>
      <c r="G52" s="434"/>
      <c r="H52" s="434"/>
      <c r="I52" s="434"/>
      <c r="J52" s="434"/>
      <c r="K52" s="434"/>
      <c r="L52" s="434"/>
      <c r="M52" s="434"/>
      <c r="N52" s="434" t="str">
        <f>IF(AI79="X","Total "&amp;E79,"")</f>
        <v/>
      </c>
      <c r="O52" s="434"/>
      <c r="P52" s="434"/>
      <c r="Q52" s="434"/>
      <c r="R52" s="434"/>
      <c r="S52" s="434"/>
      <c r="T52" s="434"/>
      <c r="U52" s="434"/>
      <c r="V52" s="434"/>
      <c r="W52" s="434"/>
      <c r="X52" s="434"/>
      <c r="Y52" s="434"/>
      <c r="Z52" s="435">
        <f>IF(AI79="X",Z79,0)</f>
        <v>0</v>
      </c>
      <c r="AA52" s="435"/>
      <c r="AB52" s="435"/>
      <c r="AC52" s="436"/>
      <c r="AD52" s="296"/>
      <c r="AE52" s="442">
        <f>IF(AI79="X",'P1. Breakout Expenses'!Actual_P,0)</f>
        <v>0</v>
      </c>
      <c r="AF52" s="442"/>
      <c r="AG52" s="443"/>
      <c r="AI52" s="465">
        <f t="shared" si="0"/>
        <v>0</v>
      </c>
      <c r="AJ52" s="466"/>
      <c r="AK52" s="467"/>
      <c r="AM52" s="405"/>
      <c r="AN52" s="406"/>
      <c r="AO52" s="434" t="str">
        <f t="shared" si="2"/>
        <v xml:space="preserve"> </v>
      </c>
      <c r="AP52" s="434"/>
      <c r="AQ52" s="434"/>
      <c r="AR52" s="434"/>
      <c r="AS52" s="600"/>
      <c r="AT52" s="483">
        <f t="shared" si="4"/>
        <v>0</v>
      </c>
      <c r="AU52" s="483"/>
      <c r="AV52" s="483"/>
      <c r="AW52" s="483">
        <f t="shared" si="5"/>
        <v>0</v>
      </c>
      <c r="AX52" s="483"/>
      <c r="AY52" s="483"/>
      <c r="BD52" s="287"/>
      <c r="BE52" s="287"/>
      <c r="BF52" s="287"/>
      <c r="BG52" s="287"/>
      <c r="BH52" s="287"/>
      <c r="BI52" s="287"/>
      <c r="BJ52" s="287"/>
      <c r="BK52" s="287"/>
      <c r="BL52" s="287"/>
      <c r="BM52" s="287"/>
    </row>
    <row r="53" spans="3:65" s="291" customFormat="1" ht="16" customHeight="1" x14ac:dyDescent="0.2">
      <c r="C53" s="432" t="str">
        <f>IF(AI80="X",C80,"")</f>
        <v/>
      </c>
      <c r="D53" s="433"/>
      <c r="E53" s="434" t="str">
        <f>IF(AI80="X",E80,"")</f>
        <v/>
      </c>
      <c r="F53" s="434"/>
      <c r="G53" s="434"/>
      <c r="H53" s="434"/>
      <c r="I53" s="434"/>
      <c r="J53" s="434"/>
      <c r="K53" s="434"/>
      <c r="L53" s="434"/>
      <c r="M53" s="434"/>
      <c r="N53" s="434" t="str">
        <f>IF(AI80="X","Total " &amp; E80,"")</f>
        <v/>
      </c>
      <c r="O53" s="434"/>
      <c r="P53" s="434"/>
      <c r="Q53" s="434"/>
      <c r="R53" s="434"/>
      <c r="S53" s="434"/>
      <c r="T53" s="434"/>
      <c r="U53" s="434"/>
      <c r="V53" s="434"/>
      <c r="W53" s="434"/>
      <c r="X53" s="434"/>
      <c r="Y53" s="434"/>
      <c r="Z53" s="435">
        <f>IF(AI80="X",Z80,0)</f>
        <v>0</v>
      </c>
      <c r="AA53" s="435"/>
      <c r="AB53" s="435"/>
      <c r="AC53" s="436"/>
      <c r="AD53" s="296"/>
      <c r="AE53" s="437">
        <f>IF(AI80="X",'P2. Breakout Labor'!Actual_P,0)</f>
        <v>0</v>
      </c>
      <c r="AF53" s="437"/>
      <c r="AG53" s="437"/>
      <c r="AI53" s="438">
        <f>AE53-Z53</f>
        <v>0</v>
      </c>
      <c r="AJ53" s="438"/>
      <c r="AK53" s="438"/>
      <c r="AM53" s="405"/>
      <c r="AN53" s="406"/>
      <c r="AO53" s="450" t="str">
        <f>C53&amp;" "&amp;E53</f>
        <v xml:space="preserve"> </v>
      </c>
      <c r="AP53" s="431"/>
      <c r="AQ53" s="431"/>
      <c r="AR53" s="431"/>
      <c r="AS53" s="431"/>
      <c r="AT53" s="430">
        <f>IF(AM53="X",Z53,0)</f>
        <v>0</v>
      </c>
      <c r="AU53" s="431"/>
      <c r="AV53" s="431"/>
      <c r="AW53" s="430">
        <f>IF(AN53="X",Z53,0)</f>
        <v>0</v>
      </c>
      <c r="AX53" s="431"/>
      <c r="AY53" s="431"/>
      <c r="BD53" s="287"/>
      <c r="BE53" s="287"/>
      <c r="BF53" s="287"/>
      <c r="BG53" s="287"/>
      <c r="BH53" s="287"/>
      <c r="BI53" s="287"/>
      <c r="BJ53" s="287"/>
      <c r="BK53" s="287"/>
      <c r="BL53" s="287"/>
      <c r="BM53" s="287"/>
    </row>
    <row r="54" spans="3:65" s="291" customFormat="1" ht="16" customHeight="1" x14ac:dyDescent="0.2">
      <c r="C54" s="432" t="str">
        <f>IF(AI81="X",C81,"")</f>
        <v/>
      </c>
      <c r="D54" s="433"/>
      <c r="E54" s="434" t="str">
        <f>IF(AI81="X",E81,"")</f>
        <v/>
      </c>
      <c r="F54" s="434"/>
      <c r="G54" s="434"/>
      <c r="H54" s="434"/>
      <c r="I54" s="434"/>
      <c r="J54" s="434"/>
      <c r="K54" s="434"/>
      <c r="L54" s="434"/>
      <c r="M54" s="434"/>
      <c r="N54" s="434" t="str">
        <f>IF(AI81="X","Total " &amp; E81,"")</f>
        <v/>
      </c>
      <c r="O54" s="434"/>
      <c r="P54" s="434"/>
      <c r="Q54" s="434"/>
      <c r="R54" s="434"/>
      <c r="S54" s="434"/>
      <c r="T54" s="434"/>
      <c r="U54" s="434"/>
      <c r="V54" s="434"/>
      <c r="W54" s="434"/>
      <c r="X54" s="434"/>
      <c r="Y54" s="434"/>
      <c r="Z54" s="435">
        <f>IF(AI81="X",Z81,0)</f>
        <v>0</v>
      </c>
      <c r="AA54" s="435"/>
      <c r="AB54" s="435"/>
      <c r="AC54" s="436"/>
      <c r="AD54" s="296"/>
      <c r="AE54" s="437">
        <f>IF(AI81="X",'P3. Breakout Talent'!Actual_P,0)</f>
        <v>0</v>
      </c>
      <c r="AF54" s="437"/>
      <c r="AG54" s="437"/>
      <c r="AI54" s="438">
        <f>AE54-Z54</f>
        <v>0</v>
      </c>
      <c r="AJ54" s="438"/>
      <c r="AK54" s="438"/>
      <c r="AM54" s="405"/>
      <c r="AN54" s="406"/>
      <c r="AO54" s="450" t="str">
        <f>C54&amp;" "&amp;E54</f>
        <v xml:space="preserve"> </v>
      </c>
      <c r="AP54" s="431"/>
      <c r="AQ54" s="431"/>
      <c r="AR54" s="431"/>
      <c r="AS54" s="431"/>
      <c r="AT54" s="430">
        <f>IF(AM54="X",Z54,0)</f>
        <v>0</v>
      </c>
      <c r="AU54" s="431"/>
      <c r="AV54" s="431"/>
      <c r="AW54" s="430">
        <f>IF(AN54="X",Z54,0)</f>
        <v>0</v>
      </c>
      <c r="AX54" s="431"/>
      <c r="AY54" s="431"/>
      <c r="BD54" s="287"/>
      <c r="BE54" s="287"/>
      <c r="BF54" s="287"/>
      <c r="BG54" s="287"/>
      <c r="BH54" s="287"/>
      <c r="BI54" s="287"/>
      <c r="BJ54" s="287"/>
      <c r="BK54" s="287"/>
      <c r="BL54" s="287"/>
      <c r="BM54" s="287"/>
    </row>
    <row r="55" spans="3:65" s="291" customFormat="1" ht="16" customHeight="1" x14ac:dyDescent="0.2">
      <c r="C55" s="432" t="str">
        <f>IF(AI82="X",C82,"")</f>
        <v/>
      </c>
      <c r="D55" s="433"/>
      <c r="E55" s="434" t="str">
        <f>IF(AI82="X",E82,"")</f>
        <v/>
      </c>
      <c r="F55" s="434"/>
      <c r="G55" s="434"/>
      <c r="H55" s="434"/>
      <c r="I55" s="434"/>
      <c r="J55" s="434"/>
      <c r="K55" s="434"/>
      <c r="L55" s="434"/>
      <c r="M55" s="434"/>
      <c r="N55" s="434" t="str">
        <f>IF(AI82="X","Total " &amp; E82,"")</f>
        <v/>
      </c>
      <c r="O55" s="434"/>
      <c r="P55" s="434"/>
      <c r="Q55" s="434"/>
      <c r="R55" s="434"/>
      <c r="S55" s="434"/>
      <c r="T55" s="434"/>
      <c r="U55" s="434"/>
      <c r="V55" s="434"/>
      <c r="W55" s="434"/>
      <c r="X55" s="434"/>
      <c r="Y55" s="434"/>
      <c r="Z55" s="435">
        <f>IF(AI82="X",Z82,0)</f>
        <v>0</v>
      </c>
      <c r="AA55" s="435"/>
      <c r="AB55" s="435"/>
      <c r="AC55" s="436"/>
      <c r="AD55" s="296"/>
      <c r="AE55" s="437">
        <f>IF(AI82="X",'P4. Breakout Blank'!Actual_P,0)</f>
        <v>0</v>
      </c>
      <c r="AF55" s="437"/>
      <c r="AG55" s="437"/>
      <c r="AI55" s="438">
        <f>AE55-Z55</f>
        <v>0</v>
      </c>
      <c r="AJ55" s="438"/>
      <c r="AK55" s="438"/>
      <c r="AM55" s="405"/>
      <c r="AN55" s="406"/>
      <c r="AO55" s="450" t="str">
        <f>C55&amp;" "&amp;E55</f>
        <v xml:space="preserve"> </v>
      </c>
      <c r="AP55" s="431"/>
      <c r="AQ55" s="431"/>
      <c r="AR55" s="431"/>
      <c r="AS55" s="431"/>
      <c r="AT55" s="430">
        <f>IF(AM55="X",Z55,0)</f>
        <v>0</v>
      </c>
      <c r="AU55" s="431"/>
      <c r="AV55" s="431"/>
      <c r="AW55" s="430">
        <f>IF(AN55="X",Z55,0)</f>
        <v>0</v>
      </c>
      <c r="AX55" s="431"/>
      <c r="AY55" s="431"/>
      <c r="BD55" s="287"/>
      <c r="BE55" s="287"/>
      <c r="BF55" s="287"/>
      <c r="BG55" s="287"/>
      <c r="BH55" s="287"/>
      <c r="BI55" s="287"/>
      <c r="BJ55" s="287"/>
      <c r="BK55" s="287"/>
      <c r="BL55" s="287"/>
      <c r="BM55" s="287"/>
    </row>
    <row r="56" spans="3:65" s="291" customFormat="1" ht="16" customHeight="1" x14ac:dyDescent="0.2">
      <c r="C56" s="297"/>
      <c r="N56" s="555" t="s">
        <v>245</v>
      </c>
      <c r="O56" s="556"/>
      <c r="P56" s="556"/>
      <c r="Q56" s="556"/>
      <c r="R56" s="556"/>
      <c r="S56" s="556"/>
      <c r="T56" s="556"/>
      <c r="U56" s="556"/>
      <c r="V56" s="556"/>
      <c r="W56" s="556"/>
      <c r="X56" s="556"/>
      <c r="Y56" s="556"/>
      <c r="Z56" s="559">
        <f ca="1">(SUM(INDIRECT("Cover!AW47:AY"&amp;ROW(PROD_Ins_Bot)))*PInsPerc)</f>
        <v>0</v>
      </c>
      <c r="AA56" s="559"/>
      <c r="AB56" s="559"/>
      <c r="AC56" s="560"/>
      <c r="AD56" s="298"/>
      <c r="AE56" s="561">
        <f ca="1">Z56</f>
        <v>0</v>
      </c>
      <c r="AF56" s="561"/>
      <c r="AG56" s="562"/>
      <c r="AI56" s="465">
        <f t="shared" ca="1" si="0"/>
        <v>0</v>
      </c>
      <c r="AJ56" s="466"/>
      <c r="AK56" s="467"/>
      <c r="AM56" s="299"/>
      <c r="AN56" s="299"/>
      <c r="AO56" s="287"/>
      <c r="AP56" s="287"/>
      <c r="AQ56" s="287"/>
      <c r="AR56" s="287"/>
      <c r="AS56" s="287"/>
      <c r="AT56" s="287"/>
      <c r="AU56" s="287"/>
      <c r="AV56" s="287"/>
      <c r="AW56" s="287"/>
      <c r="AX56" s="287"/>
      <c r="AY56" s="287"/>
      <c r="BD56" s="287"/>
      <c r="BE56" s="287"/>
      <c r="BF56" s="287"/>
      <c r="BG56" s="287"/>
      <c r="BH56" s="287"/>
      <c r="BI56" s="287"/>
      <c r="BJ56" s="287"/>
      <c r="BK56" s="287"/>
      <c r="BL56" s="287"/>
      <c r="BM56" s="287"/>
    </row>
    <row r="57" spans="3:65" s="291" customFormat="1" ht="16" customHeight="1" x14ac:dyDescent="0.2">
      <c r="C57" s="297"/>
      <c r="N57" s="555" t="s">
        <v>246</v>
      </c>
      <c r="O57" s="556"/>
      <c r="P57" s="556"/>
      <c r="Q57" s="556"/>
      <c r="R57" s="556"/>
      <c r="S57" s="556"/>
      <c r="T57" s="556"/>
      <c r="U57" s="556"/>
      <c r="V57" s="556"/>
      <c r="W57" s="556"/>
      <c r="X57" s="556"/>
      <c r="Y57" s="556"/>
      <c r="Z57" s="559">
        <f ca="1">(SUM(INDIRECT("Cover!AT47:AV"&amp;ROW(PROD_PFee_Bot)))*PFeePerc)</f>
        <v>0</v>
      </c>
      <c r="AA57" s="559"/>
      <c r="AB57" s="559"/>
      <c r="AC57" s="560"/>
      <c r="AD57" s="298"/>
      <c r="AE57" s="561">
        <f ca="1">Z57</f>
        <v>0</v>
      </c>
      <c r="AF57" s="561"/>
      <c r="AG57" s="562"/>
      <c r="AI57" s="465">
        <f t="shared" ref="AI57" ca="1" si="6">AE57-Z57</f>
        <v>0</v>
      </c>
      <c r="AJ57" s="466"/>
      <c r="AK57" s="467"/>
      <c r="AM57" s="289"/>
      <c r="AN57" s="289"/>
      <c r="AT57" s="300"/>
      <c r="AU57" s="300"/>
      <c r="AV57" s="300"/>
      <c r="AW57" s="300"/>
      <c r="AX57" s="300"/>
      <c r="AY57" s="300"/>
      <c r="BD57" s="287"/>
      <c r="BE57" s="287"/>
      <c r="BF57" s="287"/>
      <c r="BG57" s="287"/>
      <c r="BH57" s="287"/>
      <c r="BI57" s="287"/>
      <c r="BJ57" s="287"/>
      <c r="BK57" s="287"/>
      <c r="BL57" s="287"/>
      <c r="BM57" s="287"/>
    </row>
    <row r="58" spans="3:65" s="115" customFormat="1" ht="18" customHeight="1" x14ac:dyDescent="0.2">
      <c r="N58" s="268"/>
      <c r="O58" s="268"/>
      <c r="P58" s="268"/>
      <c r="Q58" s="268"/>
      <c r="R58" s="268"/>
      <c r="S58" s="268"/>
      <c r="T58" s="269"/>
      <c r="U58" s="104" t="s">
        <v>372</v>
      </c>
      <c r="V58" s="105"/>
      <c r="W58" s="105"/>
      <c r="X58" s="105"/>
      <c r="Y58" s="105"/>
      <c r="Z58" s="557">
        <f ca="1">SUM(Z47:AC57)</f>
        <v>0</v>
      </c>
      <c r="AA58" s="557"/>
      <c r="AB58" s="557"/>
      <c r="AC58" s="558"/>
      <c r="AD58" s="223"/>
      <c r="AE58" s="480">
        <f ca="1">SUM(AE47:AG57)</f>
        <v>0</v>
      </c>
      <c r="AF58" s="480"/>
      <c r="AG58" s="481"/>
      <c r="AI58" s="479">
        <f ca="1">AE58-Z58</f>
        <v>0</v>
      </c>
      <c r="AJ58" s="480"/>
      <c r="AK58" s="481"/>
      <c r="AM58" s="474" t="s">
        <v>496</v>
      </c>
      <c r="AN58" s="475"/>
      <c r="AO58" s="475"/>
      <c r="AP58" s="475"/>
      <c r="AQ58" s="475"/>
      <c r="AR58" s="475"/>
      <c r="AS58" s="475"/>
      <c r="AT58" s="475"/>
      <c r="AU58" s="475"/>
      <c r="AV58" s="475"/>
      <c r="BD58" s="111"/>
      <c r="BE58" s="111"/>
      <c r="BF58" s="111"/>
      <c r="BG58" s="111"/>
      <c r="BH58" s="111"/>
      <c r="BI58" s="111"/>
      <c r="BJ58" s="111"/>
      <c r="BK58" s="111"/>
      <c r="BL58" s="111"/>
      <c r="BM58" s="111"/>
    </row>
    <row r="59" spans="3:65" ht="5.25" customHeight="1" x14ac:dyDescent="0.2"/>
    <row r="60" spans="3:65" s="111" customFormat="1" ht="15" hidden="1" customHeight="1" x14ac:dyDescent="0.2">
      <c r="C60" s="112"/>
      <c r="D60" s="173" t="s">
        <v>284</v>
      </c>
      <c r="E60" s="218"/>
      <c r="F60" s="219"/>
      <c r="G60" s="219"/>
      <c r="H60" s="219"/>
      <c r="I60" s="219"/>
      <c r="J60" s="219"/>
      <c r="K60" s="219"/>
      <c r="L60" s="219"/>
      <c r="M60" s="219"/>
      <c r="N60" s="218"/>
      <c r="O60" s="218"/>
      <c r="P60" s="218"/>
      <c r="Q60" s="224"/>
      <c r="R60" s="224"/>
      <c r="S60" s="224"/>
      <c r="T60" s="218"/>
      <c r="U60" s="218"/>
      <c r="V60" s="218"/>
      <c r="W60" s="218"/>
      <c r="X60" s="218"/>
      <c r="Y60" s="218"/>
      <c r="Z60" s="605"/>
      <c r="AA60" s="605"/>
      <c r="AB60" s="605"/>
      <c r="AC60" s="606"/>
      <c r="AD60" s="170"/>
      <c r="AE60" s="492"/>
      <c r="AF60" s="492"/>
      <c r="AG60" s="493"/>
      <c r="AI60" s="476"/>
      <c r="AJ60" s="477"/>
      <c r="AK60" s="478"/>
      <c r="AM60" s="274" t="s">
        <v>418</v>
      </c>
      <c r="AN60" s="225"/>
      <c r="AO60" s="225"/>
      <c r="AP60" s="225"/>
      <c r="AQ60" s="225"/>
      <c r="AR60" s="225"/>
      <c r="AS60" s="226"/>
      <c r="AT60" s="482" t="s">
        <v>527</v>
      </c>
      <c r="AU60" s="482"/>
      <c r="AV60" s="482"/>
    </row>
    <row r="61" spans="3:65" s="51" customFormat="1" ht="16" hidden="1" customHeight="1" x14ac:dyDescent="0.15">
      <c r="C61" s="417" t="s">
        <v>166</v>
      </c>
      <c r="D61" s="418"/>
      <c r="E61" s="419" t="str">
        <f>Q!D5</f>
        <v>Editorial</v>
      </c>
      <c r="F61" s="419"/>
      <c r="G61" s="419"/>
      <c r="H61" s="419"/>
      <c r="I61" s="419"/>
      <c r="J61" s="419"/>
      <c r="K61" s="419"/>
      <c r="L61" s="419"/>
      <c r="M61" s="419"/>
      <c r="N61" s="451" t="s">
        <v>235</v>
      </c>
      <c r="O61" s="451"/>
      <c r="P61" s="451"/>
      <c r="Q61" s="451"/>
      <c r="R61" s="451"/>
      <c r="S61" s="451"/>
      <c r="T61" s="451"/>
      <c r="U61" s="451"/>
      <c r="V61" s="451"/>
      <c r="W61" s="451"/>
      <c r="X61" s="451"/>
      <c r="Y61" s="451"/>
      <c r="Z61" s="444">
        <f>Total_Q</f>
        <v>0</v>
      </c>
      <c r="AA61" s="444"/>
      <c r="AB61" s="444"/>
      <c r="AC61" s="445"/>
      <c r="AD61" s="301"/>
      <c r="AE61" s="442">
        <f>Actual_Q</f>
        <v>0</v>
      </c>
      <c r="AF61" s="442"/>
      <c r="AG61" s="443"/>
      <c r="AI61" s="468">
        <f>AE61-Z61</f>
        <v>0</v>
      </c>
      <c r="AJ61" s="469"/>
      <c r="AK61" s="470"/>
      <c r="AM61" s="412"/>
      <c r="AN61" s="601" t="str">
        <f>E61</f>
        <v>Editorial</v>
      </c>
      <c r="AO61" s="602"/>
      <c r="AP61" s="602"/>
      <c r="AQ61" s="602"/>
      <c r="AR61" s="602"/>
      <c r="AS61" s="603"/>
      <c r="AT61" s="565">
        <f t="shared" ref="AT61:AT67" si="7">IF(AM61="X",Z61,0)</f>
        <v>0</v>
      </c>
      <c r="AU61" s="566"/>
      <c r="AV61" s="567"/>
    </row>
    <row r="62" spans="3:65" s="51" customFormat="1" ht="16" hidden="1" customHeight="1" x14ac:dyDescent="0.15">
      <c r="C62" s="417" t="s">
        <v>199</v>
      </c>
      <c r="D62" s="418"/>
      <c r="E62" s="419" t="str">
        <f>'R'!D5</f>
        <v>Social Versions</v>
      </c>
      <c r="F62" s="419"/>
      <c r="G62" s="419"/>
      <c r="H62" s="419"/>
      <c r="I62" s="419"/>
      <c r="J62" s="419"/>
      <c r="K62" s="419"/>
      <c r="L62" s="419"/>
      <c r="M62" s="419"/>
      <c r="N62" s="451" t="s">
        <v>236</v>
      </c>
      <c r="O62" s="451"/>
      <c r="P62" s="451"/>
      <c r="Q62" s="451"/>
      <c r="R62" s="451"/>
      <c r="S62" s="451"/>
      <c r="T62" s="451"/>
      <c r="U62" s="451"/>
      <c r="V62" s="451"/>
      <c r="W62" s="451"/>
      <c r="X62" s="451"/>
      <c r="Y62" s="451"/>
      <c r="Z62" s="444">
        <f>Total_R</f>
        <v>0</v>
      </c>
      <c r="AA62" s="444"/>
      <c r="AB62" s="444"/>
      <c r="AC62" s="445"/>
      <c r="AD62" s="301"/>
      <c r="AE62" s="442">
        <f>Actual_R</f>
        <v>0</v>
      </c>
      <c r="AF62" s="442"/>
      <c r="AG62" s="443"/>
      <c r="AI62" s="468">
        <f t="shared" ref="AI62:AI72" si="8">AE62-Z62</f>
        <v>0</v>
      </c>
      <c r="AJ62" s="469"/>
      <c r="AK62" s="470"/>
      <c r="AM62" s="412"/>
      <c r="AN62" s="601" t="str">
        <f t="shared" ref="AN62:AN67" si="9">E62</f>
        <v>Social Versions</v>
      </c>
      <c r="AO62" s="602"/>
      <c r="AP62" s="602"/>
      <c r="AQ62" s="602"/>
      <c r="AR62" s="602"/>
      <c r="AS62" s="603"/>
      <c r="AT62" s="471">
        <f t="shared" si="7"/>
        <v>0</v>
      </c>
      <c r="AU62" s="472"/>
      <c r="AV62" s="473"/>
    </row>
    <row r="63" spans="3:65" s="51" customFormat="1" ht="16" hidden="1" customHeight="1" x14ac:dyDescent="0.15">
      <c r="C63" s="417" t="s">
        <v>200</v>
      </c>
      <c r="D63" s="418"/>
      <c r="E63" s="419" t="str">
        <f>S!D5</f>
        <v>Audio</v>
      </c>
      <c r="F63" s="419"/>
      <c r="G63" s="419"/>
      <c r="H63" s="419"/>
      <c r="I63" s="419"/>
      <c r="J63" s="419"/>
      <c r="K63" s="419"/>
      <c r="L63" s="419"/>
      <c r="M63" s="419"/>
      <c r="N63" s="451" t="s">
        <v>237</v>
      </c>
      <c r="O63" s="451"/>
      <c r="P63" s="451"/>
      <c r="Q63" s="451"/>
      <c r="R63" s="451"/>
      <c r="S63" s="451"/>
      <c r="T63" s="451"/>
      <c r="U63" s="451"/>
      <c r="V63" s="451"/>
      <c r="W63" s="451"/>
      <c r="X63" s="451"/>
      <c r="Y63" s="451"/>
      <c r="Z63" s="444">
        <f>Total_S</f>
        <v>0</v>
      </c>
      <c r="AA63" s="444"/>
      <c r="AB63" s="444"/>
      <c r="AC63" s="445"/>
      <c r="AD63" s="301"/>
      <c r="AE63" s="442">
        <f>Actual_S</f>
        <v>0</v>
      </c>
      <c r="AF63" s="442"/>
      <c r="AG63" s="443"/>
      <c r="AI63" s="468">
        <f t="shared" si="8"/>
        <v>0</v>
      </c>
      <c r="AJ63" s="469"/>
      <c r="AK63" s="470"/>
      <c r="AM63" s="413"/>
      <c r="AN63" s="601" t="str">
        <f t="shared" si="9"/>
        <v>Audio</v>
      </c>
      <c r="AO63" s="602"/>
      <c r="AP63" s="602"/>
      <c r="AQ63" s="602"/>
      <c r="AR63" s="602"/>
      <c r="AS63" s="603"/>
      <c r="AT63" s="471">
        <f t="shared" si="7"/>
        <v>0</v>
      </c>
      <c r="AU63" s="472"/>
      <c r="AV63" s="473"/>
    </row>
    <row r="64" spans="3:65" s="51" customFormat="1" ht="16" hidden="1" customHeight="1" x14ac:dyDescent="0.15">
      <c r="C64" s="417" t="s">
        <v>280</v>
      </c>
      <c r="D64" s="418"/>
      <c r="E64" s="419" t="str">
        <f>T!D5</f>
        <v>Finishing</v>
      </c>
      <c r="F64" s="419"/>
      <c r="G64" s="419"/>
      <c r="H64" s="419"/>
      <c r="I64" s="419"/>
      <c r="J64" s="419"/>
      <c r="K64" s="419"/>
      <c r="L64" s="419"/>
      <c r="M64" s="419"/>
      <c r="N64" s="451" t="s">
        <v>238</v>
      </c>
      <c r="O64" s="451"/>
      <c r="P64" s="451"/>
      <c r="Q64" s="451"/>
      <c r="R64" s="451"/>
      <c r="S64" s="451"/>
      <c r="T64" s="451"/>
      <c r="U64" s="451"/>
      <c r="V64" s="451"/>
      <c r="W64" s="451"/>
      <c r="X64" s="451"/>
      <c r="Y64" s="451"/>
      <c r="Z64" s="444">
        <f>Total_T</f>
        <v>0</v>
      </c>
      <c r="AA64" s="444"/>
      <c r="AB64" s="444"/>
      <c r="AC64" s="445"/>
      <c r="AD64" s="301"/>
      <c r="AE64" s="442">
        <f>Actual_T</f>
        <v>0</v>
      </c>
      <c r="AF64" s="442"/>
      <c r="AG64" s="443"/>
      <c r="AI64" s="468">
        <f t="shared" si="8"/>
        <v>0</v>
      </c>
      <c r="AJ64" s="469"/>
      <c r="AK64" s="470"/>
      <c r="AM64" s="413"/>
      <c r="AN64" s="601" t="str">
        <f t="shared" si="9"/>
        <v>Finishing</v>
      </c>
      <c r="AO64" s="602"/>
      <c r="AP64" s="602"/>
      <c r="AQ64" s="602"/>
      <c r="AR64" s="602"/>
      <c r="AS64" s="603"/>
      <c r="AT64" s="471">
        <f t="shared" si="7"/>
        <v>0</v>
      </c>
      <c r="AU64" s="472"/>
      <c r="AV64" s="473"/>
    </row>
    <row r="65" spans="3:65" s="51" customFormat="1" ht="16" hidden="1" customHeight="1" x14ac:dyDescent="0.15">
      <c r="C65" s="417" t="s">
        <v>217</v>
      </c>
      <c r="D65" s="418"/>
      <c r="E65" s="419" t="str">
        <f>VW!D5</f>
        <v>Miscellaneous Editorial</v>
      </c>
      <c r="F65" s="419"/>
      <c r="G65" s="419"/>
      <c r="H65" s="419"/>
      <c r="I65" s="419"/>
      <c r="J65" s="419"/>
      <c r="K65" s="419"/>
      <c r="L65" s="419"/>
      <c r="M65" s="419"/>
      <c r="N65" s="451" t="s">
        <v>239</v>
      </c>
      <c r="O65" s="451"/>
      <c r="P65" s="451"/>
      <c r="Q65" s="451"/>
      <c r="R65" s="451"/>
      <c r="S65" s="451"/>
      <c r="T65" s="451"/>
      <c r="U65" s="451"/>
      <c r="V65" s="451"/>
      <c r="W65" s="451"/>
      <c r="X65" s="451"/>
      <c r="Y65" s="451"/>
      <c r="Z65" s="444">
        <f>Total_V</f>
        <v>0</v>
      </c>
      <c r="AA65" s="444"/>
      <c r="AB65" s="444"/>
      <c r="AC65" s="445"/>
      <c r="AD65" s="301"/>
      <c r="AE65" s="442">
        <f>Actual_V</f>
        <v>0</v>
      </c>
      <c r="AF65" s="442"/>
      <c r="AG65" s="443"/>
      <c r="AI65" s="468">
        <f>AE65-Z65</f>
        <v>0</v>
      </c>
      <c r="AJ65" s="469"/>
      <c r="AK65" s="470"/>
      <c r="AM65" s="413"/>
      <c r="AN65" s="601" t="str">
        <f t="shared" si="9"/>
        <v>Miscellaneous Editorial</v>
      </c>
      <c r="AO65" s="602"/>
      <c r="AP65" s="602"/>
      <c r="AQ65" s="602"/>
      <c r="AR65" s="602"/>
      <c r="AS65" s="603"/>
      <c r="AT65" s="471">
        <f t="shared" si="7"/>
        <v>0</v>
      </c>
      <c r="AU65" s="472"/>
      <c r="AV65" s="473"/>
    </row>
    <row r="66" spans="3:65" s="51" customFormat="1" ht="16" hidden="1" customHeight="1" x14ac:dyDescent="0.15">
      <c r="C66" s="417" t="s">
        <v>218</v>
      </c>
      <c r="D66" s="418"/>
      <c r="E66" s="419" t="str">
        <f>VW!D43</f>
        <v>Editorial Labor &amp; Creative Fees</v>
      </c>
      <c r="F66" s="419"/>
      <c r="G66" s="419"/>
      <c r="H66" s="419"/>
      <c r="I66" s="419"/>
      <c r="J66" s="419"/>
      <c r="K66" s="419"/>
      <c r="L66" s="419"/>
      <c r="M66" s="419"/>
      <c r="N66" s="451" t="s">
        <v>240</v>
      </c>
      <c r="O66" s="451"/>
      <c r="P66" s="451"/>
      <c r="Q66" s="451"/>
      <c r="R66" s="451"/>
      <c r="S66" s="451"/>
      <c r="T66" s="451"/>
      <c r="U66" s="451"/>
      <c r="V66" s="451"/>
      <c r="W66" s="451"/>
      <c r="X66" s="451"/>
      <c r="Y66" s="451"/>
      <c r="Z66" s="444">
        <f>Total_W</f>
        <v>0</v>
      </c>
      <c r="AA66" s="444"/>
      <c r="AB66" s="444"/>
      <c r="AC66" s="445"/>
      <c r="AD66" s="301"/>
      <c r="AE66" s="442">
        <f>Actual_W</f>
        <v>0</v>
      </c>
      <c r="AF66" s="442"/>
      <c r="AG66" s="443"/>
      <c r="AI66" s="468">
        <f t="shared" si="8"/>
        <v>0</v>
      </c>
      <c r="AJ66" s="469"/>
      <c r="AK66" s="470"/>
      <c r="AM66" s="413"/>
      <c r="AN66" s="601" t="str">
        <f t="shared" si="9"/>
        <v>Editorial Labor &amp; Creative Fees</v>
      </c>
      <c r="AO66" s="602"/>
      <c r="AP66" s="602"/>
      <c r="AQ66" s="602"/>
      <c r="AR66" s="602"/>
      <c r="AS66" s="603"/>
      <c r="AT66" s="471">
        <f t="shared" si="7"/>
        <v>0</v>
      </c>
      <c r="AU66" s="472"/>
      <c r="AV66" s="473"/>
    </row>
    <row r="67" spans="3:65" s="51" customFormat="1" ht="16" hidden="1" customHeight="1" x14ac:dyDescent="0.2">
      <c r="C67" s="417" t="s">
        <v>234</v>
      </c>
      <c r="D67" s="418"/>
      <c r="E67" s="419" t="str">
        <f>X!D6</f>
        <v>Visual Effects, Design &amp; Animation, Interactive</v>
      </c>
      <c r="F67" s="419"/>
      <c r="G67" s="419"/>
      <c r="H67" s="419"/>
      <c r="I67" s="419"/>
      <c r="J67" s="419"/>
      <c r="K67" s="419"/>
      <c r="L67" s="419"/>
      <c r="M67" s="419"/>
      <c r="N67" s="451" t="s">
        <v>241</v>
      </c>
      <c r="O67" s="451"/>
      <c r="P67" s="451"/>
      <c r="Q67" s="451"/>
      <c r="R67" s="451"/>
      <c r="S67" s="451"/>
      <c r="T67" s="451"/>
      <c r="U67" s="451"/>
      <c r="V67" s="451"/>
      <c r="W67" s="451"/>
      <c r="X67" s="451"/>
      <c r="Y67" s="451"/>
      <c r="Z67" s="444">
        <f ca="1">Total_X</f>
        <v>0</v>
      </c>
      <c r="AA67" s="444"/>
      <c r="AB67" s="444"/>
      <c r="AC67" s="445"/>
      <c r="AD67" s="301"/>
      <c r="AE67" s="442">
        <f ca="1">Actual_X</f>
        <v>0</v>
      </c>
      <c r="AF67" s="442"/>
      <c r="AG67" s="443"/>
      <c r="AI67" s="468">
        <f ca="1">AE67-Z67</f>
        <v>0</v>
      </c>
      <c r="AJ67" s="469"/>
      <c r="AK67" s="470"/>
      <c r="AM67" s="413"/>
      <c r="AN67" s="601" t="str">
        <f t="shared" si="9"/>
        <v>Visual Effects, Design &amp; Animation, Interactive</v>
      </c>
      <c r="AO67" s="602"/>
      <c r="AP67" s="602"/>
      <c r="AQ67" s="602"/>
      <c r="AR67" s="602"/>
      <c r="AS67" s="603"/>
      <c r="AT67" s="471">
        <f t="shared" si="7"/>
        <v>0</v>
      </c>
      <c r="AU67" s="472"/>
      <c r="AV67" s="473"/>
      <c r="AY67" s="287"/>
    </row>
    <row r="68" spans="3:65" s="51" customFormat="1" ht="16" hidden="1" customHeight="1" x14ac:dyDescent="0.2">
      <c r="C68" s="302"/>
      <c r="D68" s="302"/>
      <c r="E68" s="302"/>
      <c r="F68" s="302"/>
      <c r="G68" s="302"/>
      <c r="H68" s="302"/>
      <c r="I68" s="302"/>
      <c r="J68" s="302"/>
      <c r="K68" s="302"/>
      <c r="L68" s="302"/>
      <c r="M68" s="302"/>
      <c r="N68" s="428" t="s">
        <v>287</v>
      </c>
      <c r="O68" s="429"/>
      <c r="P68" s="429"/>
      <c r="Q68" s="429"/>
      <c r="R68" s="429"/>
      <c r="S68" s="429"/>
      <c r="T68" s="429"/>
      <c r="U68" s="429"/>
      <c r="V68" s="429"/>
      <c r="W68" s="429"/>
      <c r="X68" s="429"/>
      <c r="Y68" s="429"/>
      <c r="Z68" s="633">
        <f ca="1">SUM(Z61:AC67)</f>
        <v>0</v>
      </c>
      <c r="AA68" s="633"/>
      <c r="AB68" s="633"/>
      <c r="AC68" s="634"/>
      <c r="AD68" s="303"/>
      <c r="AE68" s="442">
        <f ca="1">SUM(AE61:AG67)</f>
        <v>0</v>
      </c>
      <c r="AF68" s="442"/>
      <c r="AG68" s="443"/>
      <c r="AI68" s="468">
        <f t="shared" ca="1" si="8"/>
        <v>0</v>
      </c>
      <c r="AJ68" s="469"/>
      <c r="AK68" s="470"/>
      <c r="AT68" s="636">
        <f>SUM(AT61:AV67)</f>
        <v>0</v>
      </c>
      <c r="AU68" s="637"/>
      <c r="AV68" s="638"/>
      <c r="AY68" s="287"/>
    </row>
    <row r="69" spans="3:65" s="51" customFormat="1" ht="16" hidden="1" customHeight="1" x14ac:dyDescent="0.2">
      <c r="C69" s="304"/>
      <c r="D69" s="304"/>
      <c r="E69" s="304"/>
      <c r="F69" s="304"/>
      <c r="G69" s="304"/>
      <c r="H69" s="304"/>
      <c r="I69" s="304"/>
      <c r="J69" s="304"/>
      <c r="K69" s="304"/>
      <c r="L69" s="304"/>
      <c r="M69" s="304"/>
      <c r="N69" s="428" t="s">
        <v>809</v>
      </c>
      <c r="O69" s="429"/>
      <c r="P69" s="429"/>
      <c r="Q69" s="429"/>
      <c r="R69" s="429"/>
      <c r="S69" s="429"/>
      <c r="T69" s="429"/>
      <c r="U69" s="429"/>
      <c r="V69" s="429"/>
      <c r="W69" s="429"/>
      <c r="X69" s="429"/>
      <c r="Y69" s="429"/>
      <c r="Z69" s="440">
        <f ca="1">Z67*T6</f>
        <v>0</v>
      </c>
      <c r="AA69" s="440"/>
      <c r="AB69" s="440"/>
      <c r="AC69" s="441"/>
      <c r="AD69" s="305"/>
      <c r="AE69" s="442">
        <f ca="1">Z69</f>
        <v>0</v>
      </c>
      <c r="AF69" s="442"/>
      <c r="AG69" s="443"/>
      <c r="AI69" s="468">
        <f t="shared" ca="1" si="8"/>
        <v>0</v>
      </c>
      <c r="AJ69" s="469"/>
      <c r="AK69" s="470"/>
      <c r="AL69" s="306" t="s">
        <v>285</v>
      </c>
      <c r="AY69" s="287"/>
      <c r="BE69" s="291"/>
    </row>
    <row r="70" spans="3:65" s="51" customFormat="1" ht="16" hidden="1" customHeight="1" x14ac:dyDescent="0.2">
      <c r="C70" s="304"/>
      <c r="D70" s="304"/>
      <c r="E70" s="304"/>
      <c r="F70" s="304"/>
      <c r="G70" s="304"/>
      <c r="H70" s="304"/>
      <c r="I70" s="304"/>
      <c r="J70" s="304"/>
      <c r="K70" s="304"/>
      <c r="L70" s="304"/>
      <c r="M70" s="304"/>
      <c r="N70" s="428" t="s">
        <v>304</v>
      </c>
      <c r="O70" s="429"/>
      <c r="P70" s="429"/>
      <c r="Q70" s="429"/>
      <c r="R70" s="429"/>
      <c r="S70" s="429"/>
      <c r="T70" s="429"/>
      <c r="U70" s="429"/>
      <c r="V70" s="429"/>
      <c r="W70" s="429"/>
      <c r="X70" s="429"/>
      <c r="Y70" s="429"/>
      <c r="Z70" s="440">
        <f>AT68*AA6</f>
        <v>0</v>
      </c>
      <c r="AA70" s="440"/>
      <c r="AB70" s="440"/>
      <c r="AC70" s="441"/>
      <c r="AD70" s="307"/>
      <c r="AE70" s="442">
        <f>Z70</f>
        <v>0</v>
      </c>
      <c r="AF70" s="442"/>
      <c r="AG70" s="443"/>
      <c r="AI70" s="468">
        <f t="shared" si="8"/>
        <v>0</v>
      </c>
      <c r="AJ70" s="469"/>
      <c r="AK70" s="470"/>
      <c r="AL70" s="306"/>
      <c r="AY70" s="287"/>
    </row>
    <row r="71" spans="3:65" s="51" customFormat="1" ht="16" hidden="1" customHeight="1" x14ac:dyDescent="0.2">
      <c r="C71" s="304"/>
      <c r="D71" s="304"/>
      <c r="E71" s="304"/>
      <c r="F71" s="304"/>
      <c r="G71" s="304"/>
      <c r="H71" s="304"/>
      <c r="I71" s="304"/>
      <c r="J71" s="304"/>
      <c r="K71" s="304"/>
      <c r="L71" s="304"/>
      <c r="M71" s="304"/>
      <c r="N71" s="428" t="s">
        <v>440</v>
      </c>
      <c r="O71" s="429"/>
      <c r="P71" s="429"/>
      <c r="Q71" s="429"/>
      <c r="R71" s="429"/>
      <c r="S71" s="429"/>
      <c r="T71" s="429"/>
      <c r="U71" s="429"/>
      <c r="V71" s="429"/>
      <c r="W71" s="429"/>
      <c r="X71" s="429"/>
      <c r="Y71" s="429"/>
      <c r="Z71" s="440">
        <f>Markup_R+Markup_S+Markup_T+Markup_Q+Markup_V</f>
        <v>0</v>
      </c>
      <c r="AA71" s="440"/>
      <c r="AB71" s="440"/>
      <c r="AC71" s="441"/>
      <c r="AD71" s="307"/>
      <c r="AE71" s="442">
        <f>Z71</f>
        <v>0</v>
      </c>
      <c r="AF71" s="442"/>
      <c r="AG71" s="443"/>
      <c r="AI71" s="468">
        <f t="shared" si="8"/>
        <v>0</v>
      </c>
      <c r="AJ71" s="469"/>
      <c r="AK71" s="470"/>
      <c r="AL71" s="306"/>
      <c r="AY71" s="287"/>
    </row>
    <row r="72" spans="3:65" s="51" customFormat="1" ht="16" hidden="1" customHeight="1" x14ac:dyDescent="0.2">
      <c r="C72" s="304"/>
      <c r="D72" s="304"/>
      <c r="E72" s="304"/>
      <c r="F72" s="304"/>
      <c r="G72" s="304"/>
      <c r="H72" s="304"/>
      <c r="I72" s="304"/>
      <c r="J72" s="304"/>
      <c r="K72" s="304"/>
      <c r="L72" s="304"/>
      <c r="M72" s="304"/>
      <c r="N72" s="428" t="s">
        <v>441</v>
      </c>
      <c r="O72" s="429"/>
      <c r="P72" s="429"/>
      <c r="Q72" s="429"/>
      <c r="R72" s="429"/>
      <c r="S72" s="429"/>
      <c r="T72" s="429"/>
      <c r="U72" s="429"/>
      <c r="V72" s="429"/>
      <c r="W72" s="429"/>
      <c r="X72" s="429"/>
      <c r="Y72" s="429"/>
      <c r="Z72" s="440">
        <f>Tax_Q+Tax_R+Tax_S+Tax_T+Tax_V</f>
        <v>0</v>
      </c>
      <c r="AA72" s="440"/>
      <c r="AB72" s="440"/>
      <c r="AC72" s="441"/>
      <c r="AD72" s="307"/>
      <c r="AE72" s="442">
        <f>Z72</f>
        <v>0</v>
      </c>
      <c r="AF72" s="442"/>
      <c r="AG72" s="443"/>
      <c r="AI72" s="468">
        <f t="shared" si="8"/>
        <v>0</v>
      </c>
      <c r="AJ72" s="469"/>
      <c r="AK72" s="470"/>
      <c r="AL72" s="306"/>
      <c r="AY72" s="287"/>
      <c r="AZ72" s="287"/>
      <c r="BA72" s="287"/>
    </row>
    <row r="73" spans="3:65" s="110" customFormat="1" ht="18" hidden="1" customHeight="1" x14ac:dyDescent="0.15">
      <c r="C73" s="106"/>
      <c r="D73" s="106"/>
      <c r="E73" s="106"/>
      <c r="F73" s="106"/>
      <c r="G73" s="106"/>
      <c r="H73" s="106"/>
      <c r="I73" s="106"/>
      <c r="J73" s="106"/>
      <c r="K73" s="106"/>
      <c r="L73" s="106"/>
      <c r="M73" s="106"/>
      <c r="N73" s="107"/>
      <c r="O73" s="107"/>
      <c r="P73" s="107"/>
      <c r="Q73" s="107"/>
      <c r="R73" s="107"/>
      <c r="S73" s="107"/>
      <c r="T73" s="107"/>
      <c r="U73" s="439" t="s">
        <v>442</v>
      </c>
      <c r="V73" s="439"/>
      <c r="W73" s="439"/>
      <c r="X73" s="439"/>
      <c r="Y73" s="439"/>
      <c r="Z73" s="452">
        <f ca="1">SUM(Z68:AC72)</f>
        <v>0</v>
      </c>
      <c r="AA73" s="452"/>
      <c r="AB73" s="452"/>
      <c r="AC73" s="453"/>
      <c r="AD73" s="170"/>
      <c r="AE73" s="426">
        <f ca="1">SUM(AE68:AG72)</f>
        <v>0</v>
      </c>
      <c r="AF73" s="426"/>
      <c r="AG73" s="427"/>
      <c r="AI73" s="425">
        <f ca="1">AE73-Z73</f>
        <v>0</v>
      </c>
      <c r="AJ73" s="426"/>
      <c r="AK73" s="427"/>
      <c r="BB73" s="228"/>
      <c r="BC73" s="229"/>
      <c r="BD73" s="230"/>
      <c r="BE73" s="229"/>
    </row>
    <row r="74" spans="3:65" s="110" customFormat="1" ht="5" customHeight="1" x14ac:dyDescent="0.2">
      <c r="C74" s="106"/>
      <c r="D74" s="106"/>
      <c r="E74" s="106"/>
      <c r="F74" s="106"/>
      <c r="G74" s="106"/>
      <c r="H74" s="106"/>
      <c r="I74" s="106"/>
      <c r="J74" s="106"/>
      <c r="K74" s="106"/>
      <c r="L74" s="106"/>
      <c r="M74" s="106"/>
      <c r="N74" s="107"/>
      <c r="O74" s="107"/>
      <c r="P74" s="107"/>
      <c r="Q74" s="107"/>
      <c r="R74" s="107"/>
      <c r="S74" s="107"/>
      <c r="T74" s="107"/>
      <c r="U74" s="107"/>
      <c r="V74" s="107"/>
      <c r="W74" s="107"/>
      <c r="X74" s="107"/>
      <c r="Y74" s="107"/>
      <c r="Z74" s="107"/>
      <c r="AA74" s="107"/>
      <c r="AB74" s="107"/>
      <c r="AC74" s="108"/>
      <c r="AD74" s="170"/>
      <c r="AE74" s="168"/>
      <c r="AF74" s="168"/>
      <c r="AG74" s="169"/>
      <c r="AI74" s="261"/>
      <c r="AJ74" s="261"/>
      <c r="AK74" s="261"/>
      <c r="AP74" s="111"/>
      <c r="AQ74" s="111"/>
      <c r="AR74" s="111"/>
      <c r="AS74" s="111"/>
      <c r="AT74" s="111"/>
      <c r="AU74" s="111"/>
      <c r="AV74" s="111"/>
      <c r="AW74" s="231"/>
      <c r="AX74" s="231"/>
      <c r="BB74" s="228"/>
      <c r="BC74" s="229"/>
      <c r="BD74" s="230"/>
      <c r="BE74" s="229"/>
    </row>
    <row r="75" spans="3:65" s="110" customFormat="1" ht="18" hidden="1" customHeight="1" x14ac:dyDescent="0.2">
      <c r="C75" s="109" t="s">
        <v>285</v>
      </c>
      <c r="D75" s="109"/>
      <c r="E75" s="109"/>
      <c r="F75" s="109"/>
      <c r="G75" s="109"/>
      <c r="H75" s="109"/>
      <c r="I75" s="109"/>
      <c r="J75" s="109"/>
      <c r="K75" s="109"/>
      <c r="L75" s="109"/>
      <c r="M75" s="109"/>
      <c r="U75" s="439" t="s">
        <v>416</v>
      </c>
      <c r="V75" s="439"/>
      <c r="W75" s="439"/>
      <c r="X75" s="439"/>
      <c r="Y75" s="439"/>
      <c r="Z75" s="452">
        <f ca="1">Z73+Z58</f>
        <v>0</v>
      </c>
      <c r="AA75" s="452"/>
      <c r="AB75" s="452"/>
      <c r="AC75" s="453"/>
      <c r="AD75" s="227"/>
      <c r="AE75" s="426">
        <f ca="1">AE73+AE58</f>
        <v>0</v>
      </c>
      <c r="AF75" s="426"/>
      <c r="AG75" s="427"/>
      <c r="AI75" s="425">
        <f ca="1">AE75-Z75</f>
        <v>0</v>
      </c>
      <c r="AJ75" s="426"/>
      <c r="AK75" s="427"/>
      <c r="AP75" s="111"/>
      <c r="AQ75" s="111"/>
      <c r="AR75" s="111"/>
      <c r="AS75" s="111"/>
      <c r="AT75" s="111"/>
      <c r="AU75" s="111"/>
      <c r="AV75" s="111"/>
      <c r="BB75" s="228"/>
      <c r="BC75" s="229"/>
      <c r="BD75" s="230"/>
      <c r="BE75" s="229"/>
    </row>
    <row r="76" spans="3:65" ht="9" customHeight="1" x14ac:dyDescent="0.2">
      <c r="C76" s="111"/>
      <c r="D76" s="111"/>
      <c r="E76" s="111"/>
      <c r="F76" s="111"/>
      <c r="G76" s="111"/>
      <c r="H76" s="111"/>
      <c r="I76" s="111"/>
      <c r="J76" s="111"/>
      <c r="K76" s="111"/>
      <c r="L76" s="111"/>
      <c r="M76" s="111"/>
      <c r="N76" s="111"/>
      <c r="O76" s="111"/>
      <c r="P76" s="111"/>
      <c r="Q76" s="111"/>
      <c r="R76" s="111"/>
      <c r="S76" s="111"/>
      <c r="T76" s="111"/>
      <c r="U76" s="111"/>
      <c r="V76" s="111"/>
      <c r="W76" s="111"/>
      <c r="X76" s="111"/>
      <c r="Y76" s="111"/>
      <c r="Z76" s="111"/>
      <c r="AA76" s="111"/>
      <c r="AB76" s="111"/>
      <c r="AC76" s="111"/>
      <c r="AZ76" s="1"/>
      <c r="BA76" s="1"/>
      <c r="BB76" s="91"/>
      <c r="BC76" s="92"/>
      <c r="BD76" s="93"/>
      <c r="BE76" s="92"/>
      <c r="BG76" s="167"/>
      <c r="BH76" s="167"/>
      <c r="BI76" s="167"/>
      <c r="BJ76" s="167"/>
      <c r="BK76" s="167"/>
      <c r="BL76" s="167"/>
      <c r="BM76" s="167"/>
    </row>
    <row r="77" spans="3:65" s="1" customFormat="1" ht="18" customHeight="1" x14ac:dyDescent="0.2">
      <c r="C77" s="172" t="s">
        <v>521</v>
      </c>
      <c r="D77" s="172"/>
      <c r="E77" s="172"/>
      <c r="F77" s="172"/>
      <c r="G77" s="172"/>
      <c r="H77" s="172"/>
      <c r="I77" s="172"/>
      <c r="J77" s="172"/>
      <c r="K77" s="172"/>
      <c r="L77" s="172"/>
      <c r="M77" s="172"/>
      <c r="N77" s="172"/>
      <c r="O77" s="172"/>
      <c r="P77" s="172"/>
      <c r="Q77" s="172"/>
      <c r="R77" s="172"/>
      <c r="S77" s="172"/>
      <c r="T77" s="172"/>
      <c r="U77" s="172"/>
      <c r="V77" s="172"/>
      <c r="W77" s="172"/>
      <c r="X77" s="172"/>
      <c r="Y77" s="172"/>
      <c r="Z77" s="172"/>
      <c r="AA77" s="172"/>
      <c r="AB77" s="172"/>
      <c r="AC77" s="172"/>
      <c r="AE77"/>
      <c r="AF77"/>
      <c r="AG77"/>
      <c r="AH77"/>
      <c r="AI77" s="635" t="s">
        <v>523</v>
      </c>
      <c r="AJ77" s="635"/>
      <c r="AK77" s="635"/>
      <c r="AL77" s="635"/>
      <c r="AM77" s="635"/>
      <c r="AN77" s="635"/>
      <c r="AO77" s="635"/>
      <c r="AP77" s="635"/>
      <c r="AQ77" s="635"/>
      <c r="AR77" s="635"/>
      <c r="AS77" s="635"/>
      <c r="AT77" s="635"/>
      <c r="AU77" s="631" t="s">
        <v>524</v>
      </c>
      <c r="AV77" s="625" t="s">
        <v>535</v>
      </c>
      <c r="AW77" s="626"/>
      <c r="AX77" s="626"/>
      <c r="AY77" s="626"/>
      <c r="AZ77" s="626"/>
      <c r="BA77" s="626"/>
      <c r="BB77" s="626"/>
      <c r="BC77" s="627"/>
    </row>
    <row r="78" spans="3:65" s="110" customFormat="1" ht="16" customHeight="1" x14ac:dyDescent="0.2">
      <c r="C78" s="112"/>
      <c r="D78" s="113" t="s">
        <v>165</v>
      </c>
      <c r="E78" s="598" t="s">
        <v>432</v>
      </c>
      <c r="F78" s="598"/>
      <c r="G78" s="598"/>
      <c r="H78" s="598"/>
      <c r="I78" s="598"/>
      <c r="J78" s="598"/>
      <c r="K78" s="598"/>
      <c r="L78" s="598"/>
      <c r="M78" s="598"/>
      <c r="N78" s="598"/>
      <c r="O78" s="598"/>
      <c r="P78" s="598"/>
      <c r="Q78" s="598"/>
      <c r="R78" s="598"/>
      <c r="S78" s="598"/>
      <c r="T78" s="598"/>
      <c r="U78" s="598"/>
      <c r="V78" s="598"/>
      <c r="W78" s="598"/>
      <c r="X78" s="598"/>
      <c r="Y78" s="598"/>
      <c r="Z78" s="598"/>
      <c r="AA78" s="598"/>
      <c r="AB78" s="598"/>
      <c r="AC78" s="599"/>
      <c r="AE78" s="111"/>
      <c r="AF78" s="111"/>
      <c r="AG78" s="111"/>
      <c r="AH78" s="111"/>
      <c r="AI78" s="262" t="s">
        <v>497</v>
      </c>
      <c r="AJ78" s="619" t="s">
        <v>520</v>
      </c>
      <c r="AK78" s="620"/>
      <c r="AL78" s="620"/>
      <c r="AM78" s="620"/>
      <c r="AN78" s="620"/>
      <c r="AO78" s="620"/>
      <c r="AP78" s="620"/>
      <c r="AQ78" s="621"/>
      <c r="AR78" s="622" t="s">
        <v>519</v>
      </c>
      <c r="AS78" s="623"/>
      <c r="AT78" s="624"/>
      <c r="AU78" s="632"/>
      <c r="AV78" s="628"/>
      <c r="AW78" s="629"/>
      <c r="AX78" s="629"/>
      <c r="AY78" s="629"/>
      <c r="AZ78" s="629"/>
      <c r="BA78" s="629"/>
      <c r="BB78" s="629"/>
      <c r="BC78" s="630"/>
      <c r="BD78" s="171">
        <f ca="1">MAX(INDIRECT("BD"&amp;ROW(PTop)+1&amp;":BD"&amp;ROW(PBottom)))+1</f>
        <v>5</v>
      </c>
    </row>
    <row r="79" spans="3:65" s="287" customFormat="1" ht="16" customHeight="1" x14ac:dyDescent="0.2">
      <c r="C79" s="417" t="str">
        <f>IF('P1. Breakout Expenses'!P_NUM&gt;0,'P1. Breakout Expenses'!P_NUM,"")</f>
        <v>P1.</v>
      </c>
      <c r="D79" s="592"/>
      <c r="E79" s="419" t="str">
        <f>IF('P1. Breakout Expenses'!P_TITLE&gt;0,'P1. Breakout Expenses'!P_TITLE,"")</f>
        <v>Breakout Expenses</v>
      </c>
      <c r="F79" s="419"/>
      <c r="G79" s="419"/>
      <c r="H79" s="419"/>
      <c r="I79" s="419"/>
      <c r="J79" s="419"/>
      <c r="K79" s="419"/>
      <c r="L79" s="419"/>
      <c r="M79" s="419"/>
      <c r="N79" s="419"/>
      <c r="O79" s="419"/>
      <c r="P79" s="419"/>
      <c r="Q79" s="419"/>
      <c r="R79" s="419"/>
      <c r="S79" s="419"/>
      <c r="T79" s="419"/>
      <c r="U79" s="419"/>
      <c r="V79" s="419"/>
      <c r="W79" s="419"/>
      <c r="X79" s="419"/>
      <c r="Y79" s="419"/>
      <c r="Z79" s="596">
        <f>[0]!P_TOT</f>
        <v>492</v>
      </c>
      <c r="AA79" s="596"/>
      <c r="AB79" s="596"/>
      <c r="AC79" s="597"/>
      <c r="AI79" s="414"/>
      <c r="AJ79" s="616" t="str">
        <f>E79</f>
        <v>Breakout Expenses</v>
      </c>
      <c r="AK79" s="617"/>
      <c r="AL79" s="617"/>
      <c r="AM79" s="617"/>
      <c r="AN79" s="617"/>
      <c r="AO79" s="617"/>
      <c r="AP79" s="617"/>
      <c r="AQ79" s="618"/>
      <c r="AR79" s="613">
        <f>IF(AI79="X",Z79,0)</f>
        <v>0</v>
      </c>
      <c r="AS79" s="614"/>
      <c r="AT79" s="615"/>
      <c r="AU79" s="610" t="s">
        <v>810</v>
      </c>
      <c r="AV79" s="611"/>
      <c r="AW79" s="611"/>
      <c r="AX79" s="611"/>
      <c r="AY79" s="611"/>
      <c r="AZ79" s="611"/>
      <c r="BA79" s="611"/>
      <c r="BB79" s="611"/>
      <c r="BC79" s="612"/>
      <c r="BD79" s="287">
        <v>1</v>
      </c>
    </row>
    <row r="80" spans="3:65" s="287" customFormat="1" ht="16" customHeight="1" x14ac:dyDescent="0.2">
      <c r="C80" s="417" t="str">
        <f>IF('P2. Breakout Labor'!P_NUM&gt;0,'P2. Breakout Labor'!P_NUM,"")</f>
        <v>P2.</v>
      </c>
      <c r="D80" s="418"/>
      <c r="E80" s="419" t="str">
        <f>IF('P2. Breakout Labor'!P_TITLE&gt;0,'P2. Breakout Labor'!P_TITLE,"")</f>
        <v>Breakout Labor</v>
      </c>
      <c r="F80" s="419"/>
      <c r="G80" s="419"/>
      <c r="H80" s="419"/>
      <c r="I80" s="419"/>
      <c r="J80" s="419"/>
      <c r="K80" s="419"/>
      <c r="L80" s="419"/>
      <c r="M80" s="419"/>
      <c r="N80" s="419"/>
      <c r="O80" s="419"/>
      <c r="P80" s="419"/>
      <c r="Q80" s="419"/>
      <c r="R80" s="419"/>
      <c r="S80" s="419"/>
      <c r="T80" s="419"/>
      <c r="U80" s="419"/>
      <c r="V80" s="419"/>
      <c r="W80" s="419"/>
      <c r="X80" s="419"/>
      <c r="Y80" s="419"/>
      <c r="Z80" s="420">
        <f>'P2. Breakout Labor'!P_TOT</f>
        <v>476.1</v>
      </c>
      <c r="AA80" s="420"/>
      <c r="AB80" s="420"/>
      <c r="AC80" s="421"/>
      <c r="AI80" s="414"/>
      <c r="AJ80" s="446" t="str">
        <f>E80</f>
        <v>Breakout Labor</v>
      </c>
      <c r="AK80" s="447"/>
      <c r="AL80" s="447"/>
      <c r="AM80" s="447"/>
      <c r="AN80" s="447"/>
      <c r="AO80" s="447"/>
      <c r="AP80" s="447"/>
      <c r="AQ80" s="447"/>
      <c r="AR80" s="448">
        <f>IF(AI80="X",Z80,0)</f>
        <v>0</v>
      </c>
      <c r="AS80" s="448"/>
      <c r="AT80" s="449"/>
      <c r="AU80" s="401" t="s">
        <v>525</v>
      </c>
      <c r="AV80" s="607" t="str">
        <f>"Remove "&amp;C80&amp;" "&amp;E80</f>
        <v>Remove P2. Breakout Labor</v>
      </c>
      <c r="AW80" s="608"/>
      <c r="AX80" s="608"/>
      <c r="AY80" s="608"/>
      <c r="AZ80" s="608"/>
      <c r="BA80" s="608"/>
      <c r="BB80" s="608"/>
      <c r="BC80" s="609"/>
      <c r="BD80" s="287">
        <v>2</v>
      </c>
    </row>
    <row r="81" spans="3:56" s="287" customFormat="1" ht="16" customHeight="1" x14ac:dyDescent="0.2">
      <c r="C81" s="417" t="str">
        <f>IF('P3. Breakout Talent'!P_NUM&gt;0,'P3. Breakout Talent'!P_NUM,"")</f>
        <v>P3.</v>
      </c>
      <c r="D81" s="418"/>
      <c r="E81" s="419" t="str">
        <f>IF('P3. Breakout Talent'!P_TITLE&gt;0,'P3. Breakout Talent'!P_TITLE,"")</f>
        <v>Breakout Talent</v>
      </c>
      <c r="F81" s="419"/>
      <c r="G81" s="419"/>
      <c r="H81" s="419"/>
      <c r="I81" s="419"/>
      <c r="J81" s="419"/>
      <c r="K81" s="419"/>
      <c r="L81" s="419"/>
      <c r="M81" s="419"/>
      <c r="N81" s="419"/>
      <c r="O81" s="419"/>
      <c r="P81" s="419"/>
      <c r="Q81" s="419"/>
      <c r="R81" s="419"/>
      <c r="S81" s="419"/>
      <c r="T81" s="419"/>
      <c r="U81" s="419"/>
      <c r="V81" s="419"/>
      <c r="W81" s="419"/>
      <c r="X81" s="419"/>
      <c r="Y81" s="419"/>
      <c r="Z81" s="420">
        <f>'P3. Breakout Talent'!P_TOT</f>
        <v>2300</v>
      </c>
      <c r="AA81" s="420"/>
      <c r="AB81" s="420"/>
      <c r="AC81" s="421"/>
      <c r="AI81" s="414"/>
      <c r="AJ81" s="446" t="str">
        <f>E81</f>
        <v>Breakout Talent</v>
      </c>
      <c r="AK81" s="447"/>
      <c r="AL81" s="447"/>
      <c r="AM81" s="447"/>
      <c r="AN81" s="447"/>
      <c r="AO81" s="447"/>
      <c r="AP81" s="447"/>
      <c r="AQ81" s="447"/>
      <c r="AR81" s="448">
        <f>IF(AI81="X",Z81,0)</f>
        <v>0</v>
      </c>
      <c r="AS81" s="448"/>
      <c r="AT81" s="449"/>
      <c r="AU81" s="401" t="s">
        <v>525</v>
      </c>
      <c r="AV81" s="422" t="str">
        <f>"Remove "&amp;C81&amp;" "&amp;E81</f>
        <v>Remove P3. Breakout Talent</v>
      </c>
      <c r="AW81" s="423"/>
      <c r="AX81" s="423"/>
      <c r="AY81" s="423"/>
      <c r="AZ81" s="423"/>
      <c r="BA81" s="423"/>
      <c r="BB81" s="423"/>
      <c r="BC81" s="424"/>
      <c r="BD81" s="287">
        <v>3</v>
      </c>
    </row>
    <row r="82" spans="3:56" s="287" customFormat="1" ht="16" customHeight="1" x14ac:dyDescent="0.2">
      <c r="C82" s="417" t="str">
        <f>IF('P4. Breakout Blank'!P_NUM&gt;0,'P4. Breakout Blank'!P_NUM,"")</f>
        <v>P4.</v>
      </c>
      <c r="D82" s="418"/>
      <c r="E82" s="419" t="str">
        <f>IF('P4. Breakout Blank'!P_TITLE&gt;0,'P4. Breakout Blank'!P_TITLE,"")</f>
        <v>Breakout Blank</v>
      </c>
      <c r="F82" s="419"/>
      <c r="G82" s="419"/>
      <c r="H82" s="419"/>
      <c r="I82" s="419"/>
      <c r="J82" s="419"/>
      <c r="K82" s="419"/>
      <c r="L82" s="419"/>
      <c r="M82" s="419"/>
      <c r="N82" s="419"/>
      <c r="O82" s="419"/>
      <c r="P82" s="419"/>
      <c r="Q82" s="419"/>
      <c r="R82" s="419"/>
      <c r="S82" s="419"/>
      <c r="T82" s="419"/>
      <c r="U82" s="419"/>
      <c r="V82" s="419"/>
      <c r="W82" s="419"/>
      <c r="X82" s="419"/>
      <c r="Y82" s="419"/>
      <c r="Z82" s="420">
        <f>'P4. Breakout Blank'!P_TOT</f>
        <v>0</v>
      </c>
      <c r="AA82" s="420"/>
      <c r="AB82" s="420"/>
      <c r="AC82" s="421"/>
      <c r="AI82" s="414"/>
      <c r="AJ82" s="446" t="str">
        <f>E82</f>
        <v>Breakout Blank</v>
      </c>
      <c r="AK82" s="447"/>
      <c r="AL82" s="447"/>
      <c r="AM82" s="447"/>
      <c r="AN82" s="447"/>
      <c r="AO82" s="447"/>
      <c r="AP82" s="447"/>
      <c r="AQ82" s="447"/>
      <c r="AR82" s="448">
        <f>IF(AI82="X",Z82,0)</f>
        <v>0</v>
      </c>
      <c r="AS82" s="448"/>
      <c r="AT82" s="449"/>
      <c r="AU82" s="401" t="s">
        <v>525</v>
      </c>
      <c r="AV82" s="422" t="str">
        <f>"Remove "&amp;C82&amp;" "&amp;E82</f>
        <v>Remove P4. Breakout Blank</v>
      </c>
      <c r="AW82" s="423"/>
      <c r="AX82" s="423"/>
      <c r="AY82" s="423"/>
      <c r="AZ82" s="423"/>
      <c r="BA82" s="423"/>
      <c r="BB82" s="423"/>
      <c r="BC82" s="424"/>
      <c r="BD82" s="287">
        <v>4</v>
      </c>
    </row>
    <row r="83" spans="3:56" s="111" customFormat="1" ht="7" customHeight="1" x14ac:dyDescent="0.2">
      <c r="AI83" s="259"/>
      <c r="AJ83" s="259"/>
      <c r="AK83" s="259"/>
    </row>
    <row r="84" spans="3:56" s="111" customFormat="1" ht="16" customHeight="1" x14ac:dyDescent="0.2">
      <c r="C84" s="112"/>
      <c r="D84" s="590" t="s">
        <v>286</v>
      </c>
      <c r="E84" s="590"/>
      <c r="F84" s="590"/>
      <c r="G84" s="590"/>
      <c r="H84" s="590"/>
      <c r="I84" s="590"/>
      <c r="J84" s="590"/>
      <c r="K84" s="590"/>
      <c r="L84" s="590"/>
      <c r="M84" s="590"/>
      <c r="N84" s="590"/>
      <c r="O84" s="590"/>
      <c r="P84" s="590"/>
      <c r="Q84" s="590"/>
      <c r="R84" s="590"/>
      <c r="S84" s="590"/>
      <c r="T84" s="590"/>
      <c r="U84" s="590"/>
      <c r="V84" s="590"/>
      <c r="W84" s="590"/>
      <c r="X84" s="590"/>
      <c r="Y84" s="590"/>
      <c r="Z84" s="590"/>
      <c r="AA84" s="590"/>
      <c r="AB84" s="590"/>
      <c r="AC84" s="591"/>
      <c r="AI84" s="259"/>
      <c r="AJ84" s="259"/>
      <c r="AK84" s="259"/>
    </row>
    <row r="85" spans="3:56" s="287" customFormat="1" ht="16" customHeight="1" x14ac:dyDescent="0.2">
      <c r="C85" s="593" t="s">
        <v>517</v>
      </c>
      <c r="D85" s="594"/>
      <c r="E85" s="604"/>
      <c r="F85" s="604"/>
      <c r="G85" s="604"/>
      <c r="H85" s="604"/>
      <c r="I85" s="604"/>
      <c r="J85" s="604"/>
      <c r="K85" s="604"/>
      <c r="L85" s="604"/>
      <c r="M85" s="604"/>
      <c r="N85" s="604"/>
      <c r="O85" s="604"/>
      <c r="P85" s="604"/>
      <c r="Q85" s="604"/>
      <c r="R85" s="604"/>
      <c r="S85" s="604"/>
      <c r="T85" s="604"/>
      <c r="U85" s="604"/>
      <c r="V85" s="604"/>
      <c r="W85" s="604"/>
      <c r="X85" s="604"/>
      <c r="Y85" s="604"/>
      <c r="Z85" s="419"/>
      <c r="AA85" s="419"/>
      <c r="AB85" s="419"/>
      <c r="AC85" s="589"/>
      <c r="AI85" s="288"/>
      <c r="AJ85" s="288"/>
      <c r="AK85" s="288"/>
      <c r="AL85" s="288"/>
      <c r="AM85" s="288"/>
      <c r="AN85" s="288"/>
    </row>
    <row r="86" spans="3:56" s="287" customFormat="1" ht="16" customHeight="1" x14ac:dyDescent="0.2">
      <c r="C86" s="593" t="s">
        <v>242</v>
      </c>
      <c r="D86" s="594"/>
      <c r="E86" s="604"/>
      <c r="F86" s="604"/>
      <c r="G86" s="604"/>
      <c r="H86" s="604"/>
      <c r="I86" s="604"/>
      <c r="J86" s="604"/>
      <c r="K86" s="604"/>
      <c r="L86" s="604"/>
      <c r="M86" s="604"/>
      <c r="N86" s="604"/>
      <c r="O86" s="604"/>
      <c r="P86" s="604"/>
      <c r="Q86" s="604"/>
      <c r="R86" s="604"/>
      <c r="S86" s="604"/>
      <c r="T86" s="604"/>
      <c r="U86" s="604"/>
      <c r="V86" s="604"/>
      <c r="W86" s="604"/>
      <c r="X86" s="604"/>
      <c r="Y86" s="604"/>
      <c r="Z86" s="419"/>
      <c r="AA86" s="419"/>
      <c r="AB86" s="419"/>
      <c r="AC86" s="589"/>
      <c r="AI86" s="288"/>
      <c r="AJ86" s="288"/>
      <c r="AK86" s="288"/>
    </row>
    <row r="87" spans="3:56" s="287" customFormat="1" ht="16" customHeight="1" x14ac:dyDescent="0.2">
      <c r="C87" s="593" t="s">
        <v>243</v>
      </c>
      <c r="D87" s="594"/>
      <c r="E87" s="604"/>
      <c r="F87" s="604"/>
      <c r="G87" s="604"/>
      <c r="H87" s="604"/>
      <c r="I87" s="604"/>
      <c r="J87" s="604"/>
      <c r="K87" s="604"/>
      <c r="L87" s="604"/>
      <c r="M87" s="604"/>
      <c r="N87" s="604"/>
      <c r="O87" s="604"/>
      <c r="P87" s="604"/>
      <c r="Q87" s="604"/>
      <c r="R87" s="604"/>
      <c r="S87" s="604"/>
      <c r="T87" s="604"/>
      <c r="U87" s="604"/>
      <c r="V87" s="604"/>
      <c r="W87" s="604"/>
      <c r="X87" s="604"/>
      <c r="Y87" s="604"/>
      <c r="Z87" s="419"/>
      <c r="AA87" s="419"/>
      <c r="AB87" s="419"/>
      <c r="AC87" s="589"/>
      <c r="AI87" s="288"/>
      <c r="AJ87" s="288"/>
      <c r="AK87" s="288"/>
    </row>
    <row r="88" spans="3:56" s="287" customFormat="1" ht="16" customHeight="1" x14ac:dyDescent="0.2">
      <c r="C88" s="593" t="s">
        <v>244</v>
      </c>
      <c r="D88" s="594"/>
      <c r="E88" s="604"/>
      <c r="F88" s="604"/>
      <c r="G88" s="604"/>
      <c r="H88" s="604"/>
      <c r="I88" s="604"/>
      <c r="J88" s="604"/>
      <c r="K88" s="604"/>
      <c r="L88" s="604"/>
      <c r="M88" s="604"/>
      <c r="N88" s="604"/>
      <c r="O88" s="604"/>
      <c r="P88" s="604"/>
      <c r="Q88" s="604"/>
      <c r="R88" s="604"/>
      <c r="S88" s="604"/>
      <c r="T88" s="604"/>
      <c r="U88" s="604"/>
      <c r="V88" s="604"/>
      <c r="W88" s="604"/>
      <c r="X88" s="604"/>
      <c r="Y88" s="604"/>
      <c r="Z88" s="419"/>
      <c r="AA88" s="419"/>
      <c r="AB88" s="419"/>
      <c r="AC88" s="589"/>
      <c r="AI88" s="288"/>
      <c r="AJ88" s="288"/>
      <c r="AK88" s="288"/>
    </row>
    <row r="89" spans="3:56" s="111" customFormat="1" ht="14" x14ac:dyDescent="0.2">
      <c r="AI89" s="259"/>
      <c r="AJ89" s="259"/>
      <c r="AK89" s="259"/>
    </row>
    <row r="90" spans="3:56" s="111" customFormat="1" ht="14" x14ac:dyDescent="0.2">
      <c r="C90" s="595" t="s">
        <v>522</v>
      </c>
      <c r="D90" s="595"/>
      <c r="E90" s="595"/>
      <c r="F90" s="595"/>
      <c r="G90" s="595"/>
      <c r="H90" s="595"/>
      <c r="I90" s="595"/>
      <c r="J90" s="595"/>
      <c r="K90" s="595"/>
      <c r="L90" s="595"/>
      <c r="M90" s="595"/>
      <c r="N90" s="595"/>
      <c r="O90" s="595"/>
      <c r="P90" s="595"/>
      <c r="Q90" s="595"/>
      <c r="R90" s="595"/>
      <c r="S90" s="595"/>
      <c r="T90" s="595"/>
      <c r="U90" s="595"/>
      <c r="V90" s="595"/>
      <c r="W90" s="595"/>
      <c r="X90" s="595"/>
      <c r="Y90" s="595"/>
      <c r="Z90" s="595"/>
      <c r="AA90" s="595"/>
      <c r="AB90" s="595"/>
      <c r="AC90" s="595"/>
      <c r="AI90" s="259"/>
      <c r="AJ90" s="259"/>
      <c r="AK90" s="259"/>
    </row>
    <row r="92" spans="3:56" x14ac:dyDescent="0.2">
      <c r="C92" s="20"/>
    </row>
    <row r="93" spans="3:56" x14ac:dyDescent="0.2">
      <c r="C93" s="20"/>
    </row>
    <row r="94" spans="3:56" x14ac:dyDescent="0.2">
      <c r="C94" s="20"/>
    </row>
  </sheetData>
  <sheetProtection selectLockedCells="1"/>
  <mergeCells count="467">
    <mergeCell ref="AI77:AT77"/>
    <mergeCell ref="AJ80:AQ80"/>
    <mergeCell ref="AR80:AT80"/>
    <mergeCell ref="Z61:AC61"/>
    <mergeCell ref="Z88:AC88"/>
    <mergeCell ref="E85:Y85"/>
    <mergeCell ref="E86:Y86"/>
    <mergeCell ref="Z86:AC86"/>
    <mergeCell ref="C80:D80"/>
    <mergeCell ref="E80:Y80"/>
    <mergeCell ref="Z80:AC80"/>
    <mergeCell ref="AE71:AG71"/>
    <mergeCell ref="AI65:AK65"/>
    <mergeCell ref="AT67:AV67"/>
    <mergeCell ref="AI68:AK68"/>
    <mergeCell ref="AI69:AK69"/>
    <mergeCell ref="AI70:AK70"/>
    <mergeCell ref="AI71:AK71"/>
    <mergeCell ref="AT68:AV68"/>
    <mergeCell ref="AI66:AK66"/>
    <mergeCell ref="AI67:AK67"/>
    <mergeCell ref="AT65:AV65"/>
    <mergeCell ref="AI64:AK64"/>
    <mergeCell ref="AT66:AV66"/>
    <mergeCell ref="AV80:BC80"/>
    <mergeCell ref="AO53:AS53"/>
    <mergeCell ref="AT53:AV53"/>
    <mergeCell ref="AW53:AY53"/>
    <mergeCell ref="C53:D53"/>
    <mergeCell ref="E53:M53"/>
    <mergeCell ref="N53:Y53"/>
    <mergeCell ref="Z53:AC53"/>
    <mergeCell ref="AE53:AG53"/>
    <mergeCell ref="AI53:AK53"/>
    <mergeCell ref="AU79:BC79"/>
    <mergeCell ref="AR79:AT79"/>
    <mergeCell ref="AJ79:AQ79"/>
    <mergeCell ref="AJ78:AQ78"/>
    <mergeCell ref="AR78:AT78"/>
    <mergeCell ref="AV77:BC78"/>
    <mergeCell ref="AU77:AU78"/>
    <mergeCell ref="Z68:AC68"/>
    <mergeCell ref="Z69:AC69"/>
    <mergeCell ref="Z70:AC70"/>
    <mergeCell ref="Z71:AC71"/>
    <mergeCell ref="AE60:AG60"/>
    <mergeCell ref="AI72:AK72"/>
    <mergeCell ref="AE72:AG72"/>
    <mergeCell ref="C90:AC90"/>
    <mergeCell ref="Z79:AC79"/>
    <mergeCell ref="E78:AC78"/>
    <mergeCell ref="E79:Y79"/>
    <mergeCell ref="AO47:AS47"/>
    <mergeCell ref="AO48:AS48"/>
    <mergeCell ref="AO49:AS49"/>
    <mergeCell ref="AO50:AS50"/>
    <mergeCell ref="AO51:AS51"/>
    <mergeCell ref="AN61:AS61"/>
    <mergeCell ref="AN62:AS62"/>
    <mergeCell ref="AN63:AS63"/>
    <mergeCell ref="AN64:AS64"/>
    <mergeCell ref="AN65:AS65"/>
    <mergeCell ref="AN66:AS66"/>
    <mergeCell ref="AN67:AS67"/>
    <mergeCell ref="AO52:AS52"/>
    <mergeCell ref="E88:Y88"/>
    <mergeCell ref="E87:Y87"/>
    <mergeCell ref="C88:D88"/>
    <mergeCell ref="Z49:AC49"/>
    <mergeCell ref="Z52:AC52"/>
    <mergeCell ref="Z51:AC51"/>
    <mergeCell ref="Z60:AC60"/>
    <mergeCell ref="AE67:AG67"/>
    <mergeCell ref="AE68:AG68"/>
    <mergeCell ref="AE75:AG75"/>
    <mergeCell ref="AE69:AG69"/>
    <mergeCell ref="AE70:AG70"/>
    <mergeCell ref="Z73:AC73"/>
    <mergeCell ref="N67:Y67"/>
    <mergeCell ref="AE73:AG73"/>
    <mergeCell ref="C87:D87"/>
    <mergeCell ref="C85:D85"/>
    <mergeCell ref="C67:D67"/>
    <mergeCell ref="C86:D86"/>
    <mergeCell ref="Z67:AC67"/>
    <mergeCell ref="N68:Y68"/>
    <mergeCell ref="N69:Y69"/>
    <mergeCell ref="U73:Y73"/>
    <mergeCell ref="X4:Z4"/>
    <mergeCell ref="X5:Z5"/>
    <mergeCell ref="AA4:AC4"/>
    <mergeCell ref="C28:G28"/>
    <mergeCell ref="C21:G21"/>
    <mergeCell ref="C23:G23"/>
    <mergeCell ref="X2:AC2"/>
    <mergeCell ref="Z85:AC85"/>
    <mergeCell ref="Z87:AC87"/>
    <mergeCell ref="D84:AC84"/>
    <mergeCell ref="C79:D79"/>
    <mergeCell ref="AI35:AK35"/>
    <mergeCell ref="N36:Y36"/>
    <mergeCell ref="Z36:AC36"/>
    <mergeCell ref="Z35:AC35"/>
    <mergeCell ref="Z34:AC34"/>
    <mergeCell ref="V34:Y34"/>
    <mergeCell ref="AE36:AG36"/>
    <mergeCell ref="AI36:AK36"/>
    <mergeCell ref="Q29:T29"/>
    <mergeCell ref="Q30:T30"/>
    <mergeCell ref="Q31:T31"/>
    <mergeCell ref="Q32:T32"/>
    <mergeCell ref="Q33:T33"/>
    <mergeCell ref="L29:P29"/>
    <mergeCell ref="L30:P30"/>
    <mergeCell ref="L31:P31"/>
    <mergeCell ref="L32:P32"/>
    <mergeCell ref="AW47:AY47"/>
    <mergeCell ref="AW48:AY48"/>
    <mergeCell ref="N61:Y61"/>
    <mergeCell ref="Z56:AC56"/>
    <mergeCell ref="AE57:AG57"/>
    <mergeCell ref="AE56:AG56"/>
    <mergeCell ref="N47:Y47"/>
    <mergeCell ref="N48:Y48"/>
    <mergeCell ref="AE58:AG58"/>
    <mergeCell ref="N52:Y52"/>
    <mergeCell ref="Z47:AC47"/>
    <mergeCell ref="AE47:AG47"/>
    <mergeCell ref="AE48:AG48"/>
    <mergeCell ref="AE52:AG52"/>
    <mergeCell ref="AI52:AK52"/>
    <mergeCell ref="Z48:AC48"/>
    <mergeCell ref="Z50:AC50"/>
    <mergeCell ref="AE51:AG51"/>
    <mergeCell ref="AT61:AV61"/>
    <mergeCell ref="N49:Y49"/>
    <mergeCell ref="N50:Y50"/>
    <mergeCell ref="N51:Y51"/>
    <mergeCell ref="N57:Y57"/>
    <mergeCell ref="Z57:AC57"/>
    <mergeCell ref="Z63:AC63"/>
    <mergeCell ref="Z64:AC64"/>
    <mergeCell ref="N64:Y64"/>
    <mergeCell ref="N62:Y62"/>
    <mergeCell ref="N63:Y63"/>
    <mergeCell ref="Z62:AC62"/>
    <mergeCell ref="N56:Y56"/>
    <mergeCell ref="Z58:AC58"/>
    <mergeCell ref="AT64:AV64"/>
    <mergeCell ref="C64:D64"/>
    <mergeCell ref="E62:M62"/>
    <mergeCell ref="E63:M63"/>
    <mergeCell ref="C50:D50"/>
    <mergeCell ref="E51:M51"/>
    <mergeCell ref="C52:D52"/>
    <mergeCell ref="E61:M61"/>
    <mergeCell ref="E64:M64"/>
    <mergeCell ref="C62:D62"/>
    <mergeCell ref="C61:D61"/>
    <mergeCell ref="C63:D63"/>
    <mergeCell ref="E52:M52"/>
    <mergeCell ref="C51:D51"/>
    <mergeCell ref="E50:M50"/>
    <mergeCell ref="AA5:AC5"/>
    <mergeCell ref="Q6:S7"/>
    <mergeCell ref="X6:Z7"/>
    <mergeCell ref="Q4:S5"/>
    <mergeCell ref="Q2:S2"/>
    <mergeCell ref="Q3:S3"/>
    <mergeCell ref="T2:W7"/>
    <mergeCell ref="C10:G10"/>
    <mergeCell ref="C11:G11"/>
    <mergeCell ref="M4:O4"/>
    <mergeCell ref="M5:O5"/>
    <mergeCell ref="M6:O7"/>
    <mergeCell ref="J4:L4"/>
    <mergeCell ref="J5:L5"/>
    <mergeCell ref="J6:L7"/>
    <mergeCell ref="Q10:T10"/>
    <mergeCell ref="Z10:AC10"/>
    <mergeCell ref="Z11:AC11"/>
    <mergeCell ref="U10:Y10"/>
    <mergeCell ref="U11:Y11"/>
    <mergeCell ref="D2:O2"/>
    <mergeCell ref="D3:O3"/>
    <mergeCell ref="X3:AC3"/>
    <mergeCell ref="AA6:AC7"/>
    <mergeCell ref="C12:G12"/>
    <mergeCell ref="C13:G13"/>
    <mergeCell ref="C14:G14"/>
    <mergeCell ref="C16:G16"/>
    <mergeCell ref="C17:G17"/>
    <mergeCell ref="C18:G18"/>
    <mergeCell ref="C19:G19"/>
    <mergeCell ref="D4:F4"/>
    <mergeCell ref="D5:F5"/>
    <mergeCell ref="G4:I4"/>
    <mergeCell ref="G5:I5"/>
    <mergeCell ref="G6:I7"/>
    <mergeCell ref="D6:F7"/>
    <mergeCell ref="H10:K10"/>
    <mergeCell ref="H11:K11"/>
    <mergeCell ref="H12:K12"/>
    <mergeCell ref="H13:K13"/>
    <mergeCell ref="H14:K14"/>
    <mergeCell ref="Z22:AC22"/>
    <mergeCell ref="Z23:AC23"/>
    <mergeCell ref="Z24:AC24"/>
    <mergeCell ref="Z25:AC25"/>
    <mergeCell ref="Z26:AC26"/>
    <mergeCell ref="N37:Y37"/>
    <mergeCell ref="BD11:BE11"/>
    <mergeCell ref="BD12:BE12"/>
    <mergeCell ref="Q20:T20"/>
    <mergeCell ref="Q21:T21"/>
    <mergeCell ref="Q22:T22"/>
    <mergeCell ref="Q23:T23"/>
    <mergeCell ref="Q24:T24"/>
    <mergeCell ref="Q25:T25"/>
    <mergeCell ref="Q26:T26"/>
    <mergeCell ref="Z37:AC37"/>
    <mergeCell ref="R34:U34"/>
    <mergeCell ref="AE35:AG35"/>
    <mergeCell ref="AI37:AK37"/>
    <mergeCell ref="Q16:T16"/>
    <mergeCell ref="Q17:T17"/>
    <mergeCell ref="Q18:T18"/>
    <mergeCell ref="Q19:T19"/>
    <mergeCell ref="Q11:T11"/>
    <mergeCell ref="Z45:AC45"/>
    <mergeCell ref="Z46:AC46"/>
    <mergeCell ref="AE46:AG46"/>
    <mergeCell ref="AE37:AG37"/>
    <mergeCell ref="AE38:AG38"/>
    <mergeCell ref="Z39:AC39"/>
    <mergeCell ref="AE45:AG45"/>
    <mergeCell ref="AE40:AG40"/>
    <mergeCell ref="Z40:AC40"/>
    <mergeCell ref="Z44:AC44"/>
    <mergeCell ref="AE42:AG42"/>
    <mergeCell ref="AE44:AG44"/>
    <mergeCell ref="Z38:AC38"/>
    <mergeCell ref="Z42:AC42"/>
    <mergeCell ref="AE39:AG39"/>
    <mergeCell ref="AE43:AG43"/>
    <mergeCell ref="Z41:AC41"/>
    <mergeCell ref="AE41:AG41"/>
    <mergeCell ref="Z43:AC43"/>
    <mergeCell ref="AW52:AY52"/>
    <mergeCell ref="AW51:AY51"/>
    <mergeCell ref="AW46:AY46"/>
    <mergeCell ref="AW50:AY50"/>
    <mergeCell ref="AW49:AY49"/>
    <mergeCell ref="AI40:AK40"/>
    <mergeCell ref="AT48:AV48"/>
    <mergeCell ref="AI41:AK41"/>
    <mergeCell ref="AI42:AK42"/>
    <mergeCell ref="AI43:AK43"/>
    <mergeCell ref="AM45:AY45"/>
    <mergeCell ref="AI45:AK45"/>
    <mergeCell ref="AT52:AV52"/>
    <mergeCell ref="AI44:AK44"/>
    <mergeCell ref="AT50:AV50"/>
    <mergeCell ref="AI46:AK46"/>
    <mergeCell ref="AI47:AK47"/>
    <mergeCell ref="AT51:AV51"/>
    <mergeCell ref="AI48:AK48"/>
    <mergeCell ref="AI49:AK49"/>
    <mergeCell ref="AI50:AK50"/>
    <mergeCell ref="AI51:AK51"/>
    <mergeCell ref="AT46:AV46"/>
    <mergeCell ref="AT49:AV49"/>
    <mergeCell ref="AI38:AK38"/>
    <mergeCell ref="AI39:AK39"/>
    <mergeCell ref="AE62:AG62"/>
    <mergeCell ref="AE63:AG63"/>
    <mergeCell ref="AI63:AK63"/>
    <mergeCell ref="AI62:AK62"/>
    <mergeCell ref="AT63:AV63"/>
    <mergeCell ref="AT62:AV62"/>
    <mergeCell ref="AO54:AS54"/>
    <mergeCell ref="AT54:AV54"/>
    <mergeCell ref="AE61:AG61"/>
    <mergeCell ref="AM58:AV58"/>
    <mergeCell ref="AI56:AK56"/>
    <mergeCell ref="AE50:AG50"/>
    <mergeCell ref="AI60:AK60"/>
    <mergeCell ref="AI61:AK61"/>
    <mergeCell ref="AE49:AG49"/>
    <mergeCell ref="AI58:AK58"/>
    <mergeCell ref="AI57:AK57"/>
    <mergeCell ref="AT60:AV60"/>
    <mergeCell ref="AT47:AV47"/>
    <mergeCell ref="C29:G29"/>
    <mergeCell ref="C30:G30"/>
    <mergeCell ref="C31:G31"/>
    <mergeCell ref="C32:G32"/>
    <mergeCell ref="C33:G33"/>
    <mergeCell ref="E39:M39"/>
    <mergeCell ref="E43:M43"/>
    <mergeCell ref="E44:M44"/>
    <mergeCell ref="C47:M47"/>
    <mergeCell ref="E46:M46"/>
    <mergeCell ref="C46:D46"/>
    <mergeCell ref="E37:M37"/>
    <mergeCell ref="E45:M45"/>
    <mergeCell ref="C43:D43"/>
    <mergeCell ref="C41:D41"/>
    <mergeCell ref="C42:D42"/>
    <mergeCell ref="C44:D44"/>
    <mergeCell ref="C40:D40"/>
    <mergeCell ref="C39:D39"/>
    <mergeCell ref="C45:D45"/>
    <mergeCell ref="C38:D38"/>
    <mergeCell ref="C37:D37"/>
    <mergeCell ref="N44:Y44"/>
    <mergeCell ref="C48:D48"/>
    <mergeCell ref="C36:D36"/>
    <mergeCell ref="E49:M49"/>
    <mergeCell ref="N45:Y45"/>
    <mergeCell ref="N46:Y46"/>
    <mergeCell ref="E36:M36"/>
    <mergeCell ref="N41:Y41"/>
    <mergeCell ref="N42:Y42"/>
    <mergeCell ref="N43:Y43"/>
    <mergeCell ref="N39:Y39"/>
    <mergeCell ref="N40:Y40"/>
    <mergeCell ref="N38:Y38"/>
    <mergeCell ref="C49:D49"/>
    <mergeCell ref="E38:M38"/>
    <mergeCell ref="E42:M42"/>
    <mergeCell ref="E40:M40"/>
    <mergeCell ref="E41:M41"/>
    <mergeCell ref="E48:M48"/>
    <mergeCell ref="H28:K28"/>
    <mergeCell ref="H29:K29"/>
    <mergeCell ref="H30:K30"/>
    <mergeCell ref="H31:K31"/>
    <mergeCell ref="H32:K32"/>
    <mergeCell ref="H33:K33"/>
    <mergeCell ref="Z27:AC27"/>
    <mergeCell ref="Z28:AC28"/>
    <mergeCell ref="Z29:AC29"/>
    <mergeCell ref="Z30:AC30"/>
    <mergeCell ref="Z31:AC31"/>
    <mergeCell ref="Z32:AC32"/>
    <mergeCell ref="Z33:AC33"/>
    <mergeCell ref="U29:Y29"/>
    <mergeCell ref="U30:Y30"/>
    <mergeCell ref="U31:Y31"/>
    <mergeCell ref="U32:Y32"/>
    <mergeCell ref="U33:Y33"/>
    <mergeCell ref="L28:P28"/>
    <mergeCell ref="Q27:T27"/>
    <mergeCell ref="Q28:T28"/>
    <mergeCell ref="Q14:T14"/>
    <mergeCell ref="L16:P16"/>
    <mergeCell ref="L17:P17"/>
    <mergeCell ref="L18:P18"/>
    <mergeCell ref="L19:P19"/>
    <mergeCell ref="H16:K16"/>
    <mergeCell ref="H17:K17"/>
    <mergeCell ref="H18:K18"/>
    <mergeCell ref="H19:K19"/>
    <mergeCell ref="Z12:AC12"/>
    <mergeCell ref="Z13:AC13"/>
    <mergeCell ref="Z14:AC14"/>
    <mergeCell ref="Z18:AC18"/>
    <mergeCell ref="Z19:AC19"/>
    <mergeCell ref="Z20:AC20"/>
    <mergeCell ref="Z21:AC21"/>
    <mergeCell ref="Z16:AC16"/>
    <mergeCell ref="Z17:AC17"/>
    <mergeCell ref="C20:G20"/>
    <mergeCell ref="C24:G24"/>
    <mergeCell ref="C25:G25"/>
    <mergeCell ref="C27:G27"/>
    <mergeCell ref="C26:G26"/>
    <mergeCell ref="C22:G22"/>
    <mergeCell ref="L20:P20"/>
    <mergeCell ref="L21:P21"/>
    <mergeCell ref="L22:P22"/>
    <mergeCell ref="L23:P23"/>
    <mergeCell ref="L24:P24"/>
    <mergeCell ref="L25:P25"/>
    <mergeCell ref="L26:P26"/>
    <mergeCell ref="L27:P27"/>
    <mergeCell ref="H20:K20"/>
    <mergeCell ref="H21:K21"/>
    <mergeCell ref="H22:K22"/>
    <mergeCell ref="H23:K23"/>
    <mergeCell ref="H24:K24"/>
    <mergeCell ref="H25:K25"/>
    <mergeCell ref="H26:K26"/>
    <mergeCell ref="H27:K27"/>
    <mergeCell ref="U12:Y12"/>
    <mergeCell ref="U13:Y13"/>
    <mergeCell ref="U14:Y14"/>
    <mergeCell ref="L33:P33"/>
    <mergeCell ref="L10:P10"/>
    <mergeCell ref="L11:P11"/>
    <mergeCell ref="L12:P12"/>
    <mergeCell ref="L13:P13"/>
    <mergeCell ref="L14:P14"/>
    <mergeCell ref="U16:Y16"/>
    <mergeCell ref="U17:Y17"/>
    <mergeCell ref="U18:Y18"/>
    <mergeCell ref="U19:Y19"/>
    <mergeCell ref="U20:Y20"/>
    <mergeCell ref="U21:Y21"/>
    <mergeCell ref="U22:Y22"/>
    <mergeCell ref="U23:Y23"/>
    <mergeCell ref="U24:Y24"/>
    <mergeCell ref="U25:Y25"/>
    <mergeCell ref="U26:Y26"/>
    <mergeCell ref="U27:Y27"/>
    <mergeCell ref="U28:Y28"/>
    <mergeCell ref="Q12:T12"/>
    <mergeCell ref="Q13:T13"/>
    <mergeCell ref="AJ82:AQ82"/>
    <mergeCell ref="AR82:AT82"/>
    <mergeCell ref="C82:D82"/>
    <mergeCell ref="E82:Y82"/>
    <mergeCell ref="Z82:AC82"/>
    <mergeCell ref="AV82:BC82"/>
    <mergeCell ref="AO55:AS55"/>
    <mergeCell ref="AT55:AV55"/>
    <mergeCell ref="AW55:AY55"/>
    <mergeCell ref="C55:D55"/>
    <mergeCell ref="E55:M55"/>
    <mergeCell ref="N55:Y55"/>
    <mergeCell ref="Z55:AC55"/>
    <mergeCell ref="AE55:AG55"/>
    <mergeCell ref="AI55:AK55"/>
    <mergeCell ref="AJ81:AQ81"/>
    <mergeCell ref="AR81:AT81"/>
    <mergeCell ref="E66:M66"/>
    <mergeCell ref="E67:M67"/>
    <mergeCell ref="N65:Y65"/>
    <mergeCell ref="N66:Y66"/>
    <mergeCell ref="Z75:AC75"/>
    <mergeCell ref="Z66:AC66"/>
    <mergeCell ref="AE66:AG66"/>
    <mergeCell ref="C81:D81"/>
    <mergeCell ref="E81:Y81"/>
    <mergeCell ref="Z81:AC81"/>
    <mergeCell ref="AV81:BC81"/>
    <mergeCell ref="AI75:AK75"/>
    <mergeCell ref="N72:Y72"/>
    <mergeCell ref="E65:M65"/>
    <mergeCell ref="AW54:AY54"/>
    <mergeCell ref="C54:D54"/>
    <mergeCell ref="E54:M54"/>
    <mergeCell ref="N54:Y54"/>
    <mergeCell ref="Z54:AC54"/>
    <mergeCell ref="AE54:AG54"/>
    <mergeCell ref="AI54:AK54"/>
    <mergeCell ref="U75:Y75"/>
    <mergeCell ref="C66:D66"/>
    <mergeCell ref="C65:D65"/>
    <mergeCell ref="N70:Y70"/>
    <mergeCell ref="N71:Y71"/>
    <mergeCell ref="AI73:AK73"/>
    <mergeCell ref="Z72:AC72"/>
    <mergeCell ref="AE65:AG65"/>
    <mergeCell ref="Z65:AC65"/>
    <mergeCell ref="AE64:AG64"/>
  </mergeCells>
  <pageMargins left="0.7" right="0.7" top="0.75" bottom="0.75" header="0.3" footer="0.3"/>
  <pageSetup scale="6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CB_Labor">
              <controlPr locked="0" defaultSize="0" autoFill="0" autoLine="0" autoPict="0" macro="[0]!GlobalCB">
                <anchor moveWithCells="1">
                  <from>
                    <xdr:col>2</xdr:col>
                    <xdr:colOff>330200</xdr:colOff>
                    <xdr:row>3</xdr:row>
                    <xdr:rowOff>152400</xdr:rowOff>
                  </from>
                  <to>
                    <xdr:col>5</xdr:col>
                    <xdr:colOff>330200</xdr:colOff>
                    <xdr:row>4</xdr:row>
                    <xdr:rowOff>241300</xdr:rowOff>
                  </to>
                </anchor>
              </controlPr>
            </control>
          </mc:Choice>
        </mc:AlternateContent>
        <mc:AlternateContent xmlns:mc="http://schemas.openxmlformats.org/markup-compatibility/2006">
          <mc:Choice Requires="x14">
            <control shapeId="3074" r:id="rId5" name="CB_Expenses">
              <controlPr locked="0" defaultSize="0" autoFill="0" autoLine="0" autoPict="0" macro="[0]!GlobalCB">
                <anchor moveWithCells="1">
                  <from>
                    <xdr:col>5</xdr:col>
                    <xdr:colOff>342900</xdr:colOff>
                    <xdr:row>4</xdr:row>
                    <xdr:rowOff>0</xdr:rowOff>
                  </from>
                  <to>
                    <xdr:col>8</xdr:col>
                    <xdr:colOff>342900</xdr:colOff>
                    <xdr:row>4</xdr:row>
                    <xdr:rowOff>254000</xdr:rowOff>
                  </to>
                </anchor>
              </controlPr>
            </control>
          </mc:Choice>
        </mc:AlternateContent>
        <mc:AlternateContent xmlns:mc="http://schemas.openxmlformats.org/markup-compatibility/2006">
          <mc:Choice Requires="x14">
            <control shapeId="3075" r:id="rId6" name="CB_MarkUp">
              <controlPr locked="0" defaultSize="0" autoFill="0" autoLine="0" autoPict="0" macro="[0]!GlobalCB">
                <anchor moveWithCells="1">
                  <from>
                    <xdr:col>9</xdr:col>
                    <xdr:colOff>38100</xdr:colOff>
                    <xdr:row>3</xdr:row>
                    <xdr:rowOff>177800</xdr:rowOff>
                  </from>
                  <to>
                    <xdr:col>12</xdr:col>
                    <xdr:colOff>25400</xdr:colOff>
                    <xdr:row>4</xdr:row>
                    <xdr:rowOff>254000</xdr:rowOff>
                  </to>
                </anchor>
              </controlPr>
            </control>
          </mc:Choice>
        </mc:AlternateContent>
        <mc:AlternateContent xmlns:mc="http://schemas.openxmlformats.org/markup-compatibility/2006">
          <mc:Choice Requires="x14">
            <control shapeId="3076" r:id="rId7" name="CB_Tax">
              <controlPr locked="0" defaultSize="0" autoFill="0" autoLine="0" autoPict="0" macro="[0]!GlobalCB">
                <anchor moveWithCells="1">
                  <from>
                    <xdr:col>12</xdr:col>
                    <xdr:colOff>63500</xdr:colOff>
                    <xdr:row>3</xdr:row>
                    <xdr:rowOff>177800</xdr:rowOff>
                  </from>
                  <to>
                    <xdr:col>15</xdr:col>
                    <xdr:colOff>63500</xdr:colOff>
                    <xdr:row>4</xdr:row>
                    <xdr:rowOff>254000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C3:AD70"/>
  <sheetViews>
    <sheetView tabSelected="1" zoomScale="110" zoomScaleNormal="110" workbookViewId="0">
      <selection activeCell="N42" sqref="N42:Y42"/>
    </sheetView>
  </sheetViews>
  <sheetFormatPr baseColWidth="10" defaultColWidth="11" defaultRowHeight="16" x14ac:dyDescent="0.2"/>
  <cols>
    <col min="1" max="67" width="4.6640625" customWidth="1"/>
  </cols>
  <sheetData>
    <row r="3" spans="3:30" s="1" customFormat="1" x14ac:dyDescent="0.2">
      <c r="C3" s="18"/>
      <c r="D3" s="21" t="s">
        <v>289</v>
      </c>
      <c r="E3" s="3"/>
      <c r="F3" s="3"/>
      <c r="G3" s="3"/>
      <c r="H3" s="3"/>
      <c r="I3" s="3"/>
      <c r="J3" s="3"/>
      <c r="K3" s="3"/>
      <c r="L3" s="3"/>
      <c r="M3" s="3"/>
      <c r="N3" s="3"/>
      <c r="O3" s="3"/>
      <c r="P3" s="3"/>
      <c r="Q3" s="3"/>
      <c r="R3" s="3"/>
      <c r="S3" s="3"/>
      <c r="T3" s="3"/>
      <c r="U3" s="22"/>
      <c r="V3" s="22"/>
      <c r="W3" s="3"/>
      <c r="X3" s="3"/>
      <c r="Y3" s="3"/>
      <c r="Z3" s="3"/>
      <c r="AA3" s="3"/>
      <c r="AB3" s="22"/>
      <c r="AC3" s="22"/>
      <c r="AD3" s="25"/>
    </row>
    <row r="4" spans="3:30" s="1" customFormat="1" x14ac:dyDescent="0.2">
      <c r="C4" s="645"/>
      <c r="D4" s="646"/>
      <c r="E4" s="646"/>
      <c r="F4" s="646"/>
      <c r="G4" s="646"/>
      <c r="H4" s="646"/>
      <c r="I4" s="646"/>
      <c r="J4" s="646"/>
      <c r="K4" s="646"/>
      <c r="L4" s="646"/>
      <c r="M4" s="646"/>
      <c r="N4" s="646"/>
      <c r="O4" s="646"/>
      <c r="P4" s="646"/>
      <c r="Q4" s="646"/>
      <c r="R4" s="646"/>
      <c r="S4" s="646"/>
      <c r="T4" s="646"/>
      <c r="U4" s="646"/>
      <c r="V4" s="646"/>
      <c r="W4" s="646"/>
      <c r="X4" s="646"/>
      <c r="Y4" s="646"/>
      <c r="Z4" s="646"/>
      <c r="AA4" s="646"/>
      <c r="AB4" s="646"/>
      <c r="AC4" s="646"/>
      <c r="AD4" s="647"/>
    </row>
    <row r="5" spans="3:30" s="1" customFormat="1" x14ac:dyDescent="0.2">
      <c r="C5" s="639"/>
      <c r="D5" s="640"/>
      <c r="E5" s="640"/>
      <c r="F5" s="640"/>
      <c r="G5" s="640"/>
      <c r="H5" s="640"/>
      <c r="I5" s="640"/>
      <c r="J5" s="640"/>
      <c r="K5" s="640"/>
      <c r="L5" s="640"/>
      <c r="M5" s="640"/>
      <c r="N5" s="640"/>
      <c r="O5" s="640"/>
      <c r="P5" s="640"/>
      <c r="Q5" s="640"/>
      <c r="R5" s="640"/>
      <c r="S5" s="640"/>
      <c r="T5" s="640"/>
      <c r="U5" s="640"/>
      <c r="V5" s="640"/>
      <c r="W5" s="640"/>
      <c r="X5" s="640"/>
      <c r="Y5" s="640"/>
      <c r="Z5" s="640"/>
      <c r="AA5" s="640"/>
      <c r="AB5" s="640"/>
      <c r="AC5" s="640"/>
      <c r="AD5" s="641"/>
    </row>
    <row r="6" spans="3:30" s="1" customFormat="1" x14ac:dyDescent="0.2">
      <c r="C6" s="642"/>
      <c r="D6" s="643"/>
      <c r="E6" s="643"/>
      <c r="F6" s="643"/>
      <c r="G6" s="643"/>
      <c r="H6" s="643"/>
      <c r="I6" s="643"/>
      <c r="J6" s="643"/>
      <c r="K6" s="643"/>
      <c r="L6" s="643"/>
      <c r="M6" s="643"/>
      <c r="N6" s="643"/>
      <c r="O6" s="643"/>
      <c r="P6" s="643"/>
      <c r="Q6" s="643"/>
      <c r="R6" s="643"/>
      <c r="S6" s="643"/>
      <c r="T6" s="643"/>
      <c r="U6" s="643"/>
      <c r="V6" s="643"/>
      <c r="W6" s="643"/>
      <c r="X6" s="643"/>
      <c r="Y6" s="643"/>
      <c r="Z6" s="643"/>
      <c r="AA6" s="643"/>
      <c r="AB6" s="643"/>
      <c r="AC6" s="643"/>
      <c r="AD6" s="644"/>
    </row>
    <row r="7" spans="3:30" s="1" customFormat="1" x14ac:dyDescent="0.2">
      <c r="C7" s="639"/>
      <c r="D7" s="640"/>
      <c r="E7" s="640"/>
      <c r="F7" s="640"/>
      <c r="G7" s="640"/>
      <c r="H7" s="640"/>
      <c r="I7" s="640"/>
      <c r="J7" s="640"/>
      <c r="K7" s="640"/>
      <c r="L7" s="640"/>
      <c r="M7" s="640"/>
      <c r="N7" s="640"/>
      <c r="O7" s="640"/>
      <c r="P7" s="640"/>
      <c r="Q7" s="640"/>
      <c r="R7" s="640"/>
      <c r="S7" s="640"/>
      <c r="T7" s="640"/>
      <c r="U7" s="640"/>
      <c r="V7" s="640"/>
      <c r="W7" s="640"/>
      <c r="X7" s="640"/>
      <c r="Y7" s="640"/>
      <c r="Z7" s="640"/>
      <c r="AA7" s="640"/>
      <c r="AB7" s="640"/>
      <c r="AC7" s="640"/>
      <c r="AD7" s="641"/>
    </row>
    <row r="8" spans="3:30" s="1" customFormat="1" x14ac:dyDescent="0.2">
      <c r="C8" s="639"/>
      <c r="D8" s="640"/>
      <c r="E8" s="640"/>
      <c r="F8" s="640"/>
      <c r="G8" s="640"/>
      <c r="H8" s="640"/>
      <c r="I8" s="640"/>
      <c r="J8" s="640"/>
      <c r="K8" s="640"/>
      <c r="L8" s="640"/>
      <c r="M8" s="640"/>
      <c r="N8" s="640"/>
      <c r="O8" s="640"/>
      <c r="P8" s="640"/>
      <c r="Q8" s="640"/>
      <c r="R8" s="640"/>
      <c r="S8" s="640"/>
      <c r="T8" s="640"/>
      <c r="U8" s="640"/>
      <c r="V8" s="640"/>
      <c r="W8" s="640"/>
      <c r="X8" s="640"/>
      <c r="Y8" s="640"/>
      <c r="Z8" s="640"/>
      <c r="AA8" s="640"/>
      <c r="AB8" s="640"/>
      <c r="AC8" s="640"/>
      <c r="AD8" s="641"/>
    </row>
    <row r="9" spans="3:30" s="1" customFormat="1" x14ac:dyDescent="0.2">
      <c r="C9" s="639"/>
      <c r="D9" s="640"/>
      <c r="E9" s="640"/>
      <c r="F9" s="640"/>
      <c r="G9" s="640"/>
      <c r="H9" s="640"/>
      <c r="I9" s="640"/>
      <c r="J9" s="640"/>
      <c r="K9" s="640"/>
      <c r="L9" s="640"/>
      <c r="M9" s="640"/>
      <c r="N9" s="640"/>
      <c r="O9" s="640"/>
      <c r="P9" s="640"/>
      <c r="Q9" s="640"/>
      <c r="R9" s="640"/>
      <c r="S9" s="640"/>
      <c r="T9" s="640"/>
      <c r="U9" s="640"/>
      <c r="V9" s="640"/>
      <c r="W9" s="640"/>
      <c r="X9" s="640"/>
      <c r="Y9" s="640"/>
      <c r="Z9" s="640"/>
      <c r="AA9" s="640"/>
      <c r="AB9" s="640"/>
      <c r="AC9" s="640"/>
      <c r="AD9" s="641"/>
    </row>
    <row r="10" spans="3:30" s="1" customFormat="1" x14ac:dyDescent="0.2">
      <c r="C10" s="642"/>
      <c r="D10" s="643"/>
      <c r="E10" s="643"/>
      <c r="F10" s="643"/>
      <c r="G10" s="643"/>
      <c r="H10" s="643"/>
      <c r="I10" s="643"/>
      <c r="J10" s="643"/>
      <c r="K10" s="643"/>
      <c r="L10" s="643"/>
      <c r="M10" s="643"/>
      <c r="N10" s="643"/>
      <c r="O10" s="643"/>
      <c r="P10" s="643"/>
      <c r="Q10" s="643"/>
      <c r="R10" s="643"/>
      <c r="S10" s="643"/>
      <c r="T10" s="643"/>
      <c r="U10" s="643"/>
      <c r="V10" s="643"/>
      <c r="W10" s="643"/>
      <c r="X10" s="643"/>
      <c r="Y10" s="643"/>
      <c r="Z10" s="643"/>
      <c r="AA10" s="643"/>
      <c r="AB10" s="643"/>
      <c r="AC10" s="643"/>
      <c r="AD10" s="644"/>
    </row>
    <row r="11" spans="3:30" s="1" customFormat="1" x14ac:dyDescent="0.2">
      <c r="C11" s="639"/>
      <c r="D11" s="640"/>
      <c r="E11" s="640"/>
      <c r="F11" s="640"/>
      <c r="G11" s="640"/>
      <c r="H11" s="640"/>
      <c r="I11" s="640"/>
      <c r="J11" s="640"/>
      <c r="K11" s="640"/>
      <c r="L11" s="640"/>
      <c r="M11" s="640"/>
      <c r="N11" s="640"/>
      <c r="O11" s="640"/>
      <c r="P11" s="640"/>
      <c r="Q11" s="640"/>
      <c r="R11" s="640"/>
      <c r="S11" s="640"/>
      <c r="T11" s="640"/>
      <c r="U11" s="640"/>
      <c r="V11" s="640"/>
      <c r="W11" s="640"/>
      <c r="X11" s="640"/>
      <c r="Y11" s="640"/>
      <c r="Z11" s="640"/>
      <c r="AA11" s="640"/>
      <c r="AB11" s="640"/>
      <c r="AC11" s="640"/>
      <c r="AD11" s="641"/>
    </row>
    <row r="12" spans="3:30" s="1" customFormat="1" x14ac:dyDescent="0.2">
      <c r="C12" s="639"/>
      <c r="D12" s="640"/>
      <c r="E12" s="640"/>
      <c r="F12" s="640"/>
      <c r="G12" s="640"/>
      <c r="H12" s="640"/>
      <c r="I12" s="640"/>
      <c r="J12" s="640"/>
      <c r="K12" s="640"/>
      <c r="L12" s="640"/>
      <c r="M12" s="640"/>
      <c r="N12" s="640"/>
      <c r="O12" s="640"/>
      <c r="P12" s="640"/>
      <c r="Q12" s="640"/>
      <c r="R12" s="640"/>
      <c r="S12" s="640"/>
      <c r="T12" s="640"/>
      <c r="U12" s="640"/>
      <c r="V12" s="640"/>
      <c r="W12" s="640"/>
      <c r="X12" s="640"/>
      <c r="Y12" s="640"/>
      <c r="Z12" s="640"/>
      <c r="AA12" s="640"/>
      <c r="AB12" s="640"/>
      <c r="AC12" s="640"/>
      <c r="AD12" s="641"/>
    </row>
    <row r="13" spans="3:30" s="1" customFormat="1" x14ac:dyDescent="0.2">
      <c r="C13" s="639"/>
      <c r="D13" s="640"/>
      <c r="E13" s="640"/>
      <c r="F13" s="640"/>
      <c r="G13" s="640"/>
      <c r="H13" s="640"/>
      <c r="I13" s="640"/>
      <c r="J13" s="640"/>
      <c r="K13" s="640"/>
      <c r="L13" s="640"/>
      <c r="M13" s="640"/>
      <c r="N13" s="640"/>
      <c r="O13" s="640"/>
      <c r="P13" s="640"/>
      <c r="Q13" s="640"/>
      <c r="R13" s="640"/>
      <c r="S13" s="640"/>
      <c r="T13" s="640"/>
      <c r="U13" s="640"/>
      <c r="V13" s="640"/>
      <c r="W13" s="640"/>
      <c r="X13" s="640"/>
      <c r="Y13" s="640"/>
      <c r="Z13" s="640"/>
      <c r="AA13" s="640"/>
      <c r="AB13" s="640"/>
      <c r="AC13" s="640"/>
      <c r="AD13" s="641"/>
    </row>
    <row r="14" spans="3:30" s="1" customFormat="1" x14ac:dyDescent="0.2">
      <c r="C14" s="639"/>
      <c r="D14" s="640"/>
      <c r="E14" s="640"/>
      <c r="F14" s="640"/>
      <c r="G14" s="640"/>
      <c r="H14" s="640"/>
      <c r="I14" s="640"/>
      <c r="J14" s="640"/>
      <c r="K14" s="640"/>
      <c r="L14" s="640"/>
      <c r="M14" s="640"/>
      <c r="N14" s="640"/>
      <c r="O14" s="640"/>
      <c r="P14" s="640"/>
      <c r="Q14" s="640"/>
      <c r="R14" s="640"/>
      <c r="S14" s="640"/>
      <c r="T14" s="640"/>
      <c r="U14" s="640"/>
      <c r="V14" s="640"/>
      <c r="W14" s="640"/>
      <c r="X14" s="640"/>
      <c r="Y14" s="640"/>
      <c r="Z14" s="640"/>
      <c r="AA14" s="640"/>
      <c r="AB14" s="640"/>
      <c r="AC14" s="640"/>
      <c r="AD14" s="641"/>
    </row>
    <row r="15" spans="3:30" s="1" customFormat="1" x14ac:dyDescent="0.2">
      <c r="C15" s="639"/>
      <c r="D15" s="640"/>
      <c r="E15" s="640"/>
      <c r="F15" s="640"/>
      <c r="G15" s="640"/>
      <c r="H15" s="640"/>
      <c r="I15" s="640"/>
      <c r="J15" s="640"/>
      <c r="K15" s="640"/>
      <c r="L15" s="640"/>
      <c r="M15" s="640"/>
      <c r="N15" s="640"/>
      <c r="O15" s="640"/>
      <c r="P15" s="640"/>
      <c r="Q15" s="640"/>
      <c r="R15" s="640"/>
      <c r="S15" s="640"/>
      <c r="T15" s="640"/>
      <c r="U15" s="640"/>
      <c r="V15" s="640"/>
      <c r="W15" s="640"/>
      <c r="X15" s="640"/>
      <c r="Y15" s="640"/>
      <c r="Z15" s="640"/>
      <c r="AA15" s="640"/>
      <c r="AB15" s="640"/>
      <c r="AC15" s="640"/>
      <c r="AD15" s="641"/>
    </row>
    <row r="16" spans="3:30" s="1" customFormat="1" x14ac:dyDescent="0.2">
      <c r="C16" s="639"/>
      <c r="D16" s="640"/>
      <c r="E16" s="640"/>
      <c r="F16" s="640"/>
      <c r="G16" s="640"/>
      <c r="H16" s="640"/>
      <c r="I16" s="640"/>
      <c r="J16" s="640"/>
      <c r="K16" s="640"/>
      <c r="L16" s="640"/>
      <c r="M16" s="640"/>
      <c r="N16" s="640"/>
      <c r="O16" s="640"/>
      <c r="P16" s="640"/>
      <c r="Q16" s="640"/>
      <c r="R16" s="640"/>
      <c r="S16" s="640"/>
      <c r="T16" s="640"/>
      <c r="U16" s="640"/>
      <c r="V16" s="640"/>
      <c r="W16" s="640"/>
      <c r="X16" s="640"/>
      <c r="Y16" s="640"/>
      <c r="Z16" s="640"/>
      <c r="AA16" s="640"/>
      <c r="AB16" s="640"/>
      <c r="AC16" s="640"/>
      <c r="AD16" s="641"/>
    </row>
    <row r="17" spans="3:30" s="1" customFormat="1" x14ac:dyDescent="0.2">
      <c r="C17" s="639"/>
      <c r="D17" s="640"/>
      <c r="E17" s="640"/>
      <c r="F17" s="640"/>
      <c r="G17" s="640"/>
      <c r="H17" s="640"/>
      <c r="I17" s="640"/>
      <c r="J17" s="640"/>
      <c r="K17" s="640"/>
      <c r="L17" s="640"/>
      <c r="M17" s="640"/>
      <c r="N17" s="640"/>
      <c r="O17" s="640"/>
      <c r="P17" s="640"/>
      <c r="Q17" s="640"/>
      <c r="R17" s="640"/>
      <c r="S17" s="640"/>
      <c r="T17" s="640"/>
      <c r="U17" s="640"/>
      <c r="V17" s="640"/>
      <c r="W17" s="640"/>
      <c r="X17" s="640"/>
      <c r="Y17" s="640"/>
      <c r="Z17" s="640"/>
      <c r="AA17" s="640"/>
      <c r="AB17" s="640"/>
      <c r="AC17" s="640"/>
      <c r="AD17" s="641"/>
    </row>
    <row r="18" spans="3:30" s="1" customFormat="1" x14ac:dyDescent="0.2">
      <c r="C18" s="639"/>
      <c r="D18" s="640"/>
      <c r="E18" s="640"/>
      <c r="F18" s="640"/>
      <c r="G18" s="640"/>
      <c r="H18" s="640"/>
      <c r="I18" s="640"/>
      <c r="J18" s="640"/>
      <c r="K18" s="640"/>
      <c r="L18" s="640"/>
      <c r="M18" s="640"/>
      <c r="N18" s="640"/>
      <c r="O18" s="640"/>
      <c r="P18" s="640"/>
      <c r="Q18" s="640"/>
      <c r="R18" s="640"/>
      <c r="S18" s="640"/>
      <c r="T18" s="640"/>
      <c r="U18" s="640"/>
      <c r="V18" s="640"/>
      <c r="W18" s="640"/>
      <c r="X18" s="640"/>
      <c r="Y18" s="640"/>
      <c r="Z18" s="640"/>
      <c r="AA18" s="640"/>
      <c r="AB18" s="640"/>
      <c r="AC18" s="640"/>
      <c r="AD18" s="641"/>
    </row>
    <row r="19" spans="3:30" s="1" customFormat="1" x14ac:dyDescent="0.2">
      <c r="C19" s="639"/>
      <c r="D19" s="640"/>
      <c r="E19" s="640"/>
      <c r="F19" s="640"/>
      <c r="G19" s="640"/>
      <c r="H19" s="640"/>
      <c r="I19" s="640"/>
      <c r="J19" s="640"/>
      <c r="K19" s="640"/>
      <c r="L19" s="640"/>
      <c r="M19" s="640"/>
      <c r="N19" s="640"/>
      <c r="O19" s="640"/>
      <c r="P19" s="640"/>
      <c r="Q19" s="640"/>
      <c r="R19" s="640"/>
      <c r="S19" s="640"/>
      <c r="T19" s="640"/>
      <c r="U19" s="640"/>
      <c r="V19" s="640"/>
      <c r="W19" s="640"/>
      <c r="X19" s="640"/>
      <c r="Y19" s="640"/>
      <c r="Z19" s="640"/>
      <c r="AA19" s="640"/>
      <c r="AB19" s="640"/>
      <c r="AC19" s="640"/>
      <c r="AD19" s="641"/>
    </row>
    <row r="20" spans="3:30" s="1" customFormat="1" x14ac:dyDescent="0.2">
      <c r="C20" s="639"/>
      <c r="D20" s="640"/>
      <c r="E20" s="640"/>
      <c r="F20" s="640"/>
      <c r="G20" s="640"/>
      <c r="H20" s="640"/>
      <c r="I20" s="640"/>
      <c r="J20" s="640"/>
      <c r="K20" s="640"/>
      <c r="L20" s="640"/>
      <c r="M20" s="640"/>
      <c r="N20" s="640"/>
      <c r="O20" s="640"/>
      <c r="P20" s="640"/>
      <c r="Q20" s="640"/>
      <c r="R20" s="640"/>
      <c r="S20" s="640"/>
      <c r="T20" s="640"/>
      <c r="U20" s="640"/>
      <c r="V20" s="640"/>
      <c r="W20" s="640"/>
      <c r="X20" s="640"/>
      <c r="Y20" s="640"/>
      <c r="Z20" s="640"/>
      <c r="AA20" s="640"/>
      <c r="AB20" s="640"/>
      <c r="AC20" s="640"/>
      <c r="AD20" s="641"/>
    </row>
    <row r="21" spans="3:30" s="1" customFormat="1" x14ac:dyDescent="0.2">
      <c r="C21" s="639"/>
      <c r="D21" s="640"/>
      <c r="E21" s="640"/>
      <c r="F21" s="640"/>
      <c r="G21" s="640"/>
      <c r="H21" s="640"/>
      <c r="I21" s="640"/>
      <c r="J21" s="640"/>
      <c r="K21" s="640"/>
      <c r="L21" s="640"/>
      <c r="M21" s="640"/>
      <c r="N21" s="640"/>
      <c r="O21" s="640"/>
      <c r="P21" s="640"/>
      <c r="Q21" s="640"/>
      <c r="R21" s="640"/>
      <c r="S21" s="640"/>
      <c r="T21" s="640"/>
      <c r="U21" s="640"/>
      <c r="V21" s="640"/>
      <c r="W21" s="640"/>
      <c r="X21" s="640"/>
      <c r="Y21" s="640"/>
      <c r="Z21" s="640"/>
      <c r="AA21" s="640"/>
      <c r="AB21" s="640"/>
      <c r="AC21" s="640"/>
      <c r="AD21" s="641"/>
    </row>
    <row r="22" spans="3:30" s="1" customFormat="1" x14ac:dyDescent="0.2">
      <c r="C22" s="639"/>
      <c r="D22" s="640"/>
      <c r="E22" s="640"/>
      <c r="F22" s="640"/>
      <c r="G22" s="640"/>
      <c r="H22" s="640"/>
      <c r="I22" s="640"/>
      <c r="J22" s="640"/>
      <c r="K22" s="640"/>
      <c r="L22" s="640"/>
      <c r="M22" s="640"/>
      <c r="N22" s="640"/>
      <c r="O22" s="640"/>
      <c r="P22" s="640"/>
      <c r="Q22" s="640"/>
      <c r="R22" s="640"/>
      <c r="S22" s="640"/>
      <c r="T22" s="640"/>
      <c r="U22" s="640"/>
      <c r="V22" s="640"/>
      <c r="W22" s="640"/>
      <c r="X22" s="640"/>
      <c r="Y22" s="640"/>
      <c r="Z22" s="640"/>
      <c r="AA22" s="640"/>
      <c r="AB22" s="640"/>
      <c r="AC22" s="640"/>
      <c r="AD22" s="641"/>
    </row>
    <row r="23" spans="3:30" s="1" customFormat="1" x14ac:dyDescent="0.2">
      <c r="C23" s="639"/>
      <c r="D23" s="640"/>
      <c r="E23" s="640"/>
      <c r="F23" s="640"/>
      <c r="G23" s="640"/>
      <c r="H23" s="640"/>
      <c r="I23" s="640"/>
      <c r="J23" s="640"/>
      <c r="K23" s="640"/>
      <c r="L23" s="640"/>
      <c r="M23" s="640"/>
      <c r="N23" s="640"/>
      <c r="O23" s="640"/>
      <c r="P23" s="640"/>
      <c r="Q23" s="640"/>
      <c r="R23" s="640"/>
      <c r="S23" s="640"/>
      <c r="T23" s="640"/>
      <c r="U23" s="640"/>
      <c r="V23" s="640"/>
      <c r="W23" s="640"/>
      <c r="X23" s="640"/>
      <c r="Y23" s="640"/>
      <c r="Z23" s="640"/>
      <c r="AA23" s="640"/>
      <c r="AB23" s="640"/>
      <c r="AC23" s="640"/>
      <c r="AD23" s="641"/>
    </row>
    <row r="24" spans="3:30" s="1" customFormat="1" x14ac:dyDescent="0.2">
      <c r="C24" s="639"/>
      <c r="D24" s="640"/>
      <c r="E24" s="640"/>
      <c r="F24" s="640"/>
      <c r="G24" s="640"/>
      <c r="H24" s="640"/>
      <c r="I24" s="640"/>
      <c r="J24" s="640"/>
      <c r="K24" s="640"/>
      <c r="L24" s="640"/>
      <c r="M24" s="640"/>
      <c r="N24" s="640"/>
      <c r="O24" s="640"/>
      <c r="P24" s="640"/>
      <c r="Q24" s="640"/>
      <c r="R24" s="640"/>
      <c r="S24" s="640"/>
      <c r="T24" s="640"/>
      <c r="U24" s="640"/>
      <c r="V24" s="640"/>
      <c r="W24" s="640"/>
      <c r="X24" s="640"/>
      <c r="Y24" s="640"/>
      <c r="Z24" s="640"/>
      <c r="AA24" s="640"/>
      <c r="AB24" s="640"/>
      <c r="AC24" s="640"/>
      <c r="AD24" s="641"/>
    </row>
    <row r="25" spans="3:30" s="1" customFormat="1" x14ac:dyDescent="0.2">
      <c r="C25" s="639"/>
      <c r="D25" s="640"/>
      <c r="E25" s="640"/>
      <c r="F25" s="640"/>
      <c r="G25" s="640"/>
      <c r="H25" s="640"/>
      <c r="I25" s="640"/>
      <c r="J25" s="640"/>
      <c r="K25" s="640"/>
      <c r="L25" s="640"/>
      <c r="M25" s="640"/>
      <c r="N25" s="640"/>
      <c r="O25" s="640"/>
      <c r="P25" s="640"/>
      <c r="Q25" s="640"/>
      <c r="R25" s="640"/>
      <c r="S25" s="640"/>
      <c r="T25" s="640"/>
      <c r="U25" s="640"/>
      <c r="V25" s="640"/>
      <c r="W25" s="640"/>
      <c r="X25" s="640"/>
      <c r="Y25" s="640"/>
      <c r="Z25" s="640"/>
      <c r="AA25" s="640"/>
      <c r="AB25" s="640"/>
      <c r="AC25" s="640"/>
      <c r="AD25" s="641"/>
    </row>
    <row r="26" spans="3:30" s="1" customFormat="1" x14ac:dyDescent="0.2">
      <c r="C26" s="639"/>
      <c r="D26" s="640"/>
      <c r="E26" s="640"/>
      <c r="F26" s="640"/>
      <c r="G26" s="640"/>
      <c r="H26" s="640"/>
      <c r="I26" s="640"/>
      <c r="J26" s="640"/>
      <c r="K26" s="640"/>
      <c r="L26" s="640"/>
      <c r="M26" s="640"/>
      <c r="N26" s="640"/>
      <c r="O26" s="640"/>
      <c r="P26" s="640"/>
      <c r="Q26" s="640"/>
      <c r="R26" s="640"/>
      <c r="S26" s="640"/>
      <c r="T26" s="640"/>
      <c r="U26" s="640"/>
      <c r="V26" s="640"/>
      <c r="W26" s="640"/>
      <c r="X26" s="640"/>
      <c r="Y26" s="640"/>
      <c r="Z26" s="640"/>
      <c r="AA26" s="640"/>
      <c r="AB26" s="640"/>
      <c r="AC26" s="640"/>
      <c r="AD26" s="641"/>
    </row>
    <row r="27" spans="3:30" s="1" customFormat="1" x14ac:dyDescent="0.2">
      <c r="C27" s="639"/>
      <c r="D27" s="640"/>
      <c r="E27" s="640"/>
      <c r="F27" s="640"/>
      <c r="G27" s="640"/>
      <c r="H27" s="640"/>
      <c r="I27" s="640"/>
      <c r="J27" s="640"/>
      <c r="K27" s="640"/>
      <c r="L27" s="640"/>
      <c r="M27" s="640"/>
      <c r="N27" s="640"/>
      <c r="O27" s="640"/>
      <c r="P27" s="640"/>
      <c r="Q27" s="640"/>
      <c r="R27" s="640"/>
      <c r="S27" s="640"/>
      <c r="T27" s="640"/>
      <c r="U27" s="640"/>
      <c r="V27" s="640"/>
      <c r="W27" s="640"/>
      <c r="X27" s="640"/>
      <c r="Y27" s="640"/>
      <c r="Z27" s="640"/>
      <c r="AA27" s="640"/>
      <c r="AB27" s="640"/>
      <c r="AC27" s="640"/>
      <c r="AD27" s="641"/>
    </row>
    <row r="28" spans="3:30" s="1" customFormat="1" x14ac:dyDescent="0.2">
      <c r="C28" s="639"/>
      <c r="D28" s="640"/>
      <c r="E28" s="640"/>
      <c r="F28" s="640"/>
      <c r="G28" s="640"/>
      <c r="H28" s="640"/>
      <c r="I28" s="640"/>
      <c r="J28" s="640"/>
      <c r="K28" s="640"/>
      <c r="L28" s="640"/>
      <c r="M28" s="640"/>
      <c r="N28" s="640"/>
      <c r="O28" s="640"/>
      <c r="P28" s="640"/>
      <c r="Q28" s="640"/>
      <c r="R28" s="640"/>
      <c r="S28" s="640"/>
      <c r="T28" s="640"/>
      <c r="U28" s="640"/>
      <c r="V28" s="640"/>
      <c r="W28" s="640"/>
      <c r="X28" s="640"/>
      <c r="Y28" s="640"/>
      <c r="Z28" s="640"/>
      <c r="AA28" s="640"/>
      <c r="AB28" s="640"/>
      <c r="AC28" s="640"/>
      <c r="AD28" s="641"/>
    </row>
    <row r="29" spans="3:30" s="1" customFormat="1" x14ac:dyDescent="0.2">
      <c r="C29" s="639"/>
      <c r="D29" s="640"/>
      <c r="E29" s="640"/>
      <c r="F29" s="640"/>
      <c r="G29" s="640"/>
      <c r="H29" s="640"/>
      <c r="I29" s="640"/>
      <c r="J29" s="640"/>
      <c r="K29" s="640"/>
      <c r="L29" s="640"/>
      <c r="M29" s="640"/>
      <c r="N29" s="640"/>
      <c r="O29" s="640"/>
      <c r="P29" s="640"/>
      <c r="Q29" s="640"/>
      <c r="R29" s="640"/>
      <c r="S29" s="640"/>
      <c r="T29" s="640"/>
      <c r="U29" s="640"/>
      <c r="V29" s="640"/>
      <c r="W29" s="640"/>
      <c r="X29" s="640"/>
      <c r="Y29" s="640"/>
      <c r="Z29" s="640"/>
      <c r="AA29" s="640"/>
      <c r="AB29" s="640"/>
      <c r="AC29" s="640"/>
      <c r="AD29" s="641"/>
    </row>
    <row r="30" spans="3:30" s="1" customFormat="1" x14ac:dyDescent="0.2">
      <c r="C30" s="639"/>
      <c r="D30" s="640"/>
      <c r="E30" s="640"/>
      <c r="F30" s="640"/>
      <c r="G30" s="640"/>
      <c r="H30" s="640"/>
      <c r="I30" s="640"/>
      <c r="J30" s="640"/>
      <c r="K30" s="640"/>
      <c r="L30" s="640"/>
      <c r="M30" s="640"/>
      <c r="N30" s="640"/>
      <c r="O30" s="640"/>
      <c r="P30" s="640"/>
      <c r="Q30" s="640"/>
      <c r="R30" s="640"/>
      <c r="S30" s="640"/>
      <c r="T30" s="640"/>
      <c r="U30" s="640"/>
      <c r="V30" s="640"/>
      <c r="W30" s="640"/>
      <c r="X30" s="640"/>
      <c r="Y30" s="640"/>
      <c r="Z30" s="640"/>
      <c r="AA30" s="640"/>
      <c r="AB30" s="640"/>
      <c r="AC30" s="640"/>
      <c r="AD30" s="641"/>
    </row>
    <row r="31" spans="3:30" s="1" customFormat="1" x14ac:dyDescent="0.2">
      <c r="C31" s="639"/>
      <c r="D31" s="640"/>
      <c r="E31" s="640"/>
      <c r="F31" s="640"/>
      <c r="G31" s="640"/>
      <c r="H31" s="640"/>
      <c r="I31" s="640"/>
      <c r="J31" s="640"/>
      <c r="K31" s="640"/>
      <c r="L31" s="640"/>
      <c r="M31" s="640"/>
      <c r="N31" s="640"/>
      <c r="O31" s="640"/>
      <c r="P31" s="640"/>
      <c r="Q31" s="640"/>
      <c r="R31" s="640"/>
      <c r="S31" s="640"/>
      <c r="T31" s="640"/>
      <c r="U31" s="640"/>
      <c r="V31" s="640"/>
      <c r="W31" s="640"/>
      <c r="X31" s="640"/>
      <c r="Y31" s="640"/>
      <c r="Z31" s="640"/>
      <c r="AA31" s="640"/>
      <c r="AB31" s="640"/>
      <c r="AC31" s="640"/>
      <c r="AD31" s="641"/>
    </row>
    <row r="32" spans="3:30" s="1" customFormat="1" x14ac:dyDescent="0.2">
      <c r="C32" s="639"/>
      <c r="D32" s="640"/>
      <c r="E32" s="640"/>
      <c r="F32" s="640"/>
      <c r="G32" s="640"/>
      <c r="H32" s="640"/>
      <c r="I32" s="640"/>
      <c r="J32" s="640"/>
      <c r="K32" s="640"/>
      <c r="L32" s="640"/>
      <c r="M32" s="640"/>
      <c r="N32" s="640"/>
      <c r="O32" s="640"/>
      <c r="P32" s="640"/>
      <c r="Q32" s="640"/>
      <c r="R32" s="640"/>
      <c r="S32" s="640"/>
      <c r="T32" s="640"/>
      <c r="U32" s="640"/>
      <c r="V32" s="640"/>
      <c r="W32" s="640"/>
      <c r="X32" s="640"/>
      <c r="Y32" s="640"/>
      <c r="Z32" s="640"/>
      <c r="AA32" s="640"/>
      <c r="AB32" s="640"/>
      <c r="AC32" s="640"/>
      <c r="AD32" s="641"/>
    </row>
    <row r="33" spans="3:30" s="1" customFormat="1" x14ac:dyDescent="0.2">
      <c r="C33" s="639"/>
      <c r="D33" s="640"/>
      <c r="E33" s="640"/>
      <c r="F33" s="640"/>
      <c r="G33" s="640"/>
      <c r="H33" s="640"/>
      <c r="I33" s="640"/>
      <c r="J33" s="640"/>
      <c r="K33" s="640"/>
      <c r="L33" s="640"/>
      <c r="M33" s="640"/>
      <c r="N33" s="640"/>
      <c r="O33" s="640"/>
      <c r="P33" s="640"/>
      <c r="Q33" s="640"/>
      <c r="R33" s="640"/>
      <c r="S33" s="640"/>
      <c r="T33" s="640"/>
      <c r="U33" s="640"/>
      <c r="V33" s="640"/>
      <c r="W33" s="640"/>
      <c r="X33" s="640"/>
      <c r="Y33" s="640"/>
      <c r="Z33" s="640"/>
      <c r="AA33" s="640"/>
      <c r="AB33" s="640"/>
      <c r="AC33" s="640"/>
      <c r="AD33" s="641"/>
    </row>
    <row r="34" spans="3:30" s="1" customFormat="1" x14ac:dyDescent="0.2">
      <c r="C34" s="639"/>
      <c r="D34" s="640"/>
      <c r="E34" s="640"/>
      <c r="F34" s="640"/>
      <c r="G34" s="640"/>
      <c r="H34" s="640"/>
      <c r="I34" s="640"/>
      <c r="J34" s="640"/>
      <c r="K34" s="640"/>
      <c r="L34" s="640"/>
      <c r="M34" s="640"/>
      <c r="N34" s="640"/>
      <c r="O34" s="640"/>
      <c r="P34" s="640"/>
      <c r="Q34" s="640"/>
      <c r="R34" s="640"/>
      <c r="S34" s="640"/>
      <c r="T34" s="640"/>
      <c r="U34" s="640"/>
      <c r="V34" s="640"/>
      <c r="W34" s="640"/>
      <c r="X34" s="640"/>
      <c r="Y34" s="640"/>
      <c r="Z34" s="640"/>
      <c r="AA34" s="640"/>
      <c r="AB34" s="640"/>
      <c r="AC34" s="640"/>
      <c r="AD34" s="641"/>
    </row>
    <row r="35" spans="3:30" s="1" customFormat="1" x14ac:dyDescent="0.2">
      <c r="C35" s="639"/>
      <c r="D35" s="640"/>
      <c r="E35" s="640"/>
      <c r="F35" s="640"/>
      <c r="G35" s="640"/>
      <c r="H35" s="640"/>
      <c r="I35" s="640"/>
      <c r="J35" s="640"/>
      <c r="K35" s="640"/>
      <c r="L35" s="640"/>
      <c r="M35" s="640"/>
      <c r="N35" s="640"/>
      <c r="O35" s="640"/>
      <c r="P35" s="640"/>
      <c r="Q35" s="640"/>
      <c r="R35" s="640"/>
      <c r="S35" s="640"/>
      <c r="T35" s="640"/>
      <c r="U35" s="640"/>
      <c r="V35" s="640"/>
      <c r="W35" s="640"/>
      <c r="X35" s="640"/>
      <c r="Y35" s="640"/>
      <c r="Z35" s="640"/>
      <c r="AA35" s="640"/>
      <c r="AB35" s="640"/>
      <c r="AC35" s="640"/>
      <c r="AD35" s="641"/>
    </row>
    <row r="36" spans="3:30" s="1" customFormat="1" x14ac:dyDescent="0.2">
      <c r="C36" s="639"/>
      <c r="D36" s="640"/>
      <c r="E36" s="640"/>
      <c r="F36" s="640"/>
      <c r="G36" s="640"/>
      <c r="H36" s="640"/>
      <c r="I36" s="640"/>
      <c r="J36" s="640"/>
      <c r="K36" s="640"/>
      <c r="L36" s="640"/>
      <c r="M36" s="640"/>
      <c r="N36" s="640"/>
      <c r="O36" s="640"/>
      <c r="P36" s="640"/>
      <c r="Q36" s="640"/>
      <c r="R36" s="640"/>
      <c r="S36" s="640"/>
      <c r="T36" s="640"/>
      <c r="U36" s="640"/>
      <c r="V36" s="640"/>
      <c r="W36" s="640"/>
      <c r="X36" s="640"/>
      <c r="Y36" s="640"/>
      <c r="Z36" s="640"/>
      <c r="AA36" s="640"/>
      <c r="AB36" s="640"/>
      <c r="AC36" s="640"/>
      <c r="AD36" s="641"/>
    </row>
    <row r="37" spans="3:30" s="1" customFormat="1" x14ac:dyDescent="0.2">
      <c r="C37" s="639"/>
      <c r="D37" s="640"/>
      <c r="E37" s="640"/>
      <c r="F37" s="640"/>
      <c r="G37" s="640"/>
      <c r="H37" s="640"/>
      <c r="I37" s="640"/>
      <c r="J37" s="640"/>
      <c r="K37" s="640"/>
      <c r="L37" s="640"/>
      <c r="M37" s="640"/>
      <c r="N37" s="640"/>
      <c r="O37" s="640"/>
      <c r="P37" s="640"/>
      <c r="Q37" s="640"/>
      <c r="R37" s="640"/>
      <c r="S37" s="640"/>
      <c r="T37" s="640"/>
      <c r="U37" s="640"/>
      <c r="V37" s="640"/>
      <c r="W37" s="640"/>
      <c r="X37" s="640"/>
      <c r="Y37" s="640"/>
      <c r="Z37" s="640"/>
      <c r="AA37" s="640"/>
      <c r="AB37" s="640"/>
      <c r="AC37" s="640"/>
      <c r="AD37" s="641"/>
    </row>
    <row r="38" spans="3:30" s="1" customFormat="1" x14ac:dyDescent="0.2">
      <c r="C38" s="639"/>
      <c r="D38" s="640"/>
      <c r="E38" s="640"/>
      <c r="F38" s="640"/>
      <c r="G38" s="640"/>
      <c r="H38" s="640"/>
      <c r="I38" s="640"/>
      <c r="J38" s="640"/>
      <c r="K38" s="640"/>
      <c r="L38" s="640"/>
      <c r="M38" s="640"/>
      <c r="N38" s="640"/>
      <c r="O38" s="640"/>
      <c r="P38" s="640"/>
      <c r="Q38" s="640"/>
      <c r="R38" s="640"/>
      <c r="S38" s="640"/>
      <c r="T38" s="640"/>
      <c r="U38" s="640"/>
      <c r="V38" s="640"/>
      <c r="W38" s="640"/>
      <c r="X38" s="640"/>
      <c r="Y38" s="640"/>
      <c r="Z38" s="640"/>
      <c r="AA38" s="640"/>
      <c r="AB38" s="640"/>
      <c r="AC38" s="640"/>
      <c r="AD38" s="641"/>
    </row>
    <row r="39" spans="3:30" s="1" customFormat="1" x14ac:dyDescent="0.2">
      <c r="C39" s="639"/>
      <c r="D39" s="640"/>
      <c r="E39" s="640"/>
      <c r="F39" s="640"/>
      <c r="G39" s="640"/>
      <c r="H39" s="640"/>
      <c r="I39" s="640"/>
      <c r="J39" s="640"/>
      <c r="K39" s="640"/>
      <c r="L39" s="640"/>
      <c r="M39" s="640"/>
      <c r="N39" s="640"/>
      <c r="O39" s="640"/>
      <c r="P39" s="640"/>
      <c r="Q39" s="640"/>
      <c r="R39" s="640"/>
      <c r="S39" s="640"/>
      <c r="T39" s="640"/>
      <c r="U39" s="640"/>
      <c r="V39" s="640"/>
      <c r="W39" s="640"/>
      <c r="X39" s="640"/>
      <c r="Y39" s="640"/>
      <c r="Z39" s="640"/>
      <c r="AA39" s="640"/>
      <c r="AB39" s="640"/>
      <c r="AC39" s="640"/>
      <c r="AD39" s="641"/>
    </row>
    <row r="40" spans="3:30" s="1" customFormat="1" x14ac:dyDescent="0.2">
      <c r="C40" s="639"/>
      <c r="D40" s="640"/>
      <c r="E40" s="640"/>
      <c r="F40" s="640"/>
      <c r="G40" s="640"/>
      <c r="H40" s="640"/>
      <c r="I40" s="640"/>
      <c r="J40" s="640"/>
      <c r="K40" s="640"/>
      <c r="L40" s="640"/>
      <c r="M40" s="640"/>
      <c r="N40" s="640"/>
      <c r="O40" s="640"/>
      <c r="P40" s="640"/>
      <c r="Q40" s="640"/>
      <c r="R40" s="640"/>
      <c r="S40" s="640"/>
      <c r="T40" s="640"/>
      <c r="U40" s="640"/>
      <c r="V40" s="640"/>
      <c r="W40" s="640"/>
      <c r="X40" s="640"/>
      <c r="Y40" s="640"/>
      <c r="Z40" s="640"/>
      <c r="AA40" s="640"/>
      <c r="AB40" s="640"/>
      <c r="AC40" s="640"/>
      <c r="AD40" s="641"/>
    </row>
    <row r="41" spans="3:30" s="1" customFormat="1" x14ac:dyDescent="0.2">
      <c r="C41" s="639"/>
      <c r="D41" s="640"/>
      <c r="E41" s="640"/>
      <c r="F41" s="640"/>
      <c r="G41" s="640"/>
      <c r="H41" s="640"/>
      <c r="I41" s="640"/>
      <c r="J41" s="640"/>
      <c r="K41" s="640"/>
      <c r="L41" s="640"/>
      <c r="M41" s="640"/>
      <c r="N41" s="640"/>
      <c r="O41" s="640"/>
      <c r="P41" s="640"/>
      <c r="Q41" s="640"/>
      <c r="R41" s="640"/>
      <c r="S41" s="640"/>
      <c r="T41" s="640"/>
      <c r="U41" s="640"/>
      <c r="V41" s="640"/>
      <c r="W41" s="640"/>
      <c r="X41" s="640"/>
      <c r="Y41" s="640"/>
      <c r="Z41" s="640"/>
      <c r="AA41" s="640"/>
      <c r="AB41" s="640"/>
      <c r="AC41" s="640"/>
      <c r="AD41" s="641"/>
    </row>
    <row r="42" spans="3:30" s="1" customFormat="1" x14ac:dyDescent="0.2">
      <c r="C42" s="639"/>
      <c r="D42" s="640"/>
      <c r="E42" s="640"/>
      <c r="F42" s="640"/>
      <c r="G42" s="640"/>
      <c r="H42" s="640"/>
      <c r="I42" s="640"/>
      <c r="J42" s="640"/>
      <c r="K42" s="640"/>
      <c r="L42" s="640"/>
      <c r="M42" s="640"/>
      <c r="N42" s="640"/>
      <c r="O42" s="640"/>
      <c r="P42" s="640"/>
      <c r="Q42" s="640"/>
      <c r="R42" s="640"/>
      <c r="S42" s="640"/>
      <c r="T42" s="640"/>
      <c r="U42" s="640"/>
      <c r="V42" s="640"/>
      <c r="W42" s="640"/>
      <c r="X42" s="640"/>
      <c r="Y42" s="640"/>
      <c r="Z42" s="640"/>
      <c r="AA42" s="640"/>
      <c r="AB42" s="640"/>
      <c r="AC42" s="640"/>
      <c r="AD42" s="641"/>
    </row>
    <row r="43" spans="3:30" s="1" customFormat="1" x14ac:dyDescent="0.2">
      <c r="C43" s="639"/>
      <c r="D43" s="640"/>
      <c r="E43" s="640"/>
      <c r="F43" s="640"/>
      <c r="G43" s="640"/>
      <c r="H43" s="640"/>
      <c r="I43" s="640"/>
      <c r="J43" s="640"/>
      <c r="K43" s="640"/>
      <c r="L43" s="640"/>
      <c r="M43" s="640"/>
      <c r="N43" s="640"/>
      <c r="O43" s="640"/>
      <c r="P43" s="640"/>
      <c r="Q43" s="640"/>
      <c r="R43" s="640"/>
      <c r="S43" s="640"/>
      <c r="T43" s="640"/>
      <c r="U43" s="640"/>
      <c r="V43" s="640"/>
      <c r="W43" s="640"/>
      <c r="X43" s="640"/>
      <c r="Y43" s="640"/>
      <c r="Z43" s="640"/>
      <c r="AA43" s="640"/>
      <c r="AB43" s="640"/>
      <c r="AC43" s="640"/>
      <c r="AD43" s="641"/>
    </row>
    <row r="44" spans="3:30" s="1" customFormat="1" x14ac:dyDescent="0.2">
      <c r="C44" s="639"/>
      <c r="D44" s="640"/>
      <c r="E44" s="640"/>
      <c r="F44" s="640"/>
      <c r="G44" s="640"/>
      <c r="H44" s="640"/>
      <c r="I44" s="640"/>
      <c r="J44" s="640"/>
      <c r="K44" s="640"/>
      <c r="L44" s="640"/>
      <c r="M44" s="640"/>
      <c r="N44" s="640"/>
      <c r="O44" s="640"/>
      <c r="P44" s="640"/>
      <c r="Q44" s="640"/>
      <c r="R44" s="640"/>
      <c r="S44" s="640"/>
      <c r="T44" s="640"/>
      <c r="U44" s="640"/>
      <c r="V44" s="640"/>
      <c r="W44" s="640"/>
      <c r="X44" s="640"/>
      <c r="Y44" s="640"/>
      <c r="Z44" s="640"/>
      <c r="AA44" s="640"/>
      <c r="AB44" s="640"/>
      <c r="AC44" s="640"/>
      <c r="AD44" s="641"/>
    </row>
    <row r="45" spans="3:30" s="1" customFormat="1" x14ac:dyDescent="0.2">
      <c r="C45" s="639"/>
      <c r="D45" s="640"/>
      <c r="E45" s="640"/>
      <c r="F45" s="640"/>
      <c r="G45" s="640"/>
      <c r="H45" s="640"/>
      <c r="I45" s="640"/>
      <c r="J45" s="640"/>
      <c r="K45" s="640"/>
      <c r="L45" s="640"/>
      <c r="M45" s="640"/>
      <c r="N45" s="640"/>
      <c r="O45" s="640"/>
      <c r="P45" s="640"/>
      <c r="Q45" s="640"/>
      <c r="R45" s="640"/>
      <c r="S45" s="640"/>
      <c r="T45" s="640"/>
      <c r="U45" s="640"/>
      <c r="V45" s="640"/>
      <c r="W45" s="640"/>
      <c r="X45" s="640"/>
      <c r="Y45" s="640"/>
      <c r="Z45" s="640"/>
      <c r="AA45" s="640"/>
      <c r="AB45" s="640"/>
      <c r="AC45" s="640"/>
      <c r="AD45" s="641"/>
    </row>
    <row r="46" spans="3:30" s="1" customFormat="1" x14ac:dyDescent="0.2">
      <c r="C46" s="639"/>
      <c r="D46" s="640"/>
      <c r="E46" s="640"/>
      <c r="F46" s="640"/>
      <c r="G46" s="640"/>
      <c r="H46" s="640"/>
      <c r="I46" s="640"/>
      <c r="J46" s="640"/>
      <c r="K46" s="640"/>
      <c r="L46" s="640"/>
      <c r="M46" s="640"/>
      <c r="N46" s="640"/>
      <c r="O46" s="640"/>
      <c r="P46" s="640"/>
      <c r="Q46" s="640"/>
      <c r="R46" s="640"/>
      <c r="S46" s="640"/>
      <c r="T46" s="640"/>
      <c r="U46" s="640"/>
      <c r="V46" s="640"/>
      <c r="W46" s="640"/>
      <c r="X46" s="640"/>
      <c r="Y46" s="640"/>
      <c r="Z46" s="640"/>
      <c r="AA46" s="640"/>
      <c r="AB46" s="640"/>
      <c r="AC46" s="640"/>
      <c r="AD46" s="641"/>
    </row>
    <row r="47" spans="3:30" s="1" customFormat="1" x14ac:dyDescent="0.2">
      <c r="C47" s="639"/>
      <c r="D47" s="640"/>
      <c r="E47" s="640"/>
      <c r="F47" s="640"/>
      <c r="G47" s="640"/>
      <c r="H47" s="640"/>
      <c r="I47" s="640"/>
      <c r="J47" s="640"/>
      <c r="K47" s="640"/>
      <c r="L47" s="640"/>
      <c r="M47" s="640"/>
      <c r="N47" s="640"/>
      <c r="O47" s="640"/>
      <c r="P47" s="640"/>
      <c r="Q47" s="640"/>
      <c r="R47" s="640"/>
      <c r="S47" s="640"/>
      <c r="T47" s="640"/>
      <c r="U47" s="640"/>
      <c r="V47" s="640"/>
      <c r="W47" s="640"/>
      <c r="X47" s="640"/>
      <c r="Y47" s="640"/>
      <c r="Z47" s="640"/>
      <c r="AA47" s="640"/>
      <c r="AB47" s="640"/>
      <c r="AC47" s="640"/>
      <c r="AD47" s="641"/>
    </row>
    <row r="48" spans="3:30" s="1" customFormat="1" x14ac:dyDescent="0.2">
      <c r="C48" s="639"/>
      <c r="D48" s="640"/>
      <c r="E48" s="640"/>
      <c r="F48" s="640"/>
      <c r="G48" s="640"/>
      <c r="H48" s="640"/>
      <c r="I48" s="640"/>
      <c r="J48" s="640"/>
      <c r="K48" s="640"/>
      <c r="L48" s="640"/>
      <c r="M48" s="640"/>
      <c r="N48" s="640"/>
      <c r="O48" s="640"/>
      <c r="P48" s="640"/>
      <c r="Q48" s="640"/>
      <c r="R48" s="640"/>
      <c r="S48" s="640"/>
      <c r="T48" s="640"/>
      <c r="U48" s="640"/>
      <c r="V48" s="640"/>
      <c r="W48" s="640"/>
      <c r="X48" s="640"/>
      <c r="Y48" s="640"/>
      <c r="Z48" s="640"/>
      <c r="AA48" s="640"/>
      <c r="AB48" s="640"/>
      <c r="AC48" s="640"/>
      <c r="AD48" s="641"/>
    </row>
    <row r="49" spans="3:30" s="1" customFormat="1" x14ac:dyDescent="0.2">
      <c r="C49" s="639"/>
      <c r="D49" s="640"/>
      <c r="E49" s="640"/>
      <c r="F49" s="640"/>
      <c r="G49" s="640"/>
      <c r="H49" s="640"/>
      <c r="I49" s="640"/>
      <c r="J49" s="640"/>
      <c r="K49" s="640"/>
      <c r="L49" s="640"/>
      <c r="M49" s="640"/>
      <c r="N49" s="640"/>
      <c r="O49" s="640"/>
      <c r="P49" s="640"/>
      <c r="Q49" s="640"/>
      <c r="R49" s="640"/>
      <c r="S49" s="640"/>
      <c r="T49" s="640"/>
      <c r="U49" s="640"/>
      <c r="V49" s="640"/>
      <c r="W49" s="640"/>
      <c r="X49" s="640"/>
      <c r="Y49" s="640"/>
      <c r="Z49" s="640"/>
      <c r="AA49" s="640"/>
      <c r="AB49" s="640"/>
      <c r="AC49" s="640"/>
      <c r="AD49" s="641"/>
    </row>
    <row r="50" spans="3:30" s="1" customFormat="1" x14ac:dyDescent="0.2">
      <c r="C50" s="639"/>
      <c r="D50" s="640"/>
      <c r="E50" s="640"/>
      <c r="F50" s="640"/>
      <c r="G50" s="640"/>
      <c r="H50" s="640"/>
      <c r="I50" s="640"/>
      <c r="J50" s="640"/>
      <c r="K50" s="640"/>
      <c r="L50" s="640"/>
      <c r="M50" s="640"/>
      <c r="N50" s="640"/>
      <c r="O50" s="640"/>
      <c r="P50" s="640"/>
      <c r="Q50" s="640"/>
      <c r="R50" s="640"/>
      <c r="S50" s="640"/>
      <c r="T50" s="640"/>
      <c r="U50" s="640"/>
      <c r="V50" s="640"/>
      <c r="W50" s="640"/>
      <c r="X50" s="640"/>
      <c r="Y50" s="640"/>
      <c r="Z50" s="640"/>
      <c r="AA50" s="640"/>
      <c r="AB50" s="640"/>
      <c r="AC50" s="640"/>
      <c r="AD50" s="641"/>
    </row>
    <row r="51" spans="3:30" s="1" customFormat="1" x14ac:dyDescent="0.2">
      <c r="C51" s="639"/>
      <c r="D51" s="640"/>
      <c r="E51" s="640"/>
      <c r="F51" s="640"/>
      <c r="G51" s="640"/>
      <c r="H51" s="640"/>
      <c r="I51" s="640"/>
      <c r="J51" s="640"/>
      <c r="K51" s="640"/>
      <c r="L51" s="640"/>
      <c r="M51" s="640"/>
      <c r="N51" s="640"/>
      <c r="O51" s="640"/>
      <c r="P51" s="640"/>
      <c r="Q51" s="640"/>
      <c r="R51" s="640"/>
      <c r="S51" s="640"/>
      <c r="T51" s="640"/>
      <c r="U51" s="640"/>
      <c r="V51" s="640"/>
      <c r="W51" s="640"/>
      <c r="X51" s="640"/>
      <c r="Y51" s="640"/>
      <c r="Z51" s="640"/>
      <c r="AA51" s="640"/>
      <c r="AB51" s="640"/>
      <c r="AC51" s="640"/>
      <c r="AD51" s="641"/>
    </row>
    <row r="52" spans="3:30" s="1" customFormat="1" x14ac:dyDescent="0.2">
      <c r="C52" s="639"/>
      <c r="D52" s="640"/>
      <c r="E52" s="640"/>
      <c r="F52" s="640"/>
      <c r="G52" s="640"/>
      <c r="H52" s="640"/>
      <c r="I52" s="640"/>
      <c r="J52" s="640"/>
      <c r="K52" s="640"/>
      <c r="L52" s="640"/>
      <c r="M52" s="640"/>
      <c r="N52" s="640"/>
      <c r="O52" s="640"/>
      <c r="P52" s="640"/>
      <c r="Q52" s="640"/>
      <c r="R52" s="640"/>
      <c r="S52" s="640"/>
      <c r="T52" s="640"/>
      <c r="U52" s="640"/>
      <c r="V52" s="640"/>
      <c r="W52" s="640"/>
      <c r="X52" s="640"/>
      <c r="Y52" s="640"/>
      <c r="Z52" s="640"/>
      <c r="AA52" s="640"/>
      <c r="AB52" s="640"/>
      <c r="AC52" s="640"/>
      <c r="AD52" s="641"/>
    </row>
    <row r="53" spans="3:30" s="1" customFormat="1" x14ac:dyDescent="0.2">
      <c r="C53" s="639"/>
      <c r="D53" s="640"/>
      <c r="E53" s="640"/>
      <c r="F53" s="640"/>
      <c r="G53" s="640"/>
      <c r="H53" s="640"/>
      <c r="I53" s="640"/>
      <c r="J53" s="640"/>
      <c r="K53" s="640"/>
      <c r="L53" s="640"/>
      <c r="M53" s="640"/>
      <c r="N53" s="640"/>
      <c r="O53" s="640"/>
      <c r="P53" s="640"/>
      <c r="Q53" s="640"/>
      <c r="R53" s="640"/>
      <c r="S53" s="640"/>
      <c r="T53" s="640"/>
      <c r="U53" s="640"/>
      <c r="V53" s="640"/>
      <c r="W53" s="640"/>
      <c r="X53" s="640"/>
      <c r="Y53" s="640"/>
      <c r="Z53" s="640"/>
      <c r="AA53" s="640"/>
      <c r="AB53" s="640"/>
      <c r="AC53" s="640"/>
      <c r="AD53" s="641"/>
    </row>
    <row r="54" spans="3:30" s="1" customFormat="1" x14ac:dyDescent="0.2">
      <c r="C54" s="639"/>
      <c r="D54" s="640"/>
      <c r="E54" s="640"/>
      <c r="F54" s="640"/>
      <c r="G54" s="640"/>
      <c r="H54" s="640"/>
      <c r="I54" s="640"/>
      <c r="J54" s="640"/>
      <c r="K54" s="640"/>
      <c r="L54" s="640"/>
      <c r="M54" s="640"/>
      <c r="N54" s="640"/>
      <c r="O54" s="640"/>
      <c r="P54" s="640"/>
      <c r="Q54" s="640"/>
      <c r="R54" s="640"/>
      <c r="S54" s="640"/>
      <c r="T54" s="640"/>
      <c r="U54" s="640"/>
      <c r="V54" s="640"/>
      <c r="W54" s="640"/>
      <c r="X54" s="640"/>
      <c r="Y54" s="640"/>
      <c r="Z54" s="640"/>
      <c r="AA54" s="640"/>
      <c r="AB54" s="640"/>
      <c r="AC54" s="640"/>
      <c r="AD54" s="641"/>
    </row>
    <row r="55" spans="3:30" s="1" customFormat="1" x14ac:dyDescent="0.2">
      <c r="C55" s="639"/>
      <c r="D55" s="640"/>
      <c r="E55" s="640"/>
      <c r="F55" s="640"/>
      <c r="G55" s="640"/>
      <c r="H55" s="640"/>
      <c r="I55" s="640"/>
      <c r="J55" s="640"/>
      <c r="K55" s="640"/>
      <c r="L55" s="640"/>
      <c r="M55" s="640"/>
      <c r="N55" s="640"/>
      <c r="O55" s="640"/>
      <c r="P55" s="640"/>
      <c r="Q55" s="640"/>
      <c r="R55" s="640"/>
      <c r="S55" s="640"/>
      <c r="T55" s="640"/>
      <c r="U55" s="640"/>
      <c r="V55" s="640"/>
      <c r="W55" s="640"/>
      <c r="X55" s="640"/>
      <c r="Y55" s="640"/>
      <c r="Z55" s="640"/>
      <c r="AA55" s="640"/>
      <c r="AB55" s="640"/>
      <c r="AC55" s="640"/>
      <c r="AD55" s="641"/>
    </row>
    <row r="56" spans="3:30" s="1" customFormat="1" x14ac:dyDescent="0.2">
      <c r="C56" s="639"/>
      <c r="D56" s="640"/>
      <c r="E56" s="640"/>
      <c r="F56" s="640"/>
      <c r="G56" s="640"/>
      <c r="H56" s="640"/>
      <c r="I56" s="640"/>
      <c r="J56" s="640"/>
      <c r="K56" s="640"/>
      <c r="L56" s="640"/>
      <c r="M56" s="640"/>
      <c r="N56" s="640"/>
      <c r="O56" s="640"/>
      <c r="P56" s="640"/>
      <c r="Q56" s="640"/>
      <c r="R56" s="640"/>
      <c r="S56" s="640"/>
      <c r="T56" s="640"/>
      <c r="U56" s="640"/>
      <c r="V56" s="640"/>
      <c r="W56" s="640"/>
      <c r="X56" s="640"/>
      <c r="Y56" s="640"/>
      <c r="Z56" s="640"/>
      <c r="AA56" s="640"/>
      <c r="AB56" s="640"/>
      <c r="AC56" s="640"/>
      <c r="AD56" s="641"/>
    </row>
    <row r="57" spans="3:30" s="1" customFormat="1" x14ac:dyDescent="0.2">
      <c r="C57" s="639"/>
      <c r="D57" s="640"/>
      <c r="E57" s="640"/>
      <c r="F57" s="640"/>
      <c r="G57" s="640"/>
      <c r="H57" s="640"/>
      <c r="I57" s="640"/>
      <c r="J57" s="640"/>
      <c r="K57" s="640"/>
      <c r="L57" s="640"/>
      <c r="M57" s="640"/>
      <c r="N57" s="640"/>
      <c r="O57" s="640"/>
      <c r="P57" s="640"/>
      <c r="Q57" s="640"/>
      <c r="R57" s="640"/>
      <c r="S57" s="640"/>
      <c r="T57" s="640"/>
      <c r="U57" s="640"/>
      <c r="V57" s="640"/>
      <c r="W57" s="640"/>
      <c r="X57" s="640"/>
      <c r="Y57" s="640"/>
      <c r="Z57" s="640"/>
      <c r="AA57" s="640"/>
      <c r="AB57" s="640"/>
      <c r="AC57" s="640"/>
      <c r="AD57" s="641"/>
    </row>
    <row r="58" spans="3:30" s="1" customFormat="1" x14ac:dyDescent="0.2">
      <c r="C58" s="639"/>
      <c r="D58" s="640"/>
      <c r="E58" s="640"/>
      <c r="F58" s="640"/>
      <c r="G58" s="640"/>
      <c r="H58" s="640"/>
      <c r="I58" s="640"/>
      <c r="J58" s="640"/>
      <c r="K58" s="640"/>
      <c r="L58" s="640"/>
      <c r="M58" s="640"/>
      <c r="N58" s="640"/>
      <c r="O58" s="640"/>
      <c r="P58" s="640"/>
      <c r="Q58" s="640"/>
      <c r="R58" s="640"/>
      <c r="S58" s="640"/>
      <c r="T58" s="640"/>
      <c r="U58" s="640"/>
      <c r="V58" s="640"/>
      <c r="W58" s="640"/>
      <c r="X58" s="640"/>
      <c r="Y58" s="640"/>
      <c r="Z58" s="640"/>
      <c r="AA58" s="640"/>
      <c r="AB58" s="640"/>
      <c r="AC58" s="640"/>
      <c r="AD58" s="641"/>
    </row>
    <row r="59" spans="3:30" s="1" customFormat="1" x14ac:dyDescent="0.2">
      <c r="C59" s="639"/>
      <c r="D59" s="640"/>
      <c r="E59" s="640"/>
      <c r="F59" s="640"/>
      <c r="G59" s="640"/>
      <c r="H59" s="640"/>
      <c r="I59" s="640"/>
      <c r="J59" s="640"/>
      <c r="K59" s="640"/>
      <c r="L59" s="640"/>
      <c r="M59" s="640"/>
      <c r="N59" s="640"/>
      <c r="O59" s="640"/>
      <c r="P59" s="640"/>
      <c r="Q59" s="640"/>
      <c r="R59" s="640"/>
      <c r="S59" s="640"/>
      <c r="T59" s="640"/>
      <c r="U59" s="640"/>
      <c r="V59" s="640"/>
      <c r="W59" s="640"/>
      <c r="X59" s="640"/>
      <c r="Y59" s="640"/>
      <c r="Z59" s="640"/>
      <c r="AA59" s="640"/>
      <c r="AB59" s="640"/>
      <c r="AC59" s="640"/>
      <c r="AD59" s="641"/>
    </row>
    <row r="60" spans="3:30" s="1" customFormat="1" x14ac:dyDescent="0.2">
      <c r="C60" s="639"/>
      <c r="D60" s="640"/>
      <c r="E60" s="640"/>
      <c r="F60" s="640"/>
      <c r="G60" s="640"/>
      <c r="H60" s="640"/>
      <c r="I60" s="640"/>
      <c r="J60" s="640"/>
      <c r="K60" s="640"/>
      <c r="L60" s="640"/>
      <c r="M60" s="640"/>
      <c r="N60" s="640"/>
      <c r="O60" s="640"/>
      <c r="P60" s="640"/>
      <c r="Q60" s="640"/>
      <c r="R60" s="640"/>
      <c r="S60" s="640"/>
      <c r="T60" s="640"/>
      <c r="U60" s="640"/>
      <c r="V60" s="640"/>
      <c r="W60" s="640"/>
      <c r="X60" s="640"/>
      <c r="Y60" s="640"/>
      <c r="Z60" s="640"/>
      <c r="AA60" s="640"/>
      <c r="AB60" s="640"/>
      <c r="AC60" s="640"/>
      <c r="AD60" s="641"/>
    </row>
    <row r="61" spans="3:30" s="1" customFormat="1" x14ac:dyDescent="0.2">
      <c r="C61" s="639"/>
      <c r="D61" s="640"/>
      <c r="E61" s="640"/>
      <c r="F61" s="640"/>
      <c r="G61" s="640"/>
      <c r="H61" s="640"/>
      <c r="I61" s="640"/>
      <c r="J61" s="640"/>
      <c r="K61" s="640"/>
      <c r="L61" s="640"/>
      <c r="M61" s="640"/>
      <c r="N61" s="640"/>
      <c r="O61" s="640"/>
      <c r="P61" s="640"/>
      <c r="Q61" s="640"/>
      <c r="R61" s="640"/>
      <c r="S61" s="640"/>
      <c r="T61" s="640"/>
      <c r="U61" s="640"/>
      <c r="V61" s="640"/>
      <c r="W61" s="640"/>
      <c r="X61" s="640"/>
      <c r="Y61" s="640"/>
      <c r="Z61" s="640"/>
      <c r="AA61" s="640"/>
      <c r="AB61" s="640"/>
      <c r="AC61" s="640"/>
      <c r="AD61" s="641"/>
    </row>
    <row r="62" spans="3:30" s="1" customFormat="1" x14ac:dyDescent="0.2">
      <c r="C62" s="639"/>
      <c r="D62" s="640"/>
      <c r="E62" s="640"/>
      <c r="F62" s="640"/>
      <c r="G62" s="640"/>
      <c r="H62" s="640"/>
      <c r="I62" s="640"/>
      <c r="J62" s="640"/>
      <c r="K62" s="640"/>
      <c r="L62" s="640"/>
      <c r="M62" s="640"/>
      <c r="N62" s="640"/>
      <c r="O62" s="640"/>
      <c r="P62" s="640"/>
      <c r="Q62" s="640"/>
      <c r="R62" s="640"/>
      <c r="S62" s="640"/>
      <c r="T62" s="640"/>
      <c r="U62" s="640"/>
      <c r="V62" s="640"/>
      <c r="W62" s="640"/>
      <c r="X62" s="640"/>
      <c r="Y62" s="640"/>
      <c r="Z62" s="640"/>
      <c r="AA62" s="640"/>
      <c r="AB62" s="640"/>
      <c r="AC62" s="640"/>
      <c r="AD62" s="641"/>
    </row>
    <row r="63" spans="3:30" s="1" customFormat="1" x14ac:dyDescent="0.2">
      <c r="C63" s="639"/>
      <c r="D63" s="640"/>
      <c r="E63" s="640"/>
      <c r="F63" s="640"/>
      <c r="G63" s="640"/>
      <c r="H63" s="640"/>
      <c r="I63" s="640"/>
      <c r="J63" s="640"/>
      <c r="K63" s="640"/>
      <c r="L63" s="640"/>
      <c r="M63" s="640"/>
      <c r="N63" s="640"/>
      <c r="O63" s="640"/>
      <c r="P63" s="640"/>
      <c r="Q63" s="640"/>
      <c r="R63" s="640"/>
      <c r="S63" s="640"/>
      <c r="T63" s="640"/>
      <c r="U63" s="640"/>
      <c r="V63" s="640"/>
      <c r="W63" s="640"/>
      <c r="X63" s="640"/>
      <c r="Y63" s="640"/>
      <c r="Z63" s="640"/>
      <c r="AA63" s="640"/>
      <c r="AB63" s="640"/>
      <c r="AC63" s="640"/>
      <c r="AD63" s="641"/>
    </row>
    <row r="64" spans="3:30" s="1" customFormat="1" x14ac:dyDescent="0.2">
      <c r="C64" s="639"/>
      <c r="D64" s="640"/>
      <c r="E64" s="640"/>
      <c r="F64" s="640"/>
      <c r="G64" s="640"/>
      <c r="H64" s="640"/>
      <c r="I64" s="640"/>
      <c r="J64" s="640"/>
      <c r="K64" s="640"/>
      <c r="L64" s="640"/>
      <c r="M64" s="640"/>
      <c r="N64" s="640"/>
      <c r="O64" s="640"/>
      <c r="P64" s="640"/>
      <c r="Q64" s="640"/>
      <c r="R64" s="640"/>
      <c r="S64" s="640"/>
      <c r="T64" s="640"/>
      <c r="U64" s="640"/>
      <c r="V64" s="640"/>
      <c r="W64" s="640"/>
      <c r="X64" s="640"/>
      <c r="Y64" s="640"/>
      <c r="Z64" s="640"/>
      <c r="AA64" s="640"/>
      <c r="AB64" s="640"/>
      <c r="AC64" s="640"/>
      <c r="AD64" s="641"/>
    </row>
    <row r="65" spans="3:30" s="1" customFormat="1" x14ac:dyDescent="0.2">
      <c r="C65" s="639"/>
      <c r="D65" s="640"/>
      <c r="E65" s="640"/>
      <c r="F65" s="640"/>
      <c r="G65" s="640"/>
      <c r="H65" s="640"/>
      <c r="I65" s="640"/>
      <c r="J65" s="640"/>
      <c r="K65" s="640"/>
      <c r="L65" s="640"/>
      <c r="M65" s="640"/>
      <c r="N65" s="640"/>
      <c r="O65" s="640"/>
      <c r="P65" s="640"/>
      <c r="Q65" s="640"/>
      <c r="R65" s="640"/>
      <c r="S65" s="640"/>
      <c r="T65" s="640"/>
      <c r="U65" s="640"/>
      <c r="V65" s="640"/>
      <c r="W65" s="640"/>
      <c r="X65" s="640"/>
      <c r="Y65" s="640"/>
      <c r="Z65" s="640"/>
      <c r="AA65" s="640"/>
      <c r="AB65" s="640"/>
      <c r="AC65" s="640"/>
      <c r="AD65" s="641"/>
    </row>
    <row r="66" spans="3:30" s="1" customFormat="1" x14ac:dyDescent="0.2">
      <c r="C66" s="639"/>
      <c r="D66" s="640"/>
      <c r="E66" s="640"/>
      <c r="F66" s="640"/>
      <c r="G66" s="640"/>
      <c r="H66" s="640"/>
      <c r="I66" s="640"/>
      <c r="J66" s="640"/>
      <c r="K66" s="640"/>
      <c r="L66" s="640"/>
      <c r="M66" s="640"/>
      <c r="N66" s="640"/>
      <c r="O66" s="640"/>
      <c r="P66" s="640"/>
      <c r="Q66" s="640"/>
      <c r="R66" s="640"/>
      <c r="S66" s="640"/>
      <c r="T66" s="640"/>
      <c r="U66" s="640"/>
      <c r="V66" s="640"/>
      <c r="W66" s="640"/>
      <c r="X66" s="640"/>
      <c r="Y66" s="640"/>
      <c r="Z66" s="640"/>
      <c r="AA66" s="640"/>
      <c r="AB66" s="640"/>
      <c r="AC66" s="640"/>
      <c r="AD66" s="641"/>
    </row>
    <row r="67" spans="3:30" s="1" customFormat="1" x14ac:dyDescent="0.2">
      <c r="C67" s="639"/>
      <c r="D67" s="640"/>
      <c r="E67" s="640"/>
      <c r="F67" s="640"/>
      <c r="G67" s="640"/>
      <c r="H67" s="640"/>
      <c r="I67" s="640"/>
      <c r="J67" s="640"/>
      <c r="K67" s="640"/>
      <c r="L67" s="640"/>
      <c r="M67" s="640"/>
      <c r="N67" s="640"/>
      <c r="O67" s="640"/>
      <c r="P67" s="640"/>
      <c r="Q67" s="640"/>
      <c r="R67" s="640"/>
      <c r="S67" s="640"/>
      <c r="T67" s="640"/>
      <c r="U67" s="640"/>
      <c r="V67" s="640"/>
      <c r="W67" s="640"/>
      <c r="X67" s="640"/>
      <c r="Y67" s="640"/>
      <c r="Z67" s="640"/>
      <c r="AA67" s="640"/>
      <c r="AB67" s="640"/>
      <c r="AC67" s="640"/>
      <c r="AD67" s="641"/>
    </row>
    <row r="68" spans="3:30" s="1" customFormat="1" x14ac:dyDescent="0.2">
      <c r="C68" s="639"/>
      <c r="D68" s="640"/>
      <c r="E68" s="640"/>
      <c r="F68" s="640"/>
      <c r="G68" s="640"/>
      <c r="H68" s="640"/>
      <c r="I68" s="640"/>
      <c r="J68" s="640"/>
      <c r="K68" s="640"/>
      <c r="L68" s="640"/>
      <c r="M68" s="640"/>
      <c r="N68" s="640"/>
      <c r="O68" s="640"/>
      <c r="P68" s="640"/>
      <c r="Q68" s="640"/>
      <c r="R68" s="640"/>
      <c r="S68" s="640"/>
      <c r="T68" s="640"/>
      <c r="U68" s="640"/>
      <c r="V68" s="640"/>
      <c r="W68" s="640"/>
      <c r="X68" s="640"/>
      <c r="Y68" s="640"/>
      <c r="Z68" s="640"/>
      <c r="AA68" s="640"/>
      <c r="AB68" s="640"/>
      <c r="AC68" s="640"/>
      <c r="AD68" s="641"/>
    </row>
    <row r="69" spans="3:30" s="1" customFormat="1" x14ac:dyDescent="0.2">
      <c r="C69" s="639"/>
      <c r="D69" s="640"/>
      <c r="E69" s="640"/>
      <c r="F69" s="640"/>
      <c r="G69" s="640"/>
      <c r="H69" s="640"/>
      <c r="I69" s="640"/>
      <c r="J69" s="640"/>
      <c r="K69" s="640"/>
      <c r="L69" s="640"/>
      <c r="M69" s="640"/>
      <c r="N69" s="640"/>
      <c r="O69" s="640"/>
      <c r="P69" s="640"/>
      <c r="Q69" s="640"/>
      <c r="R69" s="640"/>
      <c r="S69" s="640"/>
      <c r="T69" s="640"/>
      <c r="U69" s="640"/>
      <c r="V69" s="640"/>
      <c r="W69" s="640"/>
      <c r="X69" s="640"/>
      <c r="Y69" s="640"/>
      <c r="Z69" s="640"/>
      <c r="AA69" s="640"/>
      <c r="AB69" s="640"/>
      <c r="AC69" s="640"/>
      <c r="AD69" s="641"/>
    </row>
    <row r="70" spans="3:30" s="1" customFormat="1" x14ac:dyDescent="0.2">
      <c r="C70" s="648"/>
      <c r="D70" s="649"/>
      <c r="E70" s="649"/>
      <c r="F70" s="649"/>
      <c r="G70" s="649"/>
      <c r="H70" s="649"/>
      <c r="I70" s="649"/>
      <c r="J70" s="649"/>
      <c r="K70" s="649"/>
      <c r="L70" s="649"/>
      <c r="M70" s="649"/>
      <c r="N70" s="649"/>
      <c r="O70" s="649"/>
      <c r="P70" s="649"/>
      <c r="Q70" s="649"/>
      <c r="R70" s="649"/>
      <c r="S70" s="649"/>
      <c r="T70" s="649"/>
      <c r="U70" s="649"/>
      <c r="V70" s="649"/>
      <c r="W70" s="649"/>
      <c r="X70" s="649"/>
      <c r="Y70" s="649"/>
      <c r="Z70" s="649"/>
      <c r="AA70" s="649"/>
      <c r="AB70" s="649"/>
      <c r="AC70" s="649"/>
      <c r="AD70" s="650"/>
    </row>
  </sheetData>
  <sheetProtection selectLockedCells="1"/>
  <mergeCells count="67">
    <mergeCell ref="C70:AD70"/>
    <mergeCell ref="C64:AD64"/>
    <mergeCell ref="C65:AD65"/>
    <mergeCell ref="C66:AD66"/>
    <mergeCell ref="C67:AD67"/>
    <mergeCell ref="C68:AD68"/>
    <mergeCell ref="C69:AD69"/>
    <mergeCell ref="C63:AD63"/>
    <mergeCell ref="C52:AD52"/>
    <mergeCell ref="C53:AD53"/>
    <mergeCell ref="C54:AD54"/>
    <mergeCell ref="C55:AD55"/>
    <mergeCell ref="C56:AD56"/>
    <mergeCell ref="C57:AD57"/>
    <mergeCell ref="C58:AD58"/>
    <mergeCell ref="C59:AD59"/>
    <mergeCell ref="C60:AD60"/>
    <mergeCell ref="C61:AD61"/>
    <mergeCell ref="C62:AD62"/>
    <mergeCell ref="C51:AD51"/>
    <mergeCell ref="C40:AD40"/>
    <mergeCell ref="C41:AD41"/>
    <mergeCell ref="C42:AD42"/>
    <mergeCell ref="C43:AD43"/>
    <mergeCell ref="C44:AD44"/>
    <mergeCell ref="C45:AD45"/>
    <mergeCell ref="C46:AD46"/>
    <mergeCell ref="C47:AD47"/>
    <mergeCell ref="C48:AD48"/>
    <mergeCell ref="C49:AD49"/>
    <mergeCell ref="C50:AD50"/>
    <mergeCell ref="C39:AD39"/>
    <mergeCell ref="C28:AD28"/>
    <mergeCell ref="C29:AD29"/>
    <mergeCell ref="C30:AD30"/>
    <mergeCell ref="C31:AD31"/>
    <mergeCell ref="C32:AD32"/>
    <mergeCell ref="C33:AD33"/>
    <mergeCell ref="C34:AD34"/>
    <mergeCell ref="C35:AD35"/>
    <mergeCell ref="C36:AD36"/>
    <mergeCell ref="C37:AD37"/>
    <mergeCell ref="C38:AD38"/>
    <mergeCell ref="C27:AD27"/>
    <mergeCell ref="C16:AD16"/>
    <mergeCell ref="C17:AD17"/>
    <mergeCell ref="C18:AD18"/>
    <mergeCell ref="C19:AD19"/>
    <mergeCell ref="C20:AD20"/>
    <mergeCell ref="C21:AD21"/>
    <mergeCell ref="C22:AD22"/>
    <mergeCell ref="C23:AD23"/>
    <mergeCell ref="C24:AD24"/>
    <mergeCell ref="C25:AD25"/>
    <mergeCell ref="C26:AD26"/>
    <mergeCell ref="C4:AD4"/>
    <mergeCell ref="C5:AD5"/>
    <mergeCell ref="C13:AD13"/>
    <mergeCell ref="C12:AD12"/>
    <mergeCell ref="C14:AD14"/>
    <mergeCell ref="C15:AD15"/>
    <mergeCell ref="C6:AD6"/>
    <mergeCell ref="C7:AD7"/>
    <mergeCell ref="C8:AD8"/>
    <mergeCell ref="C9:AD9"/>
    <mergeCell ref="C10:AD10"/>
    <mergeCell ref="C11:AD11"/>
  </mergeCells>
  <pageMargins left="0.7" right="0.7" top="0.75" bottom="0.75" header="0.3" footer="0.3"/>
  <pageSetup scale="65"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C1:BY73"/>
  <sheetViews>
    <sheetView tabSelected="1" topLeftCell="AH9" zoomScale="110" zoomScaleNormal="110" zoomScaleSheetLayoutView="30" workbookViewId="0">
      <selection activeCell="N42" sqref="N42:Y42"/>
    </sheetView>
  </sheetViews>
  <sheetFormatPr baseColWidth="10" defaultColWidth="10.6640625" defaultRowHeight="17" x14ac:dyDescent="0.2"/>
  <cols>
    <col min="1" max="2" width="4.6640625" style="7" customWidth="1"/>
    <col min="3" max="3" width="4.6640625" style="19" customWidth="1"/>
    <col min="4" max="16" width="4.6640625" style="7" customWidth="1"/>
    <col min="17" max="18" width="4.6640625" style="30" customWidth="1"/>
    <col min="19" max="23" width="4.6640625" style="7" customWidth="1"/>
    <col min="24" max="26" width="4.6640625" style="24" customWidth="1"/>
    <col min="27" max="35" width="4.6640625" customWidth="1"/>
    <col min="36" max="37" width="4.6640625" style="29" customWidth="1"/>
    <col min="38" max="38" width="4.6640625" style="7" customWidth="1"/>
    <col min="39" max="41" width="4.6640625" style="24" customWidth="1"/>
    <col min="42" max="46" width="4.6640625" style="7" customWidth="1"/>
    <col min="47" max="49" width="4.6640625" style="24" customWidth="1"/>
    <col min="50" max="16384" width="10.6640625" style="7"/>
  </cols>
  <sheetData>
    <row r="1" spans="3:77" ht="16.5" customHeight="1" x14ac:dyDescent="0.2">
      <c r="C1"/>
      <c r="D1"/>
      <c r="E1"/>
      <c r="F1"/>
      <c r="G1"/>
      <c r="I1"/>
      <c r="J1"/>
      <c r="K1"/>
      <c r="P1"/>
      <c r="Q1"/>
      <c r="R1" s="63"/>
      <c r="AA1" s="7"/>
      <c r="AB1" s="7"/>
      <c r="AC1" s="7"/>
      <c r="AD1" s="7"/>
      <c r="AE1" s="63"/>
      <c r="AF1" s="7"/>
      <c r="AG1" s="7"/>
      <c r="AH1" s="7"/>
      <c r="AI1" s="63"/>
      <c r="AJ1" s="63"/>
      <c r="AK1" s="7"/>
      <c r="AM1" s="7"/>
      <c r="AN1" s="7"/>
      <c r="AO1" s="7"/>
      <c r="AP1" s="24"/>
      <c r="AQ1" s="24"/>
      <c r="AR1" s="24"/>
      <c r="AU1" s="7"/>
      <c r="AV1" s="7"/>
      <c r="AW1" s="7"/>
      <c r="AY1" s="24"/>
      <c r="AZ1" s="24"/>
      <c r="BA1" s="24"/>
      <c r="BY1" s="7" t="s">
        <v>407</v>
      </c>
    </row>
    <row r="2" spans="3:77" ht="6.5" customHeight="1" x14ac:dyDescent="0.2">
      <c r="C2"/>
      <c r="D2"/>
      <c r="E2"/>
      <c r="F2"/>
      <c r="G2"/>
      <c r="H2" s="34"/>
      <c r="I2"/>
      <c r="J2"/>
      <c r="K2"/>
      <c r="L2"/>
      <c r="M2"/>
      <c r="Q2" s="63"/>
      <c r="R2" s="63"/>
      <c r="AA2" s="7"/>
      <c r="AB2" s="7"/>
      <c r="AC2" s="7"/>
      <c r="AD2" s="7"/>
      <c r="AE2" s="63"/>
      <c r="AF2" s="7"/>
      <c r="AG2" s="7"/>
      <c r="AH2" s="7"/>
      <c r="AI2" s="63"/>
      <c r="AJ2" s="63"/>
      <c r="AK2" s="7"/>
      <c r="AM2" s="7"/>
      <c r="AN2" s="7"/>
      <c r="AO2" s="7"/>
      <c r="AP2" s="24"/>
      <c r="AQ2" s="24"/>
      <c r="AR2" s="24"/>
      <c r="AU2" s="7"/>
      <c r="AV2" s="7"/>
      <c r="AW2" s="7"/>
      <c r="AY2" s="24"/>
      <c r="AZ2" s="24"/>
      <c r="BA2" s="24"/>
    </row>
    <row r="3" spans="3:77" ht="16.5" customHeight="1" x14ac:dyDescent="0.2">
      <c r="C3"/>
      <c r="D3"/>
      <c r="E3"/>
      <c r="F3"/>
      <c r="G3"/>
      <c r="H3" s="34"/>
      <c r="I3" s="82"/>
      <c r="J3" s="36"/>
      <c r="K3" s="36"/>
      <c r="L3"/>
      <c r="M3"/>
      <c r="Q3" s="63"/>
      <c r="R3" s="7"/>
      <c r="AA3" s="7"/>
      <c r="AB3" s="7"/>
      <c r="AC3" s="7"/>
      <c r="AD3" s="7"/>
      <c r="AE3" s="63"/>
      <c r="AF3" s="7"/>
      <c r="AG3" s="7"/>
      <c r="AH3" s="7"/>
      <c r="AI3" s="63"/>
      <c r="AJ3" s="63"/>
      <c r="AK3" s="7"/>
      <c r="AM3" s="7"/>
      <c r="AN3" s="7"/>
      <c r="AO3" s="7"/>
      <c r="AP3" s="24"/>
      <c r="AQ3" s="24"/>
      <c r="AR3" s="24"/>
      <c r="AU3" s="7"/>
      <c r="AV3" s="7"/>
      <c r="AW3" s="7"/>
      <c r="AY3" s="24"/>
      <c r="AZ3" s="24"/>
      <c r="BA3" s="24"/>
    </row>
    <row r="4" spans="3:77" ht="6.5" customHeight="1" x14ac:dyDescent="0.2">
      <c r="C4"/>
      <c r="D4"/>
      <c r="E4"/>
      <c r="F4"/>
      <c r="G4"/>
      <c r="Q4" s="63"/>
      <c r="R4" s="7"/>
      <c r="AA4" s="7"/>
      <c r="AB4" s="7"/>
      <c r="AC4" s="7"/>
      <c r="AD4" s="7"/>
      <c r="AE4" s="63"/>
      <c r="AF4" s="7"/>
      <c r="AG4" s="7"/>
      <c r="AH4" s="7"/>
      <c r="AI4" s="63"/>
      <c r="AJ4" s="63"/>
      <c r="AK4" s="7"/>
      <c r="AM4" s="7"/>
      <c r="AN4" s="7"/>
      <c r="AO4" s="7"/>
      <c r="AP4" s="24"/>
      <c r="AQ4" s="24"/>
      <c r="AR4" s="24"/>
      <c r="AU4" s="7"/>
      <c r="AV4" s="7"/>
      <c r="AW4" s="7"/>
      <c r="AY4" s="24"/>
      <c r="AZ4" s="24"/>
      <c r="BA4" s="24"/>
    </row>
    <row r="5" spans="3:77" ht="16.5" customHeight="1" x14ac:dyDescent="0.2">
      <c r="C5"/>
      <c r="D5"/>
      <c r="E5"/>
      <c r="F5"/>
      <c r="G5"/>
      <c r="I5" s="82"/>
      <c r="J5" s="36"/>
      <c r="K5" s="36"/>
      <c r="L5"/>
      <c r="M5"/>
      <c r="Q5" s="63"/>
      <c r="R5" s="63"/>
      <c r="AA5" s="7"/>
      <c r="AB5" s="7"/>
      <c r="AC5" s="7"/>
      <c r="AD5" s="7"/>
      <c r="AE5" s="63"/>
      <c r="AF5" s="7"/>
      <c r="AG5" s="7"/>
      <c r="AH5" s="7"/>
      <c r="AI5" s="63"/>
      <c r="AJ5" s="63"/>
      <c r="AK5" s="7"/>
      <c r="AM5" s="7"/>
      <c r="AN5" s="7"/>
      <c r="AO5" s="7"/>
      <c r="AP5" s="24"/>
      <c r="AQ5" s="24"/>
      <c r="AR5" s="24"/>
      <c r="AU5" s="7"/>
      <c r="AV5" s="7"/>
      <c r="AW5" s="7"/>
      <c r="AY5" s="24"/>
      <c r="AZ5" s="24"/>
      <c r="BA5" s="24"/>
    </row>
    <row r="6" spans="3:77" ht="16.25" customHeight="1" x14ac:dyDescent="0.2"/>
    <row r="7" spans="3:77" ht="16.25" customHeight="1" x14ac:dyDescent="0.2">
      <c r="C7"/>
      <c r="D7"/>
      <c r="E7"/>
      <c r="F7"/>
      <c r="G7"/>
      <c r="H7"/>
      <c r="I7"/>
      <c r="J7"/>
      <c r="K7"/>
      <c r="L7"/>
      <c r="M7"/>
      <c r="N7" s="79"/>
      <c r="O7" s="79"/>
      <c r="P7" s="79"/>
      <c r="Q7" s="79"/>
      <c r="R7" s="79"/>
      <c r="S7" s="79"/>
      <c r="T7" s="79"/>
      <c r="U7" s="79"/>
      <c r="V7" s="79"/>
      <c r="W7" s="79"/>
      <c r="X7" s="79"/>
      <c r="Y7" s="79"/>
      <c r="Z7" s="79"/>
    </row>
    <row r="8" spans="3:77" ht="16.25" customHeight="1" x14ac:dyDescent="0.2">
      <c r="C8"/>
      <c r="D8"/>
      <c r="E8"/>
      <c r="F8"/>
      <c r="G8"/>
      <c r="H8"/>
      <c r="I8"/>
      <c r="J8"/>
      <c r="K8"/>
      <c r="L8"/>
      <c r="M8"/>
      <c r="N8" s="79"/>
      <c r="O8" s="79"/>
      <c r="P8" s="79"/>
      <c r="Q8" s="79"/>
      <c r="R8" s="79"/>
      <c r="S8" s="79"/>
      <c r="T8" s="79"/>
      <c r="U8" s="79"/>
      <c r="V8" s="79"/>
      <c r="W8" s="79"/>
      <c r="X8" s="79"/>
      <c r="Y8" s="79"/>
      <c r="Z8" s="79"/>
    </row>
    <row r="9" spans="3:77" ht="16.25" customHeight="1" x14ac:dyDescent="0.2">
      <c r="C9" s="79"/>
      <c r="D9" s="79"/>
      <c r="E9" s="79"/>
      <c r="F9" s="79"/>
      <c r="G9" s="79"/>
      <c r="H9" s="79"/>
      <c r="I9" s="79"/>
      <c r="J9" s="79"/>
      <c r="K9" s="79"/>
    </row>
    <row r="10" spans="3:77" s="323" customFormat="1" ht="20" customHeight="1" x14ac:dyDescent="0.2">
      <c r="C10" s="4" t="s">
        <v>259</v>
      </c>
      <c r="D10" s="5" t="s">
        <v>269</v>
      </c>
      <c r="E10" s="5"/>
      <c r="F10" s="349"/>
      <c r="G10" s="349"/>
      <c r="H10" s="349"/>
      <c r="I10" s="349"/>
      <c r="J10" s="349"/>
      <c r="K10" s="349"/>
      <c r="L10" s="349"/>
      <c r="M10" s="349"/>
      <c r="N10" s="349"/>
      <c r="O10" s="349"/>
      <c r="P10" s="349"/>
      <c r="Q10" s="350"/>
      <c r="R10" s="350"/>
      <c r="S10" s="349"/>
      <c r="T10" s="349"/>
      <c r="U10" s="349"/>
      <c r="V10" s="349"/>
      <c r="W10" s="652"/>
      <c r="X10" s="652"/>
      <c r="Y10" s="652"/>
      <c r="Z10" s="652"/>
      <c r="AB10" s="351"/>
      <c r="AC10" s="352"/>
      <c r="AD10" s="352"/>
      <c r="AF10" s="351"/>
      <c r="AG10" s="352"/>
      <c r="AH10" s="352"/>
      <c r="AJ10" s="651" t="s">
        <v>148</v>
      </c>
      <c r="AK10" s="652"/>
      <c r="AL10" s="652"/>
      <c r="AM10" s="652"/>
      <c r="AN10" s="652"/>
      <c r="AO10" s="652"/>
      <c r="AP10" s="359"/>
      <c r="AQ10" s="359"/>
      <c r="AR10" s="653" t="s">
        <v>857</v>
      </c>
      <c r="AS10" s="652"/>
      <c r="AT10" s="652"/>
      <c r="AU10" s="652"/>
      <c r="AV10" s="652"/>
      <c r="AW10" s="652"/>
    </row>
    <row r="11" spans="3:77" s="115" customFormat="1" ht="20" customHeight="1" x14ac:dyDescent="0.2">
      <c r="C11" s="150"/>
      <c r="D11" s="144"/>
      <c r="E11" s="666" t="s">
        <v>384</v>
      </c>
      <c r="F11" s="666"/>
      <c r="G11" s="666"/>
      <c r="H11" s="666"/>
      <c r="I11" s="666"/>
      <c r="J11" s="666"/>
      <c r="K11" s="144"/>
      <c r="L11" s="144"/>
      <c r="M11" s="144"/>
      <c r="N11" s="668" t="s">
        <v>375</v>
      </c>
      <c r="O11" s="668"/>
      <c r="P11" s="145"/>
      <c r="Q11" s="693" t="s">
        <v>220</v>
      </c>
      <c r="R11" s="693"/>
      <c r="S11" s="145"/>
      <c r="T11" s="145"/>
      <c r="U11" s="146" t="s">
        <v>144</v>
      </c>
      <c r="V11" s="146"/>
      <c r="W11" s="145"/>
      <c r="X11" s="689" t="s">
        <v>370</v>
      </c>
      <c r="Y11" s="689"/>
      <c r="Z11" s="690"/>
      <c r="AB11" s="670" t="s">
        <v>363</v>
      </c>
      <c r="AC11" s="671"/>
      <c r="AD11" s="672"/>
      <c r="AF11" s="670" t="s">
        <v>447</v>
      </c>
      <c r="AG11" s="671"/>
      <c r="AH11" s="672"/>
      <c r="AJ11" s="688" t="s">
        <v>147</v>
      </c>
      <c r="AK11" s="688"/>
      <c r="AL11" s="688" t="s">
        <v>221</v>
      </c>
      <c r="AM11" s="688"/>
      <c r="AN11" s="688" t="s">
        <v>856</v>
      </c>
      <c r="AO11" s="688"/>
      <c r="AP11" s="683" t="s">
        <v>89</v>
      </c>
      <c r="AQ11" s="683"/>
      <c r="AR11" s="683" t="s">
        <v>353</v>
      </c>
      <c r="AS11" s="683"/>
      <c r="AT11" s="683" t="s">
        <v>858</v>
      </c>
      <c r="AU11" s="683"/>
      <c r="AV11" s="683" t="s">
        <v>858</v>
      </c>
      <c r="AW11" s="683"/>
    </row>
    <row r="12" spans="3:77" s="115" customFormat="1" ht="20" customHeight="1" x14ac:dyDescent="0.2">
      <c r="C12" s="151"/>
      <c r="D12" s="176"/>
      <c r="E12" s="667"/>
      <c r="F12" s="667"/>
      <c r="G12" s="667"/>
      <c r="H12" s="667"/>
      <c r="I12" s="667"/>
      <c r="J12" s="667"/>
      <c r="K12" s="147"/>
      <c r="L12" s="147"/>
      <c r="M12" s="147"/>
      <c r="N12" s="669"/>
      <c r="O12" s="669"/>
      <c r="P12" s="148"/>
      <c r="Q12" s="694"/>
      <c r="R12" s="694"/>
      <c r="S12" s="148"/>
      <c r="T12" s="148"/>
      <c r="U12" s="149">
        <v>1.5</v>
      </c>
      <c r="V12" s="149">
        <v>2</v>
      </c>
      <c r="W12" s="148"/>
      <c r="X12" s="691"/>
      <c r="Y12" s="691"/>
      <c r="Z12" s="692"/>
      <c r="AB12" s="673"/>
      <c r="AC12" s="674"/>
      <c r="AD12" s="675"/>
      <c r="AF12" s="673"/>
      <c r="AG12" s="674"/>
      <c r="AH12" s="675"/>
      <c r="AJ12" s="695" t="s">
        <v>223</v>
      </c>
      <c r="AK12" s="695"/>
      <c r="AL12" s="695" t="s">
        <v>220</v>
      </c>
      <c r="AM12" s="695"/>
      <c r="AN12" s="695" t="s">
        <v>220</v>
      </c>
      <c r="AO12" s="695"/>
      <c r="AP12" s="684" t="s">
        <v>220</v>
      </c>
      <c r="AQ12" s="684"/>
      <c r="AR12" s="684" t="s">
        <v>222</v>
      </c>
      <c r="AS12" s="684"/>
      <c r="AT12" s="684" t="s">
        <v>859</v>
      </c>
      <c r="AU12" s="684"/>
      <c r="AV12" s="684" t="s">
        <v>807</v>
      </c>
      <c r="AW12" s="684"/>
    </row>
    <row r="13" spans="3:77" s="51" customFormat="1" ht="20" customHeight="1" x14ac:dyDescent="0.15">
      <c r="C13" s="698">
        <v>1</v>
      </c>
      <c r="D13" s="699"/>
      <c r="E13" s="700" t="s">
        <v>0</v>
      </c>
      <c r="F13" s="700"/>
      <c r="G13" s="700"/>
      <c r="H13" s="700"/>
      <c r="I13" s="700"/>
      <c r="J13" s="700"/>
      <c r="K13" s="700"/>
      <c r="L13" s="700"/>
      <c r="M13" s="700"/>
      <c r="N13" s="309"/>
      <c r="O13" s="309" t="s">
        <v>116</v>
      </c>
      <c r="P13" s="310" t="s">
        <v>117</v>
      </c>
      <c r="Q13" s="687">
        <v>200</v>
      </c>
      <c r="R13" s="687"/>
      <c r="S13" s="311" t="s">
        <v>143</v>
      </c>
      <c r="T13" s="309"/>
      <c r="U13" s="309"/>
      <c r="V13" s="309"/>
      <c r="W13" s="664">
        <f t="shared" ref="W13:W44" si="0">IF(ISNUMBER(N13),(N13*Q13*IF(ISNUMBER(T13),T13,1)+(IFERROR(U13*(Q13/AJ13)*1.5,0))+(IFERROR(V13*(Q13/AJ13)*2,0))),0)</f>
        <v>0</v>
      </c>
      <c r="X13" s="664"/>
      <c r="Y13" s="664"/>
      <c r="Z13" s="665"/>
      <c r="AB13" s="663">
        <v>0</v>
      </c>
      <c r="AC13" s="664"/>
      <c r="AD13" s="665"/>
      <c r="AF13" s="663">
        <f t="shared" ref="AF13:AF44" si="1">AB13-W13</f>
        <v>0</v>
      </c>
      <c r="AG13" s="664"/>
      <c r="AH13" s="665"/>
      <c r="AJ13" s="681">
        <v>12</v>
      </c>
      <c r="AK13" s="682"/>
      <c r="AL13" s="677">
        <f t="shared" ref="AL13:AL40" si="2">IFERROR(Q13/(AJ13+((AJ13-HourlyState_A)*0.5)),0)</f>
        <v>14.285714285714286</v>
      </c>
      <c r="AM13" s="678"/>
      <c r="AN13" s="677">
        <f t="shared" ref="AN13:AN20" si="3">AL13*1.5</f>
        <v>21.428571428571431</v>
      </c>
      <c r="AO13" s="678"/>
      <c r="AP13" s="661">
        <v>0</v>
      </c>
      <c r="AQ13" s="662"/>
      <c r="AR13" s="685">
        <v>8</v>
      </c>
      <c r="AS13" s="686"/>
      <c r="AT13" s="696">
        <f t="shared" ref="AT13:AT44" si="4">AL13*HourlyState_A</f>
        <v>114.28571428571429</v>
      </c>
      <c r="AU13" s="697"/>
      <c r="AV13" s="696">
        <f t="shared" ref="AV13:AV44" si="5">(AJ13-HourlyState_A)*AN13</f>
        <v>85.714285714285722</v>
      </c>
      <c r="AW13" s="697"/>
    </row>
    <row r="14" spans="3:77" s="51" customFormat="1" ht="20" customHeight="1" x14ac:dyDescent="0.15">
      <c r="C14" s="698">
        <v>2</v>
      </c>
      <c r="D14" s="699"/>
      <c r="E14" s="700" t="s">
        <v>326</v>
      </c>
      <c r="F14" s="700"/>
      <c r="G14" s="700"/>
      <c r="H14" s="700"/>
      <c r="I14" s="700"/>
      <c r="J14" s="700"/>
      <c r="K14" s="700"/>
      <c r="L14" s="700"/>
      <c r="M14" s="700"/>
      <c r="N14" s="309"/>
      <c r="O14" s="309" t="s">
        <v>116</v>
      </c>
      <c r="P14" s="310" t="s">
        <v>117</v>
      </c>
      <c r="Q14" s="687"/>
      <c r="R14" s="687"/>
      <c r="S14" s="311" t="s">
        <v>143</v>
      </c>
      <c r="T14" s="309"/>
      <c r="U14" s="309"/>
      <c r="V14" s="309"/>
      <c r="W14" s="664">
        <f t="shared" si="0"/>
        <v>0</v>
      </c>
      <c r="X14" s="664"/>
      <c r="Y14" s="664"/>
      <c r="Z14" s="665"/>
      <c r="AB14" s="663">
        <v>0</v>
      </c>
      <c r="AC14" s="664"/>
      <c r="AD14" s="665"/>
      <c r="AF14" s="663">
        <f t="shared" si="1"/>
        <v>0</v>
      </c>
      <c r="AG14" s="664"/>
      <c r="AH14" s="665"/>
      <c r="AJ14" s="681">
        <v>12</v>
      </c>
      <c r="AK14" s="682"/>
      <c r="AL14" s="677">
        <f t="shared" si="2"/>
        <v>0</v>
      </c>
      <c r="AM14" s="678"/>
      <c r="AN14" s="679">
        <f t="shared" si="3"/>
        <v>0</v>
      </c>
      <c r="AO14" s="680"/>
      <c r="AP14" s="676"/>
      <c r="AQ14" s="461"/>
      <c r="AT14" s="696">
        <f t="shared" si="4"/>
        <v>0</v>
      </c>
      <c r="AU14" s="697"/>
      <c r="AV14" s="696">
        <f t="shared" si="5"/>
        <v>0</v>
      </c>
      <c r="AW14" s="697"/>
    </row>
    <row r="15" spans="3:77" s="51" customFormat="1" ht="20" customHeight="1" x14ac:dyDescent="0.15">
      <c r="C15" s="698">
        <v>3</v>
      </c>
      <c r="D15" s="699"/>
      <c r="E15" s="700" t="s">
        <v>1</v>
      </c>
      <c r="F15" s="700"/>
      <c r="G15" s="700"/>
      <c r="H15" s="700"/>
      <c r="I15" s="700"/>
      <c r="J15" s="700"/>
      <c r="K15" s="700"/>
      <c r="L15" s="700"/>
      <c r="M15" s="700"/>
      <c r="N15" s="309"/>
      <c r="O15" s="309" t="s">
        <v>116</v>
      </c>
      <c r="P15" s="310" t="s">
        <v>117</v>
      </c>
      <c r="Q15" s="687"/>
      <c r="R15" s="687"/>
      <c r="S15" s="311" t="s">
        <v>143</v>
      </c>
      <c r="T15" s="309"/>
      <c r="U15" s="309"/>
      <c r="V15" s="309"/>
      <c r="W15" s="664">
        <f t="shared" si="0"/>
        <v>0</v>
      </c>
      <c r="X15" s="664"/>
      <c r="Y15" s="664"/>
      <c r="Z15" s="665"/>
      <c r="AB15" s="663">
        <v>0</v>
      </c>
      <c r="AC15" s="664"/>
      <c r="AD15" s="665"/>
      <c r="AF15" s="663">
        <f t="shared" si="1"/>
        <v>0</v>
      </c>
      <c r="AG15" s="664"/>
      <c r="AH15" s="665"/>
      <c r="AJ15" s="681">
        <v>10</v>
      </c>
      <c r="AK15" s="682"/>
      <c r="AL15" s="679">
        <f t="shared" si="2"/>
        <v>0</v>
      </c>
      <c r="AM15" s="680"/>
      <c r="AN15" s="679">
        <f t="shared" si="3"/>
        <v>0</v>
      </c>
      <c r="AO15" s="680"/>
      <c r="AP15" s="676"/>
      <c r="AQ15" s="461"/>
      <c r="AT15" s="696">
        <f t="shared" si="4"/>
        <v>0</v>
      </c>
      <c r="AU15" s="697"/>
      <c r="AV15" s="696">
        <f t="shared" si="5"/>
        <v>0</v>
      </c>
      <c r="AW15" s="697"/>
    </row>
    <row r="16" spans="3:77" s="51" customFormat="1" ht="20" customHeight="1" x14ac:dyDescent="0.15">
      <c r="C16" s="698">
        <v>4</v>
      </c>
      <c r="D16" s="699"/>
      <c r="E16" s="700" t="s">
        <v>327</v>
      </c>
      <c r="F16" s="700"/>
      <c r="G16" s="700"/>
      <c r="H16" s="700"/>
      <c r="I16" s="700"/>
      <c r="J16" s="700"/>
      <c r="K16" s="700"/>
      <c r="L16" s="700"/>
      <c r="M16" s="700"/>
      <c r="N16" s="309"/>
      <c r="O16" s="309" t="s">
        <v>116</v>
      </c>
      <c r="P16" s="310" t="s">
        <v>117</v>
      </c>
      <c r="Q16" s="687"/>
      <c r="R16" s="687"/>
      <c r="S16" s="311" t="s">
        <v>143</v>
      </c>
      <c r="T16" s="309"/>
      <c r="U16" s="309"/>
      <c r="V16" s="309"/>
      <c r="W16" s="664">
        <f t="shared" si="0"/>
        <v>0</v>
      </c>
      <c r="X16" s="664"/>
      <c r="Y16" s="664"/>
      <c r="Z16" s="665"/>
      <c r="AB16" s="663">
        <v>0</v>
      </c>
      <c r="AC16" s="664"/>
      <c r="AD16" s="665"/>
      <c r="AF16" s="663">
        <f t="shared" si="1"/>
        <v>0</v>
      </c>
      <c r="AG16" s="664"/>
      <c r="AH16" s="665"/>
      <c r="AJ16" s="681">
        <v>10</v>
      </c>
      <c r="AK16" s="682"/>
      <c r="AL16" s="677">
        <f t="shared" si="2"/>
        <v>0</v>
      </c>
      <c r="AM16" s="678"/>
      <c r="AN16" s="679">
        <f t="shared" si="3"/>
        <v>0</v>
      </c>
      <c r="AO16" s="680"/>
      <c r="AP16" s="676"/>
      <c r="AQ16" s="461"/>
      <c r="AT16" s="696">
        <f t="shared" si="4"/>
        <v>0</v>
      </c>
      <c r="AU16" s="697"/>
      <c r="AV16" s="696">
        <f t="shared" si="5"/>
        <v>0</v>
      </c>
      <c r="AW16" s="697"/>
    </row>
    <row r="17" spans="3:49" s="51" customFormat="1" ht="20" customHeight="1" x14ac:dyDescent="0.15">
      <c r="C17" s="698">
        <v>5</v>
      </c>
      <c r="D17" s="699"/>
      <c r="E17" s="700" t="s">
        <v>328</v>
      </c>
      <c r="F17" s="700"/>
      <c r="G17" s="700"/>
      <c r="H17" s="700"/>
      <c r="I17" s="700"/>
      <c r="J17" s="700"/>
      <c r="K17" s="700"/>
      <c r="L17" s="700"/>
      <c r="M17" s="700"/>
      <c r="N17" s="309"/>
      <c r="O17" s="309" t="s">
        <v>116</v>
      </c>
      <c r="P17" s="310" t="s">
        <v>117</v>
      </c>
      <c r="Q17" s="687"/>
      <c r="R17" s="687"/>
      <c r="S17" s="311" t="s">
        <v>143</v>
      </c>
      <c r="T17" s="309"/>
      <c r="U17" s="309"/>
      <c r="V17" s="309"/>
      <c r="W17" s="664">
        <f t="shared" si="0"/>
        <v>0</v>
      </c>
      <c r="X17" s="664"/>
      <c r="Y17" s="664"/>
      <c r="Z17" s="665"/>
      <c r="AB17" s="663">
        <v>0</v>
      </c>
      <c r="AC17" s="664"/>
      <c r="AD17" s="665"/>
      <c r="AF17" s="663">
        <f t="shared" si="1"/>
        <v>0</v>
      </c>
      <c r="AG17" s="664"/>
      <c r="AH17" s="665"/>
      <c r="AJ17" s="681">
        <v>10</v>
      </c>
      <c r="AK17" s="682"/>
      <c r="AL17" s="677">
        <f t="shared" si="2"/>
        <v>0</v>
      </c>
      <c r="AM17" s="678"/>
      <c r="AN17" s="679">
        <f t="shared" si="3"/>
        <v>0</v>
      </c>
      <c r="AO17" s="680"/>
      <c r="AP17" s="676"/>
      <c r="AQ17" s="461"/>
      <c r="AT17" s="696">
        <f t="shared" si="4"/>
        <v>0</v>
      </c>
      <c r="AU17" s="697"/>
      <c r="AV17" s="696">
        <f t="shared" si="5"/>
        <v>0</v>
      </c>
      <c r="AW17" s="697"/>
    </row>
    <row r="18" spans="3:49" s="51" customFormat="1" ht="20" customHeight="1" x14ac:dyDescent="0.15">
      <c r="C18" s="698">
        <v>6</v>
      </c>
      <c r="D18" s="699"/>
      <c r="E18" s="700" t="s">
        <v>2</v>
      </c>
      <c r="F18" s="700"/>
      <c r="G18" s="700"/>
      <c r="H18" s="700"/>
      <c r="I18" s="700"/>
      <c r="J18" s="700"/>
      <c r="K18" s="700"/>
      <c r="L18" s="700"/>
      <c r="M18" s="700"/>
      <c r="N18" s="309"/>
      <c r="O18" s="309" t="s">
        <v>116</v>
      </c>
      <c r="P18" s="310" t="s">
        <v>117</v>
      </c>
      <c r="Q18" s="687"/>
      <c r="R18" s="687"/>
      <c r="S18" s="311" t="s">
        <v>143</v>
      </c>
      <c r="T18" s="309"/>
      <c r="U18" s="309"/>
      <c r="V18" s="309"/>
      <c r="W18" s="664">
        <f t="shared" si="0"/>
        <v>0</v>
      </c>
      <c r="X18" s="664"/>
      <c r="Y18" s="664"/>
      <c r="Z18" s="665"/>
      <c r="AB18" s="663">
        <v>0</v>
      </c>
      <c r="AC18" s="664"/>
      <c r="AD18" s="665"/>
      <c r="AF18" s="663">
        <f t="shared" si="1"/>
        <v>0</v>
      </c>
      <c r="AG18" s="664"/>
      <c r="AH18" s="665"/>
      <c r="AJ18" s="681">
        <v>10</v>
      </c>
      <c r="AK18" s="682"/>
      <c r="AL18" s="677">
        <f t="shared" si="2"/>
        <v>0</v>
      </c>
      <c r="AM18" s="678"/>
      <c r="AN18" s="679">
        <f t="shared" si="3"/>
        <v>0</v>
      </c>
      <c r="AO18" s="680"/>
      <c r="AP18" s="676"/>
      <c r="AQ18" s="461"/>
      <c r="AT18" s="696">
        <f t="shared" si="4"/>
        <v>0</v>
      </c>
      <c r="AU18" s="697"/>
      <c r="AV18" s="696">
        <f t="shared" si="5"/>
        <v>0</v>
      </c>
      <c r="AW18" s="697"/>
    </row>
    <row r="19" spans="3:49" s="51" customFormat="1" ht="20" customHeight="1" x14ac:dyDescent="0.15">
      <c r="C19" s="698">
        <v>7</v>
      </c>
      <c r="D19" s="699"/>
      <c r="E19" s="701" t="s">
        <v>51</v>
      </c>
      <c r="F19" s="701"/>
      <c r="G19" s="701"/>
      <c r="H19" s="701"/>
      <c r="I19" s="701"/>
      <c r="J19" s="701"/>
      <c r="K19" s="701"/>
      <c r="L19" s="701"/>
      <c r="M19" s="701"/>
      <c r="N19" s="309"/>
      <c r="O19" s="309" t="s">
        <v>116</v>
      </c>
      <c r="P19" s="310" t="s">
        <v>117</v>
      </c>
      <c r="Q19" s="687"/>
      <c r="R19" s="687"/>
      <c r="S19" s="311" t="s">
        <v>143</v>
      </c>
      <c r="T19" s="309"/>
      <c r="U19" s="309"/>
      <c r="V19" s="309"/>
      <c r="W19" s="664">
        <f t="shared" si="0"/>
        <v>0</v>
      </c>
      <c r="X19" s="664"/>
      <c r="Y19" s="664"/>
      <c r="Z19" s="665"/>
      <c r="AB19" s="663">
        <v>0</v>
      </c>
      <c r="AC19" s="664"/>
      <c r="AD19" s="665"/>
      <c r="AF19" s="663">
        <f t="shared" si="1"/>
        <v>0</v>
      </c>
      <c r="AG19" s="664"/>
      <c r="AH19" s="665"/>
      <c r="AJ19" s="681">
        <v>10</v>
      </c>
      <c r="AK19" s="682"/>
      <c r="AL19" s="679">
        <f t="shared" si="2"/>
        <v>0</v>
      </c>
      <c r="AM19" s="680"/>
      <c r="AN19" s="679">
        <f t="shared" si="3"/>
        <v>0</v>
      </c>
      <c r="AO19" s="680"/>
      <c r="AP19" s="676"/>
      <c r="AQ19" s="461"/>
      <c r="AT19" s="696">
        <f t="shared" si="4"/>
        <v>0</v>
      </c>
      <c r="AU19" s="697"/>
      <c r="AV19" s="696">
        <f t="shared" si="5"/>
        <v>0</v>
      </c>
      <c r="AW19" s="697"/>
    </row>
    <row r="20" spans="3:49" s="51" customFormat="1" ht="20" customHeight="1" x14ac:dyDescent="0.15">
      <c r="C20" s="698">
        <v>8</v>
      </c>
      <c r="D20" s="699"/>
      <c r="E20" s="700" t="s">
        <v>3</v>
      </c>
      <c r="F20" s="700"/>
      <c r="G20" s="700"/>
      <c r="H20" s="700"/>
      <c r="I20" s="700"/>
      <c r="J20" s="700"/>
      <c r="K20" s="700"/>
      <c r="L20" s="700"/>
      <c r="M20" s="700"/>
      <c r="N20" s="309"/>
      <c r="O20" s="309" t="s">
        <v>116</v>
      </c>
      <c r="P20" s="310" t="s">
        <v>117</v>
      </c>
      <c r="Q20" s="687"/>
      <c r="R20" s="687"/>
      <c r="S20" s="311" t="s">
        <v>143</v>
      </c>
      <c r="T20" s="309"/>
      <c r="U20" s="309"/>
      <c r="V20" s="309"/>
      <c r="W20" s="664">
        <f t="shared" si="0"/>
        <v>0</v>
      </c>
      <c r="X20" s="664"/>
      <c r="Y20" s="664"/>
      <c r="Z20" s="665"/>
      <c r="AB20" s="663">
        <v>0</v>
      </c>
      <c r="AC20" s="664"/>
      <c r="AD20" s="665"/>
      <c r="AF20" s="663">
        <f t="shared" si="1"/>
        <v>0</v>
      </c>
      <c r="AG20" s="664"/>
      <c r="AH20" s="665"/>
      <c r="AJ20" s="681">
        <v>10</v>
      </c>
      <c r="AK20" s="682"/>
      <c r="AL20" s="677">
        <f t="shared" si="2"/>
        <v>0</v>
      </c>
      <c r="AM20" s="678"/>
      <c r="AN20" s="679">
        <f t="shared" si="3"/>
        <v>0</v>
      </c>
      <c r="AO20" s="680"/>
      <c r="AP20" s="676"/>
      <c r="AQ20" s="461"/>
      <c r="AT20" s="696">
        <f t="shared" si="4"/>
        <v>0</v>
      </c>
      <c r="AU20" s="697"/>
      <c r="AV20" s="696">
        <f t="shared" si="5"/>
        <v>0</v>
      </c>
      <c r="AW20" s="697"/>
    </row>
    <row r="21" spans="3:49" s="51" customFormat="1" ht="20" customHeight="1" x14ac:dyDescent="0.15">
      <c r="C21" s="698">
        <v>9</v>
      </c>
      <c r="D21" s="699"/>
      <c r="E21" s="700"/>
      <c r="F21" s="700"/>
      <c r="G21" s="700"/>
      <c r="H21" s="700"/>
      <c r="I21" s="700"/>
      <c r="J21" s="700"/>
      <c r="K21" s="700"/>
      <c r="L21" s="700"/>
      <c r="M21" s="700"/>
      <c r="N21" s="309"/>
      <c r="O21" s="309" t="s">
        <v>116</v>
      </c>
      <c r="P21" s="310" t="s">
        <v>117</v>
      </c>
      <c r="Q21" s="687"/>
      <c r="R21" s="687"/>
      <c r="S21" s="311" t="s">
        <v>143</v>
      </c>
      <c r="T21" s="309"/>
      <c r="U21" s="309"/>
      <c r="V21" s="309"/>
      <c r="W21" s="664">
        <f t="shared" si="0"/>
        <v>0</v>
      </c>
      <c r="X21" s="664"/>
      <c r="Y21" s="664"/>
      <c r="Z21" s="665"/>
      <c r="AB21" s="663">
        <v>0</v>
      </c>
      <c r="AC21" s="664"/>
      <c r="AD21" s="665"/>
      <c r="AF21" s="663">
        <f t="shared" si="1"/>
        <v>0</v>
      </c>
      <c r="AG21" s="664"/>
      <c r="AH21" s="665"/>
      <c r="AJ21" s="681">
        <v>10</v>
      </c>
      <c r="AK21" s="682"/>
      <c r="AL21" s="677">
        <f t="shared" si="2"/>
        <v>0</v>
      </c>
      <c r="AM21" s="678"/>
      <c r="AN21" s="679">
        <f t="shared" ref="AN21:AN27" si="6">AL21*1.5</f>
        <v>0</v>
      </c>
      <c r="AO21" s="680"/>
      <c r="AP21" s="676"/>
      <c r="AQ21" s="461"/>
      <c r="AT21" s="696">
        <f t="shared" si="4"/>
        <v>0</v>
      </c>
      <c r="AU21" s="697"/>
      <c r="AV21" s="696">
        <f t="shared" si="5"/>
        <v>0</v>
      </c>
      <c r="AW21" s="697"/>
    </row>
    <row r="22" spans="3:49" s="51" customFormat="1" ht="20" customHeight="1" x14ac:dyDescent="0.15">
      <c r="C22" s="698">
        <v>10</v>
      </c>
      <c r="D22" s="699"/>
      <c r="E22" s="700" t="s">
        <v>330</v>
      </c>
      <c r="F22" s="700"/>
      <c r="G22" s="700"/>
      <c r="H22" s="700"/>
      <c r="I22" s="700"/>
      <c r="J22" s="700"/>
      <c r="K22" s="700"/>
      <c r="L22" s="700"/>
      <c r="M22" s="700"/>
      <c r="N22" s="309"/>
      <c r="O22" s="309" t="s">
        <v>116</v>
      </c>
      <c r="P22" s="310" t="s">
        <v>117</v>
      </c>
      <c r="Q22" s="687"/>
      <c r="R22" s="687"/>
      <c r="S22" s="311" t="s">
        <v>143</v>
      </c>
      <c r="T22" s="309"/>
      <c r="U22" s="309"/>
      <c r="V22" s="309"/>
      <c r="W22" s="664">
        <f t="shared" si="0"/>
        <v>0</v>
      </c>
      <c r="X22" s="664"/>
      <c r="Y22" s="664"/>
      <c r="Z22" s="665"/>
      <c r="AB22" s="663">
        <v>0</v>
      </c>
      <c r="AC22" s="664"/>
      <c r="AD22" s="665"/>
      <c r="AF22" s="663">
        <f t="shared" si="1"/>
        <v>0</v>
      </c>
      <c r="AG22" s="664"/>
      <c r="AH22" s="665"/>
      <c r="AJ22" s="681">
        <v>10</v>
      </c>
      <c r="AK22" s="682"/>
      <c r="AL22" s="677">
        <f t="shared" si="2"/>
        <v>0</v>
      </c>
      <c r="AM22" s="678"/>
      <c r="AN22" s="679">
        <f t="shared" si="6"/>
        <v>0</v>
      </c>
      <c r="AO22" s="680"/>
      <c r="AP22" s="676"/>
      <c r="AQ22" s="461"/>
      <c r="AT22" s="696">
        <f t="shared" si="4"/>
        <v>0</v>
      </c>
      <c r="AU22" s="697"/>
      <c r="AV22" s="696">
        <f t="shared" si="5"/>
        <v>0</v>
      </c>
      <c r="AW22" s="697"/>
    </row>
    <row r="23" spans="3:49" s="51" customFormat="1" ht="20" customHeight="1" x14ac:dyDescent="0.15">
      <c r="C23" s="698">
        <v>11</v>
      </c>
      <c r="D23" s="699"/>
      <c r="E23" s="700" t="s">
        <v>4</v>
      </c>
      <c r="F23" s="700"/>
      <c r="G23" s="700"/>
      <c r="H23" s="700"/>
      <c r="I23" s="700"/>
      <c r="J23" s="700"/>
      <c r="K23" s="700"/>
      <c r="L23" s="700"/>
      <c r="M23" s="700"/>
      <c r="N23" s="309"/>
      <c r="O23" s="309" t="s">
        <v>116</v>
      </c>
      <c r="P23" s="310" t="s">
        <v>117</v>
      </c>
      <c r="Q23" s="687"/>
      <c r="R23" s="687"/>
      <c r="S23" s="311" t="s">
        <v>143</v>
      </c>
      <c r="T23" s="309"/>
      <c r="U23" s="309"/>
      <c r="V23" s="309"/>
      <c r="W23" s="664">
        <f t="shared" si="0"/>
        <v>0</v>
      </c>
      <c r="X23" s="664"/>
      <c r="Y23" s="664"/>
      <c r="Z23" s="665"/>
      <c r="AB23" s="663">
        <v>0</v>
      </c>
      <c r="AC23" s="664"/>
      <c r="AD23" s="665"/>
      <c r="AF23" s="663">
        <f t="shared" si="1"/>
        <v>0</v>
      </c>
      <c r="AG23" s="664"/>
      <c r="AH23" s="665"/>
      <c r="AJ23" s="681">
        <v>10</v>
      </c>
      <c r="AK23" s="682"/>
      <c r="AL23" s="677">
        <f t="shared" si="2"/>
        <v>0</v>
      </c>
      <c r="AM23" s="678"/>
      <c r="AN23" s="679">
        <f t="shared" si="6"/>
        <v>0</v>
      </c>
      <c r="AO23" s="680"/>
      <c r="AP23" s="676"/>
      <c r="AQ23" s="461"/>
      <c r="AT23" s="696">
        <f t="shared" si="4"/>
        <v>0</v>
      </c>
      <c r="AU23" s="697"/>
      <c r="AV23" s="696">
        <f t="shared" si="5"/>
        <v>0</v>
      </c>
      <c r="AW23" s="697"/>
    </row>
    <row r="24" spans="3:49" s="51" customFormat="1" ht="20" customHeight="1" x14ac:dyDescent="0.15">
      <c r="C24" s="698">
        <v>12</v>
      </c>
      <c r="D24" s="699"/>
      <c r="E24" s="700" t="s">
        <v>331</v>
      </c>
      <c r="F24" s="700"/>
      <c r="G24" s="700"/>
      <c r="H24" s="700"/>
      <c r="I24" s="700"/>
      <c r="J24" s="700"/>
      <c r="K24" s="700"/>
      <c r="L24" s="700"/>
      <c r="M24" s="700"/>
      <c r="N24" s="309"/>
      <c r="O24" s="309" t="s">
        <v>116</v>
      </c>
      <c r="P24" s="310" t="s">
        <v>117</v>
      </c>
      <c r="Q24" s="687"/>
      <c r="R24" s="687"/>
      <c r="S24" s="311" t="s">
        <v>143</v>
      </c>
      <c r="T24" s="309"/>
      <c r="U24" s="309"/>
      <c r="V24" s="309"/>
      <c r="W24" s="664">
        <f t="shared" si="0"/>
        <v>0</v>
      </c>
      <c r="X24" s="664"/>
      <c r="Y24" s="664"/>
      <c r="Z24" s="665"/>
      <c r="AB24" s="663">
        <v>0</v>
      </c>
      <c r="AC24" s="664"/>
      <c r="AD24" s="665"/>
      <c r="AF24" s="663">
        <f t="shared" si="1"/>
        <v>0</v>
      </c>
      <c r="AG24" s="664"/>
      <c r="AH24" s="665"/>
      <c r="AJ24" s="681">
        <v>10</v>
      </c>
      <c r="AK24" s="682"/>
      <c r="AL24" s="677">
        <f t="shared" si="2"/>
        <v>0</v>
      </c>
      <c r="AM24" s="678"/>
      <c r="AN24" s="679">
        <f t="shared" si="6"/>
        <v>0</v>
      </c>
      <c r="AO24" s="680"/>
      <c r="AP24" s="676"/>
      <c r="AQ24" s="461"/>
      <c r="AT24" s="696">
        <f t="shared" si="4"/>
        <v>0</v>
      </c>
      <c r="AU24" s="697"/>
      <c r="AV24" s="696">
        <f t="shared" si="5"/>
        <v>0</v>
      </c>
      <c r="AW24" s="697"/>
    </row>
    <row r="25" spans="3:49" s="51" customFormat="1" ht="20" customHeight="1" x14ac:dyDescent="0.15">
      <c r="C25" s="698">
        <v>13</v>
      </c>
      <c r="D25" s="699"/>
      <c r="E25" s="700" t="s">
        <v>332</v>
      </c>
      <c r="F25" s="700"/>
      <c r="G25" s="700"/>
      <c r="H25" s="700"/>
      <c r="I25" s="700"/>
      <c r="J25" s="700"/>
      <c r="K25" s="700"/>
      <c r="L25" s="700"/>
      <c r="M25" s="700"/>
      <c r="N25" s="309"/>
      <c r="O25" s="309" t="s">
        <v>116</v>
      </c>
      <c r="P25" s="310" t="s">
        <v>117</v>
      </c>
      <c r="Q25" s="687"/>
      <c r="R25" s="687"/>
      <c r="S25" s="311" t="s">
        <v>143</v>
      </c>
      <c r="T25" s="309"/>
      <c r="U25" s="309"/>
      <c r="V25" s="309"/>
      <c r="W25" s="664">
        <f t="shared" si="0"/>
        <v>0</v>
      </c>
      <c r="X25" s="664"/>
      <c r="Y25" s="664"/>
      <c r="Z25" s="665"/>
      <c r="AB25" s="663">
        <v>0</v>
      </c>
      <c r="AC25" s="664"/>
      <c r="AD25" s="665"/>
      <c r="AF25" s="663">
        <f t="shared" si="1"/>
        <v>0</v>
      </c>
      <c r="AG25" s="664"/>
      <c r="AH25" s="665"/>
      <c r="AJ25" s="681">
        <v>10</v>
      </c>
      <c r="AK25" s="682"/>
      <c r="AL25" s="677">
        <f t="shared" si="2"/>
        <v>0</v>
      </c>
      <c r="AM25" s="678"/>
      <c r="AN25" s="679">
        <f t="shared" si="6"/>
        <v>0</v>
      </c>
      <c r="AO25" s="680"/>
      <c r="AP25" s="676"/>
      <c r="AQ25" s="461"/>
      <c r="AT25" s="696">
        <f t="shared" si="4"/>
        <v>0</v>
      </c>
      <c r="AU25" s="697"/>
      <c r="AV25" s="696">
        <f t="shared" si="5"/>
        <v>0</v>
      </c>
      <c r="AW25" s="697"/>
    </row>
    <row r="26" spans="3:49" s="51" customFormat="1" ht="20" customHeight="1" x14ac:dyDescent="0.15">
      <c r="C26" s="698">
        <v>14</v>
      </c>
      <c r="D26" s="699"/>
      <c r="E26" s="700" t="s">
        <v>333</v>
      </c>
      <c r="F26" s="700"/>
      <c r="G26" s="700"/>
      <c r="H26" s="700"/>
      <c r="I26" s="700"/>
      <c r="J26" s="700"/>
      <c r="K26" s="700"/>
      <c r="L26" s="700"/>
      <c r="M26" s="700"/>
      <c r="N26" s="309"/>
      <c r="O26" s="309" t="s">
        <v>116</v>
      </c>
      <c r="P26" s="310" t="s">
        <v>117</v>
      </c>
      <c r="Q26" s="687"/>
      <c r="R26" s="687"/>
      <c r="S26" s="311" t="s">
        <v>143</v>
      </c>
      <c r="T26" s="309"/>
      <c r="U26" s="309"/>
      <c r="V26" s="309"/>
      <c r="W26" s="664">
        <f t="shared" si="0"/>
        <v>0</v>
      </c>
      <c r="X26" s="664"/>
      <c r="Y26" s="664"/>
      <c r="Z26" s="665"/>
      <c r="AB26" s="663">
        <v>0</v>
      </c>
      <c r="AC26" s="664"/>
      <c r="AD26" s="665"/>
      <c r="AF26" s="663">
        <f t="shared" si="1"/>
        <v>0</v>
      </c>
      <c r="AG26" s="664"/>
      <c r="AH26" s="665"/>
      <c r="AJ26" s="681">
        <v>10</v>
      </c>
      <c r="AK26" s="682"/>
      <c r="AL26" s="677">
        <f t="shared" si="2"/>
        <v>0</v>
      </c>
      <c r="AM26" s="678"/>
      <c r="AN26" s="679">
        <f t="shared" si="6"/>
        <v>0</v>
      </c>
      <c r="AO26" s="680"/>
      <c r="AP26" s="676"/>
      <c r="AQ26" s="461"/>
      <c r="AT26" s="696">
        <f t="shared" si="4"/>
        <v>0</v>
      </c>
      <c r="AU26" s="697"/>
      <c r="AV26" s="696">
        <f t="shared" si="5"/>
        <v>0</v>
      </c>
      <c r="AW26" s="697"/>
    </row>
    <row r="27" spans="3:49" s="51" customFormat="1" ht="20" customHeight="1" x14ac:dyDescent="0.15">
      <c r="C27" s="698">
        <v>15</v>
      </c>
      <c r="D27" s="699"/>
      <c r="E27" s="700" t="s">
        <v>334</v>
      </c>
      <c r="F27" s="700"/>
      <c r="G27" s="700"/>
      <c r="H27" s="700"/>
      <c r="I27" s="700"/>
      <c r="J27" s="700"/>
      <c r="K27" s="700"/>
      <c r="L27" s="700"/>
      <c r="M27" s="700"/>
      <c r="N27" s="309"/>
      <c r="O27" s="309" t="s">
        <v>116</v>
      </c>
      <c r="P27" s="310" t="s">
        <v>117</v>
      </c>
      <c r="Q27" s="687"/>
      <c r="R27" s="687"/>
      <c r="S27" s="311" t="s">
        <v>143</v>
      </c>
      <c r="T27" s="309"/>
      <c r="U27" s="309"/>
      <c r="V27" s="309"/>
      <c r="W27" s="664">
        <f t="shared" si="0"/>
        <v>0</v>
      </c>
      <c r="X27" s="664"/>
      <c r="Y27" s="664"/>
      <c r="Z27" s="665"/>
      <c r="AB27" s="663">
        <v>0</v>
      </c>
      <c r="AC27" s="664"/>
      <c r="AD27" s="665"/>
      <c r="AF27" s="663">
        <f t="shared" si="1"/>
        <v>0</v>
      </c>
      <c r="AG27" s="664"/>
      <c r="AH27" s="665"/>
      <c r="AJ27" s="681">
        <v>10</v>
      </c>
      <c r="AK27" s="682"/>
      <c r="AL27" s="679">
        <f t="shared" si="2"/>
        <v>0</v>
      </c>
      <c r="AM27" s="680"/>
      <c r="AN27" s="679">
        <f t="shared" si="6"/>
        <v>0</v>
      </c>
      <c r="AO27" s="680"/>
      <c r="AP27" s="676"/>
      <c r="AQ27" s="461"/>
      <c r="AT27" s="696">
        <f t="shared" si="4"/>
        <v>0</v>
      </c>
      <c r="AU27" s="697"/>
      <c r="AV27" s="696">
        <f t="shared" si="5"/>
        <v>0</v>
      </c>
      <c r="AW27" s="697"/>
    </row>
    <row r="28" spans="3:49" s="51" customFormat="1" ht="20" customHeight="1" x14ac:dyDescent="0.15">
      <c r="C28" s="702">
        <v>16</v>
      </c>
      <c r="D28" s="703"/>
      <c r="E28" s="700" t="s">
        <v>5</v>
      </c>
      <c r="F28" s="700"/>
      <c r="G28" s="700"/>
      <c r="H28" s="700"/>
      <c r="I28" s="700"/>
      <c r="J28" s="700"/>
      <c r="K28" s="700"/>
      <c r="L28" s="700"/>
      <c r="M28" s="700"/>
      <c r="N28" s="309"/>
      <c r="O28" s="309" t="s">
        <v>116</v>
      </c>
      <c r="P28" s="310" t="s">
        <v>117</v>
      </c>
      <c r="Q28" s="687"/>
      <c r="R28" s="687"/>
      <c r="S28" s="311" t="s">
        <v>143</v>
      </c>
      <c r="T28" s="309"/>
      <c r="U28" s="309"/>
      <c r="V28" s="309"/>
      <c r="W28" s="664">
        <f t="shared" si="0"/>
        <v>0</v>
      </c>
      <c r="X28" s="664"/>
      <c r="Y28" s="664"/>
      <c r="Z28" s="665"/>
      <c r="AB28" s="663">
        <v>0</v>
      </c>
      <c r="AC28" s="664"/>
      <c r="AD28" s="665"/>
      <c r="AF28" s="663">
        <f t="shared" si="1"/>
        <v>0</v>
      </c>
      <c r="AG28" s="664"/>
      <c r="AH28" s="665"/>
      <c r="AJ28" s="681">
        <v>10</v>
      </c>
      <c r="AK28" s="682"/>
      <c r="AL28" s="677">
        <f t="shared" si="2"/>
        <v>0</v>
      </c>
      <c r="AM28" s="678"/>
      <c r="AN28" s="679">
        <f t="shared" ref="AN28:AN62" si="7">AL28*1.5</f>
        <v>0</v>
      </c>
      <c r="AO28" s="680"/>
      <c r="AP28" s="676"/>
      <c r="AQ28" s="461"/>
      <c r="AT28" s="696">
        <f t="shared" si="4"/>
        <v>0</v>
      </c>
      <c r="AU28" s="697"/>
      <c r="AV28" s="696">
        <f t="shared" si="5"/>
        <v>0</v>
      </c>
      <c r="AW28" s="697"/>
    </row>
    <row r="29" spans="3:49" s="51" customFormat="1" ht="20" customHeight="1" x14ac:dyDescent="0.15">
      <c r="C29" s="702">
        <v>17</v>
      </c>
      <c r="D29" s="703"/>
      <c r="E29" s="700" t="s">
        <v>335</v>
      </c>
      <c r="F29" s="700"/>
      <c r="G29" s="700"/>
      <c r="H29" s="700"/>
      <c r="I29" s="700"/>
      <c r="J29" s="700"/>
      <c r="K29" s="700"/>
      <c r="L29" s="700"/>
      <c r="M29" s="700"/>
      <c r="N29" s="309"/>
      <c r="O29" s="309" t="s">
        <v>116</v>
      </c>
      <c r="P29" s="310" t="s">
        <v>117</v>
      </c>
      <c r="Q29" s="687"/>
      <c r="R29" s="687"/>
      <c r="S29" s="311" t="s">
        <v>143</v>
      </c>
      <c r="T29" s="309"/>
      <c r="U29" s="309"/>
      <c r="V29" s="309"/>
      <c r="W29" s="664">
        <f t="shared" si="0"/>
        <v>0</v>
      </c>
      <c r="X29" s="664"/>
      <c r="Y29" s="664"/>
      <c r="Z29" s="665"/>
      <c r="AB29" s="663">
        <v>0</v>
      </c>
      <c r="AC29" s="664"/>
      <c r="AD29" s="665"/>
      <c r="AF29" s="663">
        <f t="shared" si="1"/>
        <v>0</v>
      </c>
      <c r="AG29" s="664"/>
      <c r="AH29" s="665"/>
      <c r="AJ29" s="681">
        <v>10</v>
      </c>
      <c r="AK29" s="682"/>
      <c r="AL29" s="677">
        <f t="shared" si="2"/>
        <v>0</v>
      </c>
      <c r="AM29" s="678"/>
      <c r="AN29" s="679">
        <f t="shared" si="7"/>
        <v>0</v>
      </c>
      <c r="AO29" s="680"/>
      <c r="AP29" s="676"/>
      <c r="AQ29" s="461"/>
      <c r="AT29" s="696">
        <f t="shared" si="4"/>
        <v>0</v>
      </c>
      <c r="AU29" s="697"/>
      <c r="AV29" s="696">
        <f t="shared" si="5"/>
        <v>0</v>
      </c>
      <c r="AW29" s="697"/>
    </row>
    <row r="30" spans="3:49" s="51" customFormat="1" ht="20" customHeight="1" x14ac:dyDescent="0.15">
      <c r="C30" s="702">
        <v>18</v>
      </c>
      <c r="D30" s="703"/>
      <c r="E30" s="700" t="s">
        <v>336</v>
      </c>
      <c r="F30" s="700"/>
      <c r="G30" s="700"/>
      <c r="H30" s="700"/>
      <c r="I30" s="700"/>
      <c r="J30" s="700"/>
      <c r="K30" s="700"/>
      <c r="L30" s="700"/>
      <c r="M30" s="700"/>
      <c r="N30" s="309"/>
      <c r="O30" s="309" t="s">
        <v>116</v>
      </c>
      <c r="P30" s="310" t="s">
        <v>117</v>
      </c>
      <c r="Q30" s="687"/>
      <c r="R30" s="687"/>
      <c r="S30" s="311" t="s">
        <v>143</v>
      </c>
      <c r="T30" s="309"/>
      <c r="U30" s="309"/>
      <c r="V30" s="309"/>
      <c r="W30" s="664">
        <f t="shared" si="0"/>
        <v>0</v>
      </c>
      <c r="X30" s="664"/>
      <c r="Y30" s="664"/>
      <c r="Z30" s="665"/>
      <c r="AB30" s="663">
        <v>0</v>
      </c>
      <c r="AC30" s="664"/>
      <c r="AD30" s="665"/>
      <c r="AF30" s="663">
        <f t="shared" si="1"/>
        <v>0</v>
      </c>
      <c r="AG30" s="664"/>
      <c r="AH30" s="665"/>
      <c r="AJ30" s="681">
        <v>10</v>
      </c>
      <c r="AK30" s="682"/>
      <c r="AL30" s="677">
        <f t="shared" si="2"/>
        <v>0</v>
      </c>
      <c r="AM30" s="678"/>
      <c r="AN30" s="679">
        <f t="shared" si="7"/>
        <v>0</v>
      </c>
      <c r="AO30" s="680"/>
      <c r="AP30" s="676"/>
      <c r="AQ30" s="461"/>
      <c r="AT30" s="696">
        <f t="shared" si="4"/>
        <v>0</v>
      </c>
      <c r="AU30" s="697"/>
      <c r="AV30" s="696">
        <f t="shared" si="5"/>
        <v>0</v>
      </c>
      <c r="AW30" s="697"/>
    </row>
    <row r="31" spans="3:49" s="51" customFormat="1" ht="20" customHeight="1" x14ac:dyDescent="0.15">
      <c r="C31" s="702">
        <v>19</v>
      </c>
      <c r="D31" s="703"/>
      <c r="E31" s="700" t="s">
        <v>337</v>
      </c>
      <c r="F31" s="700"/>
      <c r="G31" s="700"/>
      <c r="H31" s="700"/>
      <c r="I31" s="700"/>
      <c r="J31" s="700"/>
      <c r="K31" s="700"/>
      <c r="L31" s="700"/>
      <c r="M31" s="700"/>
      <c r="N31" s="309"/>
      <c r="O31" s="309" t="s">
        <v>116</v>
      </c>
      <c r="P31" s="310" t="s">
        <v>117</v>
      </c>
      <c r="Q31" s="687"/>
      <c r="R31" s="687"/>
      <c r="S31" s="311" t="s">
        <v>143</v>
      </c>
      <c r="T31" s="309"/>
      <c r="U31" s="309"/>
      <c r="V31" s="309"/>
      <c r="W31" s="664">
        <f t="shared" si="0"/>
        <v>0</v>
      </c>
      <c r="X31" s="664"/>
      <c r="Y31" s="664"/>
      <c r="Z31" s="665"/>
      <c r="AB31" s="663">
        <v>0</v>
      </c>
      <c r="AC31" s="664"/>
      <c r="AD31" s="665"/>
      <c r="AF31" s="663">
        <f t="shared" si="1"/>
        <v>0</v>
      </c>
      <c r="AG31" s="664"/>
      <c r="AH31" s="665"/>
      <c r="AJ31" s="681">
        <v>10</v>
      </c>
      <c r="AK31" s="682"/>
      <c r="AL31" s="677">
        <f t="shared" si="2"/>
        <v>0</v>
      </c>
      <c r="AM31" s="678"/>
      <c r="AN31" s="679">
        <f t="shared" si="7"/>
        <v>0</v>
      </c>
      <c r="AO31" s="680"/>
      <c r="AP31" s="676"/>
      <c r="AQ31" s="461"/>
      <c r="AT31" s="696">
        <f t="shared" si="4"/>
        <v>0</v>
      </c>
      <c r="AU31" s="697"/>
      <c r="AV31" s="696">
        <f t="shared" si="5"/>
        <v>0</v>
      </c>
      <c r="AW31" s="697"/>
    </row>
    <row r="32" spans="3:49" s="51" customFormat="1" ht="20" customHeight="1" x14ac:dyDescent="0.15">
      <c r="C32" s="702">
        <v>20</v>
      </c>
      <c r="D32" s="703"/>
      <c r="E32" s="700" t="s">
        <v>338</v>
      </c>
      <c r="F32" s="700"/>
      <c r="G32" s="700"/>
      <c r="H32" s="700"/>
      <c r="I32" s="700"/>
      <c r="J32" s="700"/>
      <c r="K32" s="700"/>
      <c r="L32" s="700"/>
      <c r="M32" s="700"/>
      <c r="N32" s="309"/>
      <c r="O32" s="309" t="s">
        <v>116</v>
      </c>
      <c r="P32" s="310" t="s">
        <v>117</v>
      </c>
      <c r="Q32" s="687"/>
      <c r="R32" s="687"/>
      <c r="S32" s="311" t="s">
        <v>143</v>
      </c>
      <c r="T32" s="309"/>
      <c r="U32" s="309"/>
      <c r="V32" s="309"/>
      <c r="W32" s="664">
        <f t="shared" si="0"/>
        <v>0</v>
      </c>
      <c r="X32" s="664"/>
      <c r="Y32" s="664"/>
      <c r="Z32" s="665"/>
      <c r="AB32" s="663">
        <v>0</v>
      </c>
      <c r="AC32" s="664"/>
      <c r="AD32" s="665"/>
      <c r="AF32" s="663">
        <f t="shared" si="1"/>
        <v>0</v>
      </c>
      <c r="AG32" s="664"/>
      <c r="AH32" s="665"/>
      <c r="AJ32" s="681">
        <v>10</v>
      </c>
      <c r="AK32" s="682"/>
      <c r="AL32" s="677">
        <f t="shared" si="2"/>
        <v>0</v>
      </c>
      <c r="AM32" s="678"/>
      <c r="AN32" s="679">
        <f t="shared" si="7"/>
        <v>0</v>
      </c>
      <c r="AO32" s="680"/>
      <c r="AP32" s="676"/>
      <c r="AQ32" s="461"/>
      <c r="AT32" s="696">
        <f t="shared" si="4"/>
        <v>0</v>
      </c>
      <c r="AU32" s="697"/>
      <c r="AV32" s="696">
        <f t="shared" si="5"/>
        <v>0</v>
      </c>
      <c r="AW32" s="697"/>
    </row>
    <row r="33" spans="3:49" s="51" customFormat="1" ht="20" customHeight="1" x14ac:dyDescent="0.15">
      <c r="C33" s="702">
        <v>21</v>
      </c>
      <c r="D33" s="703"/>
      <c r="E33" s="700" t="s">
        <v>339</v>
      </c>
      <c r="F33" s="700"/>
      <c r="G33" s="700"/>
      <c r="H33" s="700"/>
      <c r="I33" s="700"/>
      <c r="J33" s="700"/>
      <c r="K33" s="700"/>
      <c r="L33" s="700"/>
      <c r="M33" s="700"/>
      <c r="N33" s="309"/>
      <c r="O33" s="309" t="s">
        <v>116</v>
      </c>
      <c r="P33" s="310" t="s">
        <v>117</v>
      </c>
      <c r="Q33" s="687"/>
      <c r="R33" s="687"/>
      <c r="S33" s="311" t="s">
        <v>143</v>
      </c>
      <c r="T33" s="309"/>
      <c r="U33" s="309"/>
      <c r="V33" s="309"/>
      <c r="W33" s="664">
        <f t="shared" si="0"/>
        <v>0</v>
      </c>
      <c r="X33" s="664"/>
      <c r="Y33" s="664"/>
      <c r="Z33" s="665"/>
      <c r="AB33" s="663">
        <v>0</v>
      </c>
      <c r="AC33" s="664"/>
      <c r="AD33" s="665"/>
      <c r="AF33" s="663">
        <f t="shared" si="1"/>
        <v>0</v>
      </c>
      <c r="AG33" s="664"/>
      <c r="AH33" s="665"/>
      <c r="AJ33" s="681">
        <v>10</v>
      </c>
      <c r="AK33" s="682"/>
      <c r="AL33" s="677">
        <f t="shared" si="2"/>
        <v>0</v>
      </c>
      <c r="AM33" s="678"/>
      <c r="AN33" s="679">
        <f t="shared" si="7"/>
        <v>0</v>
      </c>
      <c r="AO33" s="680"/>
      <c r="AP33" s="676"/>
      <c r="AQ33" s="461"/>
      <c r="AT33" s="696">
        <f t="shared" si="4"/>
        <v>0</v>
      </c>
      <c r="AU33" s="697"/>
      <c r="AV33" s="696">
        <f t="shared" si="5"/>
        <v>0</v>
      </c>
      <c r="AW33" s="697"/>
    </row>
    <row r="34" spans="3:49" s="51" customFormat="1" ht="20" customHeight="1" x14ac:dyDescent="0.15">
      <c r="C34" s="702">
        <v>22</v>
      </c>
      <c r="D34" s="703"/>
      <c r="E34" s="700" t="s">
        <v>340</v>
      </c>
      <c r="F34" s="700"/>
      <c r="G34" s="700"/>
      <c r="H34" s="700"/>
      <c r="I34" s="700"/>
      <c r="J34" s="700"/>
      <c r="K34" s="700"/>
      <c r="L34" s="700"/>
      <c r="M34" s="700"/>
      <c r="N34" s="309"/>
      <c r="O34" s="309" t="s">
        <v>116</v>
      </c>
      <c r="P34" s="310" t="s">
        <v>117</v>
      </c>
      <c r="Q34" s="687"/>
      <c r="R34" s="687"/>
      <c r="S34" s="311" t="s">
        <v>143</v>
      </c>
      <c r="T34" s="309"/>
      <c r="U34" s="309"/>
      <c r="V34" s="309"/>
      <c r="W34" s="664">
        <f t="shared" si="0"/>
        <v>0</v>
      </c>
      <c r="X34" s="664"/>
      <c r="Y34" s="664"/>
      <c r="Z34" s="665"/>
      <c r="AB34" s="663">
        <v>0</v>
      </c>
      <c r="AC34" s="664"/>
      <c r="AD34" s="665"/>
      <c r="AF34" s="663">
        <f t="shared" si="1"/>
        <v>0</v>
      </c>
      <c r="AG34" s="664"/>
      <c r="AH34" s="665"/>
      <c r="AJ34" s="681">
        <v>10</v>
      </c>
      <c r="AK34" s="682"/>
      <c r="AL34" s="677">
        <f t="shared" si="2"/>
        <v>0</v>
      </c>
      <c r="AM34" s="678"/>
      <c r="AN34" s="679">
        <f t="shared" si="7"/>
        <v>0</v>
      </c>
      <c r="AO34" s="680"/>
      <c r="AP34" s="676"/>
      <c r="AQ34" s="461"/>
      <c r="AT34" s="696">
        <f t="shared" si="4"/>
        <v>0</v>
      </c>
      <c r="AU34" s="697"/>
      <c r="AV34" s="696">
        <f t="shared" si="5"/>
        <v>0</v>
      </c>
      <c r="AW34" s="697"/>
    </row>
    <row r="35" spans="3:49" s="51" customFormat="1" ht="20" customHeight="1" x14ac:dyDescent="0.15">
      <c r="C35" s="702">
        <v>23</v>
      </c>
      <c r="D35" s="703"/>
      <c r="E35" s="700" t="s">
        <v>341</v>
      </c>
      <c r="F35" s="700"/>
      <c r="G35" s="700"/>
      <c r="H35" s="700"/>
      <c r="I35" s="700"/>
      <c r="J35" s="700"/>
      <c r="K35" s="700"/>
      <c r="L35" s="700"/>
      <c r="M35" s="700"/>
      <c r="N35" s="309"/>
      <c r="O35" s="309" t="s">
        <v>116</v>
      </c>
      <c r="P35" s="310" t="s">
        <v>117</v>
      </c>
      <c r="Q35" s="687"/>
      <c r="R35" s="687"/>
      <c r="S35" s="311" t="s">
        <v>143</v>
      </c>
      <c r="T35" s="309"/>
      <c r="U35" s="309"/>
      <c r="V35" s="309"/>
      <c r="W35" s="664">
        <f t="shared" si="0"/>
        <v>0</v>
      </c>
      <c r="X35" s="664"/>
      <c r="Y35" s="664"/>
      <c r="Z35" s="665"/>
      <c r="AB35" s="663">
        <v>0</v>
      </c>
      <c r="AC35" s="664"/>
      <c r="AD35" s="665"/>
      <c r="AF35" s="663">
        <f t="shared" si="1"/>
        <v>0</v>
      </c>
      <c r="AG35" s="664"/>
      <c r="AH35" s="665"/>
      <c r="AJ35" s="681">
        <v>8</v>
      </c>
      <c r="AK35" s="682"/>
      <c r="AL35" s="677">
        <f t="shared" si="2"/>
        <v>0</v>
      </c>
      <c r="AM35" s="678"/>
      <c r="AN35" s="679">
        <f t="shared" si="7"/>
        <v>0</v>
      </c>
      <c r="AO35" s="680"/>
      <c r="AP35" s="676"/>
      <c r="AQ35" s="461"/>
      <c r="AT35" s="696">
        <f t="shared" si="4"/>
        <v>0</v>
      </c>
      <c r="AU35" s="697"/>
      <c r="AV35" s="696">
        <f t="shared" si="5"/>
        <v>0</v>
      </c>
      <c r="AW35" s="697"/>
    </row>
    <row r="36" spans="3:49" s="51" customFormat="1" ht="20" customHeight="1" x14ac:dyDescent="0.15">
      <c r="C36" s="702">
        <v>24</v>
      </c>
      <c r="D36" s="703"/>
      <c r="E36" s="700" t="s">
        <v>342</v>
      </c>
      <c r="F36" s="700"/>
      <c r="G36" s="700"/>
      <c r="H36" s="700"/>
      <c r="I36" s="700"/>
      <c r="J36" s="700"/>
      <c r="K36" s="700"/>
      <c r="L36" s="700"/>
      <c r="M36" s="700"/>
      <c r="N36" s="309"/>
      <c r="O36" s="309" t="s">
        <v>116</v>
      </c>
      <c r="P36" s="310" t="s">
        <v>117</v>
      </c>
      <c r="Q36" s="687"/>
      <c r="R36" s="687"/>
      <c r="S36" s="311" t="s">
        <v>143</v>
      </c>
      <c r="T36" s="309"/>
      <c r="U36" s="309"/>
      <c r="V36" s="309"/>
      <c r="W36" s="664">
        <f t="shared" si="0"/>
        <v>0</v>
      </c>
      <c r="X36" s="664"/>
      <c r="Y36" s="664"/>
      <c r="Z36" s="665"/>
      <c r="AB36" s="663">
        <v>0</v>
      </c>
      <c r="AC36" s="664"/>
      <c r="AD36" s="665"/>
      <c r="AF36" s="663">
        <f t="shared" si="1"/>
        <v>0</v>
      </c>
      <c r="AG36" s="664"/>
      <c r="AH36" s="665"/>
      <c r="AJ36" s="681">
        <v>8</v>
      </c>
      <c r="AK36" s="682"/>
      <c r="AL36" s="677">
        <f t="shared" si="2"/>
        <v>0</v>
      </c>
      <c r="AM36" s="678"/>
      <c r="AN36" s="679">
        <f t="shared" si="7"/>
        <v>0</v>
      </c>
      <c r="AO36" s="680"/>
      <c r="AP36" s="676"/>
      <c r="AQ36" s="461"/>
      <c r="AT36" s="696">
        <f t="shared" si="4"/>
        <v>0</v>
      </c>
      <c r="AU36" s="697"/>
      <c r="AV36" s="696">
        <f t="shared" si="5"/>
        <v>0</v>
      </c>
      <c r="AW36" s="697"/>
    </row>
    <row r="37" spans="3:49" s="51" customFormat="1" ht="20" customHeight="1" x14ac:dyDescent="0.15">
      <c r="C37" s="702">
        <v>25</v>
      </c>
      <c r="D37" s="703"/>
      <c r="E37" s="700" t="s">
        <v>343</v>
      </c>
      <c r="F37" s="700"/>
      <c r="G37" s="700"/>
      <c r="H37" s="700"/>
      <c r="I37" s="700"/>
      <c r="J37" s="700"/>
      <c r="K37" s="700"/>
      <c r="L37" s="700"/>
      <c r="M37" s="700"/>
      <c r="N37" s="309"/>
      <c r="O37" s="309" t="s">
        <v>116</v>
      </c>
      <c r="P37" s="310" t="s">
        <v>117</v>
      </c>
      <c r="Q37" s="687"/>
      <c r="R37" s="687"/>
      <c r="S37" s="311" t="s">
        <v>143</v>
      </c>
      <c r="T37" s="309"/>
      <c r="U37" s="309"/>
      <c r="V37" s="309"/>
      <c r="W37" s="664">
        <f t="shared" si="0"/>
        <v>0</v>
      </c>
      <c r="X37" s="664"/>
      <c r="Y37" s="664"/>
      <c r="Z37" s="665"/>
      <c r="AB37" s="663">
        <v>0</v>
      </c>
      <c r="AC37" s="664"/>
      <c r="AD37" s="665"/>
      <c r="AF37" s="663">
        <f t="shared" si="1"/>
        <v>0</v>
      </c>
      <c r="AG37" s="664"/>
      <c r="AH37" s="665"/>
      <c r="AJ37" s="681">
        <v>8</v>
      </c>
      <c r="AK37" s="682"/>
      <c r="AL37" s="677">
        <f t="shared" si="2"/>
        <v>0</v>
      </c>
      <c r="AM37" s="678"/>
      <c r="AN37" s="679">
        <f t="shared" si="7"/>
        <v>0</v>
      </c>
      <c r="AO37" s="680"/>
      <c r="AP37" s="676"/>
      <c r="AQ37" s="461"/>
      <c r="AT37" s="696">
        <f t="shared" si="4"/>
        <v>0</v>
      </c>
      <c r="AU37" s="697"/>
      <c r="AV37" s="696">
        <f t="shared" si="5"/>
        <v>0</v>
      </c>
      <c r="AW37" s="697"/>
    </row>
    <row r="38" spans="3:49" s="51" customFormat="1" ht="20" customHeight="1" x14ac:dyDescent="0.15">
      <c r="C38" s="702">
        <v>26</v>
      </c>
      <c r="D38" s="703"/>
      <c r="E38" s="701" t="s">
        <v>373</v>
      </c>
      <c r="F38" s="701"/>
      <c r="G38" s="701"/>
      <c r="H38" s="701"/>
      <c r="I38" s="701"/>
      <c r="J38" s="701"/>
      <c r="K38" s="701"/>
      <c r="L38" s="701"/>
      <c r="M38" s="701"/>
      <c r="N38" s="309"/>
      <c r="O38" s="309" t="s">
        <v>116</v>
      </c>
      <c r="P38" s="310" t="s">
        <v>117</v>
      </c>
      <c r="Q38" s="687"/>
      <c r="R38" s="687"/>
      <c r="S38" s="311" t="s">
        <v>143</v>
      </c>
      <c r="T38" s="309"/>
      <c r="U38" s="309"/>
      <c r="V38" s="309"/>
      <c r="W38" s="664">
        <f t="shared" si="0"/>
        <v>0</v>
      </c>
      <c r="X38" s="664"/>
      <c r="Y38" s="664"/>
      <c r="Z38" s="665"/>
      <c r="AB38" s="663">
        <v>0</v>
      </c>
      <c r="AC38" s="664"/>
      <c r="AD38" s="665"/>
      <c r="AF38" s="663">
        <f t="shared" si="1"/>
        <v>0</v>
      </c>
      <c r="AG38" s="664"/>
      <c r="AH38" s="665"/>
      <c r="AJ38" s="681">
        <v>8</v>
      </c>
      <c r="AK38" s="682"/>
      <c r="AL38" s="677">
        <f t="shared" si="2"/>
        <v>0</v>
      </c>
      <c r="AM38" s="678"/>
      <c r="AN38" s="679">
        <f t="shared" si="7"/>
        <v>0</v>
      </c>
      <c r="AO38" s="680"/>
      <c r="AP38" s="676"/>
      <c r="AQ38" s="461"/>
      <c r="AT38" s="696">
        <f t="shared" si="4"/>
        <v>0</v>
      </c>
      <c r="AU38" s="697"/>
      <c r="AV38" s="696">
        <f t="shared" si="5"/>
        <v>0</v>
      </c>
      <c r="AW38" s="697"/>
    </row>
    <row r="39" spans="3:49" s="51" customFormat="1" ht="20" customHeight="1" x14ac:dyDescent="0.15">
      <c r="C39" s="702">
        <v>27</v>
      </c>
      <c r="D39" s="703"/>
      <c r="E39" s="700" t="s">
        <v>344</v>
      </c>
      <c r="F39" s="700"/>
      <c r="G39" s="700"/>
      <c r="H39" s="700"/>
      <c r="I39" s="700"/>
      <c r="J39" s="700"/>
      <c r="K39" s="700"/>
      <c r="L39" s="700"/>
      <c r="M39" s="700"/>
      <c r="N39" s="309"/>
      <c r="O39" s="309" t="s">
        <v>116</v>
      </c>
      <c r="P39" s="310" t="s">
        <v>117</v>
      </c>
      <c r="Q39" s="687"/>
      <c r="R39" s="687"/>
      <c r="S39" s="311" t="s">
        <v>143</v>
      </c>
      <c r="T39" s="309"/>
      <c r="U39" s="309"/>
      <c r="V39" s="309"/>
      <c r="W39" s="664">
        <f t="shared" si="0"/>
        <v>0</v>
      </c>
      <c r="X39" s="664"/>
      <c r="Y39" s="664"/>
      <c r="Z39" s="665"/>
      <c r="AB39" s="663">
        <v>0</v>
      </c>
      <c r="AC39" s="664"/>
      <c r="AD39" s="665"/>
      <c r="AF39" s="663">
        <f t="shared" si="1"/>
        <v>0</v>
      </c>
      <c r="AG39" s="664"/>
      <c r="AH39" s="665"/>
      <c r="AJ39" s="681">
        <v>8</v>
      </c>
      <c r="AK39" s="682"/>
      <c r="AL39" s="677">
        <f t="shared" si="2"/>
        <v>0</v>
      </c>
      <c r="AM39" s="678"/>
      <c r="AN39" s="679">
        <f t="shared" si="7"/>
        <v>0</v>
      </c>
      <c r="AO39" s="680"/>
      <c r="AP39" s="676"/>
      <c r="AQ39" s="461"/>
      <c r="AT39" s="696">
        <f t="shared" si="4"/>
        <v>0</v>
      </c>
      <c r="AU39" s="697"/>
      <c r="AV39" s="696">
        <f t="shared" si="5"/>
        <v>0</v>
      </c>
      <c r="AW39" s="697"/>
    </row>
    <row r="40" spans="3:49" s="51" customFormat="1" ht="20" customHeight="1" x14ac:dyDescent="0.15">
      <c r="C40" s="702">
        <v>28</v>
      </c>
      <c r="D40" s="703"/>
      <c r="E40" s="700" t="s">
        <v>6</v>
      </c>
      <c r="F40" s="700"/>
      <c r="G40" s="700"/>
      <c r="H40" s="700"/>
      <c r="I40" s="700"/>
      <c r="J40" s="700"/>
      <c r="K40" s="700"/>
      <c r="L40" s="700"/>
      <c r="M40" s="700"/>
      <c r="N40" s="309"/>
      <c r="O40" s="309" t="s">
        <v>116</v>
      </c>
      <c r="P40" s="310" t="s">
        <v>117</v>
      </c>
      <c r="Q40" s="687"/>
      <c r="R40" s="687"/>
      <c r="S40" s="311" t="s">
        <v>143</v>
      </c>
      <c r="T40" s="309"/>
      <c r="U40" s="309"/>
      <c r="V40" s="309"/>
      <c r="W40" s="664">
        <f t="shared" si="0"/>
        <v>0</v>
      </c>
      <c r="X40" s="664"/>
      <c r="Y40" s="664"/>
      <c r="Z40" s="665"/>
      <c r="AB40" s="663">
        <v>0</v>
      </c>
      <c r="AC40" s="664"/>
      <c r="AD40" s="665"/>
      <c r="AF40" s="663">
        <f t="shared" si="1"/>
        <v>0</v>
      </c>
      <c r="AG40" s="664"/>
      <c r="AH40" s="665"/>
      <c r="AJ40" s="681">
        <v>10</v>
      </c>
      <c r="AK40" s="682"/>
      <c r="AL40" s="677">
        <f t="shared" si="2"/>
        <v>0</v>
      </c>
      <c r="AM40" s="678"/>
      <c r="AN40" s="679">
        <f t="shared" si="7"/>
        <v>0</v>
      </c>
      <c r="AO40" s="680"/>
      <c r="AP40" s="676"/>
      <c r="AQ40" s="461"/>
      <c r="AT40" s="696">
        <f t="shared" si="4"/>
        <v>0</v>
      </c>
      <c r="AU40" s="697"/>
      <c r="AV40" s="696">
        <f t="shared" si="5"/>
        <v>0</v>
      </c>
      <c r="AW40" s="697"/>
    </row>
    <row r="41" spans="3:49" s="51" customFormat="1" ht="20" customHeight="1" x14ac:dyDescent="0.15">
      <c r="C41" s="702">
        <v>29</v>
      </c>
      <c r="D41" s="703"/>
      <c r="E41" s="700" t="s">
        <v>422</v>
      </c>
      <c r="F41" s="700"/>
      <c r="G41" s="700"/>
      <c r="H41" s="700"/>
      <c r="I41" s="700"/>
      <c r="J41" s="700"/>
      <c r="K41" s="700"/>
      <c r="L41" s="700"/>
      <c r="M41" s="700"/>
      <c r="N41" s="309"/>
      <c r="O41" s="309" t="s">
        <v>116</v>
      </c>
      <c r="P41" s="310" t="s">
        <v>117</v>
      </c>
      <c r="Q41" s="687"/>
      <c r="R41" s="687"/>
      <c r="S41" s="311" t="s">
        <v>143</v>
      </c>
      <c r="T41" s="309"/>
      <c r="U41" s="309"/>
      <c r="V41" s="309"/>
      <c r="W41" s="664">
        <f t="shared" si="0"/>
        <v>0</v>
      </c>
      <c r="X41" s="664"/>
      <c r="Y41" s="664"/>
      <c r="Z41" s="665"/>
      <c r="AB41" s="663">
        <v>0</v>
      </c>
      <c r="AC41" s="664"/>
      <c r="AD41" s="665"/>
      <c r="AF41" s="663">
        <f t="shared" si="1"/>
        <v>0</v>
      </c>
      <c r="AG41" s="664"/>
      <c r="AH41" s="665"/>
      <c r="AJ41" s="681">
        <v>10</v>
      </c>
      <c r="AK41" s="682"/>
      <c r="AL41" s="679">
        <f t="shared" ref="AL41:AL62" si="8">IFERROR(Q41/(AJ41+((AJ41-8)*0.5)),0)</f>
        <v>0</v>
      </c>
      <c r="AM41" s="680"/>
      <c r="AN41" s="679">
        <f t="shared" si="7"/>
        <v>0</v>
      </c>
      <c r="AO41" s="680"/>
      <c r="AP41" s="676"/>
      <c r="AQ41" s="461"/>
      <c r="AT41" s="696">
        <f t="shared" si="4"/>
        <v>0</v>
      </c>
      <c r="AU41" s="697"/>
      <c r="AV41" s="696">
        <f t="shared" si="5"/>
        <v>0</v>
      </c>
      <c r="AW41" s="697"/>
    </row>
    <row r="42" spans="3:49" s="51" customFormat="1" ht="20" customHeight="1" x14ac:dyDescent="0.15">
      <c r="C42" s="702">
        <v>30</v>
      </c>
      <c r="D42" s="703"/>
      <c r="E42" s="700" t="s">
        <v>413</v>
      </c>
      <c r="F42" s="700"/>
      <c r="G42" s="700"/>
      <c r="H42" s="700"/>
      <c r="I42" s="700"/>
      <c r="J42" s="700"/>
      <c r="K42" s="700"/>
      <c r="L42" s="700"/>
      <c r="M42" s="700"/>
      <c r="N42" s="309"/>
      <c r="O42" s="309" t="s">
        <v>116</v>
      </c>
      <c r="P42" s="310" t="s">
        <v>117</v>
      </c>
      <c r="Q42" s="687"/>
      <c r="R42" s="687"/>
      <c r="S42" s="311" t="s">
        <v>143</v>
      </c>
      <c r="T42" s="309"/>
      <c r="U42" s="309"/>
      <c r="V42" s="309"/>
      <c r="W42" s="664">
        <f t="shared" si="0"/>
        <v>0</v>
      </c>
      <c r="X42" s="664"/>
      <c r="Y42" s="664"/>
      <c r="Z42" s="665"/>
      <c r="AB42" s="663">
        <v>0</v>
      </c>
      <c r="AC42" s="664"/>
      <c r="AD42" s="665"/>
      <c r="AF42" s="663">
        <f t="shared" si="1"/>
        <v>0</v>
      </c>
      <c r="AG42" s="664"/>
      <c r="AH42" s="665"/>
      <c r="AJ42" s="681">
        <v>10</v>
      </c>
      <c r="AK42" s="682"/>
      <c r="AL42" s="679">
        <f t="shared" si="8"/>
        <v>0</v>
      </c>
      <c r="AM42" s="680"/>
      <c r="AN42" s="679">
        <f t="shared" si="7"/>
        <v>0</v>
      </c>
      <c r="AO42" s="680"/>
      <c r="AP42" s="676"/>
      <c r="AQ42" s="461"/>
      <c r="AT42" s="696">
        <f t="shared" si="4"/>
        <v>0</v>
      </c>
      <c r="AU42" s="697"/>
      <c r="AV42" s="696">
        <f t="shared" si="5"/>
        <v>0</v>
      </c>
      <c r="AW42" s="697"/>
    </row>
    <row r="43" spans="3:49" s="51" customFormat="1" ht="20" customHeight="1" x14ac:dyDescent="0.15">
      <c r="C43" s="702">
        <v>31</v>
      </c>
      <c r="D43" s="703"/>
      <c r="E43" s="700" t="s">
        <v>345</v>
      </c>
      <c r="F43" s="700"/>
      <c r="G43" s="700"/>
      <c r="H43" s="700"/>
      <c r="I43" s="700"/>
      <c r="J43" s="700"/>
      <c r="K43" s="700"/>
      <c r="L43" s="700"/>
      <c r="M43" s="700"/>
      <c r="N43" s="309"/>
      <c r="O43" s="309" t="s">
        <v>116</v>
      </c>
      <c r="P43" s="310" t="s">
        <v>117</v>
      </c>
      <c r="Q43" s="687"/>
      <c r="R43" s="687"/>
      <c r="S43" s="311" t="s">
        <v>143</v>
      </c>
      <c r="T43" s="309"/>
      <c r="U43" s="309"/>
      <c r="V43" s="309"/>
      <c r="W43" s="664">
        <f t="shared" si="0"/>
        <v>0</v>
      </c>
      <c r="X43" s="664"/>
      <c r="Y43" s="664"/>
      <c r="Z43" s="665"/>
      <c r="AB43" s="663">
        <v>0</v>
      </c>
      <c r="AC43" s="664"/>
      <c r="AD43" s="665"/>
      <c r="AF43" s="663">
        <f t="shared" si="1"/>
        <v>0</v>
      </c>
      <c r="AG43" s="664"/>
      <c r="AH43" s="665"/>
      <c r="AJ43" s="681">
        <v>10</v>
      </c>
      <c r="AK43" s="682"/>
      <c r="AL43" s="679">
        <f t="shared" si="8"/>
        <v>0</v>
      </c>
      <c r="AM43" s="680"/>
      <c r="AN43" s="679">
        <f t="shared" si="7"/>
        <v>0</v>
      </c>
      <c r="AO43" s="680"/>
      <c r="AP43" s="676"/>
      <c r="AQ43" s="461"/>
      <c r="AT43" s="696">
        <f t="shared" si="4"/>
        <v>0</v>
      </c>
      <c r="AU43" s="697"/>
      <c r="AV43" s="696">
        <f t="shared" si="5"/>
        <v>0</v>
      </c>
      <c r="AW43" s="697"/>
    </row>
    <row r="44" spans="3:49" s="51" customFormat="1" ht="20" customHeight="1" x14ac:dyDescent="0.15">
      <c r="C44" s="702">
        <v>32</v>
      </c>
      <c r="D44" s="703"/>
      <c r="E44" s="700" t="s">
        <v>346</v>
      </c>
      <c r="F44" s="700"/>
      <c r="G44" s="700"/>
      <c r="H44" s="700"/>
      <c r="I44" s="700"/>
      <c r="J44" s="700"/>
      <c r="K44" s="700"/>
      <c r="L44" s="700"/>
      <c r="M44" s="700"/>
      <c r="N44" s="309"/>
      <c r="O44" s="309" t="s">
        <v>116</v>
      </c>
      <c r="P44" s="310" t="s">
        <v>117</v>
      </c>
      <c r="Q44" s="687"/>
      <c r="R44" s="687"/>
      <c r="S44" s="311" t="s">
        <v>143</v>
      </c>
      <c r="T44" s="309"/>
      <c r="U44" s="309"/>
      <c r="V44" s="309"/>
      <c r="W44" s="664">
        <f t="shared" si="0"/>
        <v>0</v>
      </c>
      <c r="X44" s="664"/>
      <c r="Y44" s="664"/>
      <c r="Z44" s="665"/>
      <c r="AB44" s="663">
        <v>0</v>
      </c>
      <c r="AC44" s="664"/>
      <c r="AD44" s="665"/>
      <c r="AF44" s="663">
        <f t="shared" si="1"/>
        <v>0</v>
      </c>
      <c r="AG44" s="664"/>
      <c r="AH44" s="665"/>
      <c r="AJ44" s="681">
        <v>10</v>
      </c>
      <c r="AK44" s="682"/>
      <c r="AL44" s="679">
        <f t="shared" si="8"/>
        <v>0</v>
      </c>
      <c r="AM44" s="680"/>
      <c r="AN44" s="679">
        <f t="shared" si="7"/>
        <v>0</v>
      </c>
      <c r="AO44" s="680"/>
      <c r="AP44" s="676"/>
      <c r="AQ44" s="461"/>
      <c r="AT44" s="696">
        <f t="shared" si="4"/>
        <v>0</v>
      </c>
      <c r="AU44" s="697"/>
      <c r="AV44" s="696">
        <f t="shared" si="5"/>
        <v>0</v>
      </c>
      <c r="AW44" s="697"/>
    </row>
    <row r="45" spans="3:49" s="51" customFormat="1" ht="20" customHeight="1" x14ac:dyDescent="0.15">
      <c r="C45" s="702">
        <v>33</v>
      </c>
      <c r="D45" s="703"/>
      <c r="E45" s="700" t="s">
        <v>347</v>
      </c>
      <c r="F45" s="700"/>
      <c r="G45" s="700"/>
      <c r="H45" s="700"/>
      <c r="I45" s="700"/>
      <c r="J45" s="700"/>
      <c r="K45" s="700"/>
      <c r="L45" s="700"/>
      <c r="M45" s="700"/>
      <c r="N45" s="309"/>
      <c r="O45" s="309" t="s">
        <v>116</v>
      </c>
      <c r="P45" s="310" t="s">
        <v>117</v>
      </c>
      <c r="Q45" s="687"/>
      <c r="R45" s="687"/>
      <c r="S45" s="311" t="s">
        <v>143</v>
      </c>
      <c r="T45" s="309"/>
      <c r="U45" s="309"/>
      <c r="V45" s="309"/>
      <c r="W45" s="664">
        <f t="shared" ref="W45:W62" si="9">IF(ISNUMBER(N45),(N45*Q45*IF(ISNUMBER(T45),T45,1)+(IFERROR(U45*(Q45/AJ45)*1.5,0))+(IFERROR(V45*(Q45/AJ45)*2,0))),0)</f>
        <v>0</v>
      </c>
      <c r="X45" s="664"/>
      <c r="Y45" s="664"/>
      <c r="Z45" s="665"/>
      <c r="AB45" s="663">
        <v>0</v>
      </c>
      <c r="AC45" s="664"/>
      <c r="AD45" s="665"/>
      <c r="AF45" s="663">
        <f t="shared" ref="AF45:AF62" si="10">AB45-W45</f>
        <v>0</v>
      </c>
      <c r="AG45" s="664"/>
      <c r="AH45" s="665"/>
      <c r="AJ45" s="681">
        <v>10</v>
      </c>
      <c r="AK45" s="682"/>
      <c r="AL45" s="679">
        <f t="shared" si="8"/>
        <v>0</v>
      </c>
      <c r="AM45" s="680"/>
      <c r="AN45" s="679">
        <f t="shared" si="7"/>
        <v>0</v>
      </c>
      <c r="AO45" s="680"/>
      <c r="AP45" s="676"/>
      <c r="AQ45" s="461"/>
      <c r="AT45" s="696">
        <f t="shared" ref="AT45:AT62" si="11">AL45*HourlyState_A</f>
        <v>0</v>
      </c>
      <c r="AU45" s="697"/>
      <c r="AV45" s="696">
        <f t="shared" ref="AV45:AV62" si="12">(AJ45-HourlyState_A)*AN45</f>
        <v>0</v>
      </c>
      <c r="AW45" s="697"/>
    </row>
    <row r="46" spans="3:49" s="51" customFormat="1" ht="20" customHeight="1" x14ac:dyDescent="0.15">
      <c r="C46" s="702">
        <v>34</v>
      </c>
      <c r="D46" s="703"/>
      <c r="E46" s="700" t="s">
        <v>348</v>
      </c>
      <c r="F46" s="700"/>
      <c r="G46" s="700"/>
      <c r="H46" s="700"/>
      <c r="I46" s="700"/>
      <c r="J46" s="700"/>
      <c r="K46" s="700"/>
      <c r="L46" s="700"/>
      <c r="M46" s="700"/>
      <c r="N46" s="309"/>
      <c r="O46" s="309" t="s">
        <v>116</v>
      </c>
      <c r="P46" s="310" t="s">
        <v>117</v>
      </c>
      <c r="Q46" s="687"/>
      <c r="R46" s="687"/>
      <c r="S46" s="311" t="s">
        <v>143</v>
      </c>
      <c r="T46" s="309"/>
      <c r="U46" s="309"/>
      <c r="V46" s="309"/>
      <c r="W46" s="664">
        <f t="shared" si="9"/>
        <v>0</v>
      </c>
      <c r="X46" s="664"/>
      <c r="Y46" s="664"/>
      <c r="Z46" s="665"/>
      <c r="AB46" s="663">
        <v>0</v>
      </c>
      <c r="AC46" s="664"/>
      <c r="AD46" s="665"/>
      <c r="AF46" s="663">
        <f t="shared" si="10"/>
        <v>0</v>
      </c>
      <c r="AG46" s="664"/>
      <c r="AH46" s="665"/>
      <c r="AJ46" s="681">
        <v>10</v>
      </c>
      <c r="AK46" s="682"/>
      <c r="AL46" s="679">
        <f t="shared" si="8"/>
        <v>0</v>
      </c>
      <c r="AM46" s="680"/>
      <c r="AN46" s="679">
        <f t="shared" si="7"/>
        <v>0</v>
      </c>
      <c r="AO46" s="680"/>
      <c r="AP46" s="676"/>
      <c r="AQ46" s="461"/>
      <c r="AT46" s="696">
        <f t="shared" si="11"/>
        <v>0</v>
      </c>
      <c r="AU46" s="697"/>
      <c r="AV46" s="696">
        <f t="shared" si="12"/>
        <v>0</v>
      </c>
      <c r="AW46" s="697"/>
    </row>
    <row r="47" spans="3:49" s="51" customFormat="1" ht="20" customHeight="1" x14ac:dyDescent="0.15">
      <c r="C47" s="702">
        <v>35</v>
      </c>
      <c r="D47" s="703"/>
      <c r="E47" s="700" t="s">
        <v>349</v>
      </c>
      <c r="F47" s="700"/>
      <c r="G47" s="700"/>
      <c r="H47" s="700"/>
      <c r="I47" s="700"/>
      <c r="J47" s="700"/>
      <c r="K47" s="700"/>
      <c r="L47" s="700"/>
      <c r="M47" s="700"/>
      <c r="N47" s="309"/>
      <c r="O47" s="309" t="s">
        <v>116</v>
      </c>
      <c r="P47" s="310" t="s">
        <v>117</v>
      </c>
      <c r="Q47" s="687"/>
      <c r="R47" s="687"/>
      <c r="S47" s="311" t="s">
        <v>143</v>
      </c>
      <c r="T47" s="309"/>
      <c r="U47" s="309"/>
      <c r="V47" s="309"/>
      <c r="W47" s="664">
        <f t="shared" si="9"/>
        <v>0</v>
      </c>
      <c r="X47" s="664"/>
      <c r="Y47" s="664"/>
      <c r="Z47" s="665"/>
      <c r="AB47" s="663">
        <v>0</v>
      </c>
      <c r="AC47" s="664"/>
      <c r="AD47" s="665"/>
      <c r="AF47" s="663">
        <f t="shared" si="10"/>
        <v>0</v>
      </c>
      <c r="AG47" s="664"/>
      <c r="AH47" s="665"/>
      <c r="AJ47" s="681">
        <v>10</v>
      </c>
      <c r="AK47" s="682"/>
      <c r="AL47" s="679">
        <f t="shared" si="8"/>
        <v>0</v>
      </c>
      <c r="AM47" s="680"/>
      <c r="AN47" s="679">
        <f t="shared" si="7"/>
        <v>0</v>
      </c>
      <c r="AO47" s="680"/>
      <c r="AP47" s="676"/>
      <c r="AQ47" s="461"/>
      <c r="AT47" s="696">
        <f t="shared" si="11"/>
        <v>0</v>
      </c>
      <c r="AU47" s="697"/>
      <c r="AV47" s="696">
        <f t="shared" si="12"/>
        <v>0</v>
      </c>
      <c r="AW47" s="697"/>
    </row>
    <row r="48" spans="3:49" s="51" customFormat="1" ht="20" customHeight="1" x14ac:dyDescent="0.15">
      <c r="C48" s="702">
        <v>36</v>
      </c>
      <c r="D48" s="703"/>
      <c r="E48" s="700" t="s">
        <v>7</v>
      </c>
      <c r="F48" s="700"/>
      <c r="G48" s="700"/>
      <c r="H48" s="700"/>
      <c r="I48" s="700"/>
      <c r="J48" s="700"/>
      <c r="K48" s="700"/>
      <c r="L48" s="700"/>
      <c r="M48" s="700"/>
      <c r="N48" s="309"/>
      <c r="O48" s="309" t="s">
        <v>116</v>
      </c>
      <c r="P48" s="310" t="s">
        <v>117</v>
      </c>
      <c r="Q48" s="687"/>
      <c r="R48" s="687"/>
      <c r="S48" s="311" t="s">
        <v>143</v>
      </c>
      <c r="T48" s="309"/>
      <c r="U48" s="309"/>
      <c r="V48" s="309"/>
      <c r="W48" s="664">
        <f t="shared" si="9"/>
        <v>0</v>
      </c>
      <c r="X48" s="664"/>
      <c r="Y48" s="664"/>
      <c r="Z48" s="665"/>
      <c r="AB48" s="663">
        <v>0</v>
      </c>
      <c r="AC48" s="664"/>
      <c r="AD48" s="665"/>
      <c r="AF48" s="663">
        <f t="shared" si="10"/>
        <v>0</v>
      </c>
      <c r="AG48" s="664"/>
      <c r="AH48" s="665"/>
      <c r="AJ48" s="681">
        <v>10</v>
      </c>
      <c r="AK48" s="682"/>
      <c r="AL48" s="679">
        <f t="shared" si="8"/>
        <v>0</v>
      </c>
      <c r="AM48" s="680"/>
      <c r="AN48" s="679">
        <f t="shared" si="7"/>
        <v>0</v>
      </c>
      <c r="AO48" s="680"/>
      <c r="AP48" s="676"/>
      <c r="AQ48" s="461"/>
      <c r="AT48" s="696">
        <f t="shared" si="11"/>
        <v>0</v>
      </c>
      <c r="AU48" s="697"/>
      <c r="AV48" s="696">
        <f t="shared" si="12"/>
        <v>0</v>
      </c>
      <c r="AW48" s="697"/>
    </row>
    <row r="49" spans="3:54" s="51" customFormat="1" ht="20" customHeight="1" x14ac:dyDescent="0.15">
      <c r="C49" s="702">
        <v>37</v>
      </c>
      <c r="D49" s="703"/>
      <c r="E49" s="700" t="s">
        <v>350</v>
      </c>
      <c r="F49" s="700"/>
      <c r="G49" s="700"/>
      <c r="H49" s="700"/>
      <c r="I49" s="700"/>
      <c r="J49" s="700"/>
      <c r="K49" s="700"/>
      <c r="L49" s="700"/>
      <c r="M49" s="700"/>
      <c r="N49" s="309"/>
      <c r="O49" s="309" t="s">
        <v>116</v>
      </c>
      <c r="P49" s="310" t="s">
        <v>117</v>
      </c>
      <c r="Q49" s="687"/>
      <c r="R49" s="687"/>
      <c r="S49" s="311" t="s">
        <v>143</v>
      </c>
      <c r="T49" s="309"/>
      <c r="U49" s="309"/>
      <c r="V49" s="309"/>
      <c r="W49" s="664">
        <f t="shared" si="9"/>
        <v>0</v>
      </c>
      <c r="X49" s="664"/>
      <c r="Y49" s="664"/>
      <c r="Z49" s="665"/>
      <c r="AB49" s="663">
        <v>0</v>
      </c>
      <c r="AC49" s="664"/>
      <c r="AD49" s="665"/>
      <c r="AF49" s="663">
        <f t="shared" si="10"/>
        <v>0</v>
      </c>
      <c r="AG49" s="664"/>
      <c r="AH49" s="665"/>
      <c r="AJ49" s="681">
        <v>10</v>
      </c>
      <c r="AK49" s="682"/>
      <c r="AL49" s="679">
        <f t="shared" si="8"/>
        <v>0</v>
      </c>
      <c r="AM49" s="680"/>
      <c r="AN49" s="679">
        <f t="shared" si="7"/>
        <v>0</v>
      </c>
      <c r="AO49" s="680"/>
      <c r="AP49" s="676"/>
      <c r="AQ49" s="461"/>
      <c r="AT49" s="696">
        <f t="shared" si="11"/>
        <v>0</v>
      </c>
      <c r="AU49" s="697"/>
      <c r="AV49" s="696">
        <f t="shared" si="12"/>
        <v>0</v>
      </c>
      <c r="AW49" s="697"/>
    </row>
    <row r="50" spans="3:54" s="51" customFormat="1" ht="20" customHeight="1" x14ac:dyDescent="0.15">
      <c r="C50" s="702">
        <v>38</v>
      </c>
      <c r="D50" s="703"/>
      <c r="E50" s="700" t="s">
        <v>820</v>
      </c>
      <c r="F50" s="700"/>
      <c r="G50" s="700"/>
      <c r="H50" s="700"/>
      <c r="I50" s="700"/>
      <c r="J50" s="700"/>
      <c r="K50" s="700"/>
      <c r="L50" s="700"/>
      <c r="M50" s="700"/>
      <c r="N50" s="309"/>
      <c r="O50" s="309" t="s">
        <v>116</v>
      </c>
      <c r="P50" s="310" t="s">
        <v>117</v>
      </c>
      <c r="Q50" s="687"/>
      <c r="R50" s="687"/>
      <c r="S50" s="311" t="s">
        <v>143</v>
      </c>
      <c r="T50" s="309"/>
      <c r="U50" s="309"/>
      <c r="V50" s="309"/>
      <c r="W50" s="664">
        <f t="shared" si="9"/>
        <v>0</v>
      </c>
      <c r="X50" s="664"/>
      <c r="Y50" s="664"/>
      <c r="Z50" s="665"/>
      <c r="AB50" s="663">
        <v>0</v>
      </c>
      <c r="AC50" s="664"/>
      <c r="AD50" s="665"/>
      <c r="AF50" s="663">
        <f t="shared" si="10"/>
        <v>0</v>
      </c>
      <c r="AG50" s="664"/>
      <c r="AH50" s="665"/>
      <c r="AJ50" s="681">
        <v>10</v>
      </c>
      <c r="AK50" s="682"/>
      <c r="AL50" s="679">
        <f t="shared" si="8"/>
        <v>0</v>
      </c>
      <c r="AM50" s="680"/>
      <c r="AN50" s="679">
        <f t="shared" si="7"/>
        <v>0</v>
      </c>
      <c r="AO50" s="680"/>
      <c r="AP50" s="676"/>
      <c r="AQ50" s="461"/>
      <c r="AT50" s="696">
        <f t="shared" si="11"/>
        <v>0</v>
      </c>
      <c r="AU50" s="697"/>
      <c r="AV50" s="696">
        <f t="shared" si="12"/>
        <v>0</v>
      </c>
      <c r="AW50" s="697"/>
    </row>
    <row r="51" spans="3:54" s="51" customFormat="1" ht="20" customHeight="1" x14ac:dyDescent="0.15">
      <c r="C51" s="702">
        <v>39</v>
      </c>
      <c r="D51" s="703"/>
      <c r="E51" s="700" t="s">
        <v>9</v>
      </c>
      <c r="F51" s="700"/>
      <c r="G51" s="700"/>
      <c r="H51" s="700"/>
      <c r="I51" s="700"/>
      <c r="J51" s="700"/>
      <c r="K51" s="700"/>
      <c r="L51" s="700"/>
      <c r="M51" s="700"/>
      <c r="N51" s="309"/>
      <c r="O51" s="309" t="s">
        <v>116</v>
      </c>
      <c r="P51" s="310" t="s">
        <v>117</v>
      </c>
      <c r="Q51" s="687"/>
      <c r="R51" s="687"/>
      <c r="S51" s="311" t="s">
        <v>143</v>
      </c>
      <c r="T51" s="309"/>
      <c r="U51" s="309"/>
      <c r="V51" s="309"/>
      <c r="W51" s="664">
        <f t="shared" si="9"/>
        <v>0</v>
      </c>
      <c r="X51" s="664"/>
      <c r="Y51" s="664"/>
      <c r="Z51" s="665"/>
      <c r="AB51" s="663">
        <v>0</v>
      </c>
      <c r="AC51" s="664"/>
      <c r="AD51" s="665"/>
      <c r="AF51" s="663">
        <f t="shared" si="10"/>
        <v>0</v>
      </c>
      <c r="AG51" s="664"/>
      <c r="AH51" s="665"/>
      <c r="AJ51" s="681">
        <v>10</v>
      </c>
      <c r="AK51" s="682"/>
      <c r="AL51" s="679">
        <f t="shared" si="8"/>
        <v>0</v>
      </c>
      <c r="AM51" s="680"/>
      <c r="AN51" s="679">
        <f t="shared" si="7"/>
        <v>0</v>
      </c>
      <c r="AO51" s="680"/>
      <c r="AP51" s="676"/>
      <c r="AQ51" s="461"/>
      <c r="AT51" s="696">
        <f t="shared" si="11"/>
        <v>0</v>
      </c>
      <c r="AU51" s="697"/>
      <c r="AV51" s="696">
        <f t="shared" si="12"/>
        <v>0</v>
      </c>
      <c r="AW51" s="697"/>
    </row>
    <row r="52" spans="3:54" s="51" customFormat="1" ht="20" customHeight="1" x14ac:dyDescent="0.15">
      <c r="C52" s="702">
        <v>40</v>
      </c>
      <c r="D52" s="703"/>
      <c r="E52" s="700" t="s">
        <v>10</v>
      </c>
      <c r="F52" s="700"/>
      <c r="G52" s="700"/>
      <c r="H52" s="700"/>
      <c r="I52" s="700"/>
      <c r="J52" s="700"/>
      <c r="K52" s="700"/>
      <c r="L52" s="700"/>
      <c r="M52" s="700"/>
      <c r="N52" s="309"/>
      <c r="O52" s="309" t="s">
        <v>116</v>
      </c>
      <c r="P52" s="310" t="s">
        <v>117</v>
      </c>
      <c r="Q52" s="687">
        <v>450</v>
      </c>
      <c r="R52" s="687"/>
      <c r="S52" s="311" t="s">
        <v>143</v>
      </c>
      <c r="T52" s="309"/>
      <c r="U52" s="309"/>
      <c r="V52" s="309"/>
      <c r="W52" s="664">
        <f t="shared" si="9"/>
        <v>0</v>
      </c>
      <c r="X52" s="664"/>
      <c r="Y52" s="664"/>
      <c r="Z52" s="665"/>
      <c r="AB52" s="663">
        <v>0</v>
      </c>
      <c r="AC52" s="664"/>
      <c r="AD52" s="665"/>
      <c r="AF52" s="663">
        <f t="shared" si="10"/>
        <v>0</v>
      </c>
      <c r="AG52" s="664"/>
      <c r="AH52" s="665"/>
      <c r="AJ52" s="681">
        <v>10</v>
      </c>
      <c r="AK52" s="682"/>
      <c r="AL52" s="679">
        <f t="shared" si="8"/>
        <v>40.909090909090907</v>
      </c>
      <c r="AM52" s="680"/>
      <c r="AN52" s="679">
        <f t="shared" si="7"/>
        <v>61.36363636363636</v>
      </c>
      <c r="AO52" s="680"/>
      <c r="AP52" s="676"/>
      <c r="AQ52" s="461"/>
      <c r="AT52" s="696">
        <f t="shared" si="11"/>
        <v>327.27272727272725</v>
      </c>
      <c r="AU52" s="697"/>
      <c r="AV52" s="696">
        <f t="shared" si="12"/>
        <v>122.72727272727272</v>
      </c>
      <c r="AW52" s="697"/>
    </row>
    <row r="53" spans="3:54" s="51" customFormat="1" ht="20" customHeight="1" x14ac:dyDescent="0.15">
      <c r="C53" s="702">
        <v>41</v>
      </c>
      <c r="D53" s="703"/>
      <c r="E53" s="700" t="s">
        <v>11</v>
      </c>
      <c r="F53" s="700"/>
      <c r="G53" s="700"/>
      <c r="H53" s="700"/>
      <c r="I53" s="700"/>
      <c r="J53" s="700"/>
      <c r="K53" s="700"/>
      <c r="L53" s="700"/>
      <c r="M53" s="700"/>
      <c r="N53" s="309"/>
      <c r="O53" s="309" t="s">
        <v>116</v>
      </c>
      <c r="P53" s="310" t="s">
        <v>117</v>
      </c>
      <c r="Q53" s="687"/>
      <c r="R53" s="687"/>
      <c r="S53" s="311" t="s">
        <v>143</v>
      </c>
      <c r="T53" s="309"/>
      <c r="U53" s="309"/>
      <c r="V53" s="309"/>
      <c r="W53" s="664">
        <f t="shared" si="9"/>
        <v>0</v>
      </c>
      <c r="X53" s="664"/>
      <c r="Y53" s="664"/>
      <c r="Z53" s="665"/>
      <c r="AB53" s="663">
        <v>0</v>
      </c>
      <c r="AC53" s="664"/>
      <c r="AD53" s="665"/>
      <c r="AF53" s="663">
        <f t="shared" si="10"/>
        <v>0</v>
      </c>
      <c r="AG53" s="664"/>
      <c r="AH53" s="665"/>
      <c r="AJ53" s="681">
        <v>10</v>
      </c>
      <c r="AK53" s="682"/>
      <c r="AL53" s="679">
        <f t="shared" si="8"/>
        <v>0</v>
      </c>
      <c r="AM53" s="680"/>
      <c r="AN53" s="679">
        <f t="shared" si="7"/>
        <v>0</v>
      </c>
      <c r="AO53" s="680"/>
      <c r="AP53" s="676"/>
      <c r="AQ53" s="461"/>
      <c r="AT53" s="696">
        <f t="shared" si="11"/>
        <v>0</v>
      </c>
      <c r="AU53" s="697"/>
      <c r="AV53" s="696">
        <f t="shared" si="12"/>
        <v>0</v>
      </c>
      <c r="AW53" s="697"/>
    </row>
    <row r="54" spans="3:54" s="51" customFormat="1" ht="20" customHeight="1" x14ac:dyDescent="0.15">
      <c r="C54" s="702">
        <v>42</v>
      </c>
      <c r="D54" s="703"/>
      <c r="E54" s="700" t="s">
        <v>423</v>
      </c>
      <c r="F54" s="700"/>
      <c r="G54" s="700"/>
      <c r="H54" s="700"/>
      <c r="I54" s="700"/>
      <c r="J54" s="700"/>
      <c r="K54" s="700"/>
      <c r="L54" s="700"/>
      <c r="M54" s="700"/>
      <c r="N54" s="309"/>
      <c r="O54" s="309" t="s">
        <v>116</v>
      </c>
      <c r="P54" s="310" t="s">
        <v>117</v>
      </c>
      <c r="Q54" s="687"/>
      <c r="R54" s="687"/>
      <c r="S54" s="311" t="s">
        <v>143</v>
      </c>
      <c r="T54" s="309"/>
      <c r="U54" s="309"/>
      <c r="V54" s="309"/>
      <c r="W54" s="664">
        <f t="shared" si="9"/>
        <v>0</v>
      </c>
      <c r="X54" s="664"/>
      <c r="Y54" s="664"/>
      <c r="Z54" s="665"/>
      <c r="AB54" s="663">
        <v>0</v>
      </c>
      <c r="AC54" s="664"/>
      <c r="AD54" s="665"/>
      <c r="AF54" s="663">
        <f t="shared" si="10"/>
        <v>0</v>
      </c>
      <c r="AG54" s="664"/>
      <c r="AH54" s="665"/>
      <c r="AJ54" s="681">
        <v>10</v>
      </c>
      <c r="AK54" s="682"/>
      <c r="AL54" s="679">
        <f t="shared" si="8"/>
        <v>0</v>
      </c>
      <c r="AM54" s="680"/>
      <c r="AN54" s="679">
        <f t="shared" si="7"/>
        <v>0</v>
      </c>
      <c r="AO54" s="680"/>
      <c r="AP54" s="676"/>
      <c r="AQ54" s="461"/>
      <c r="AT54" s="696">
        <f t="shared" si="11"/>
        <v>0</v>
      </c>
      <c r="AU54" s="697"/>
      <c r="AV54" s="696">
        <f t="shared" si="12"/>
        <v>0</v>
      </c>
      <c r="AW54" s="697"/>
    </row>
    <row r="55" spans="3:54" s="51" customFormat="1" ht="20" customHeight="1" x14ac:dyDescent="0.15">
      <c r="C55" s="702">
        <v>43</v>
      </c>
      <c r="D55" s="703"/>
      <c r="E55" s="700" t="s">
        <v>424</v>
      </c>
      <c r="F55" s="700"/>
      <c r="G55" s="700"/>
      <c r="H55" s="700"/>
      <c r="I55" s="700"/>
      <c r="J55" s="700"/>
      <c r="K55" s="700"/>
      <c r="L55" s="700"/>
      <c r="M55" s="700"/>
      <c r="N55" s="309"/>
      <c r="O55" s="309" t="s">
        <v>116</v>
      </c>
      <c r="P55" s="310" t="s">
        <v>117</v>
      </c>
      <c r="Q55" s="687"/>
      <c r="R55" s="687"/>
      <c r="S55" s="311" t="s">
        <v>143</v>
      </c>
      <c r="T55" s="309"/>
      <c r="U55" s="309"/>
      <c r="V55" s="309"/>
      <c r="W55" s="664">
        <f t="shared" si="9"/>
        <v>0</v>
      </c>
      <c r="X55" s="664"/>
      <c r="Y55" s="664"/>
      <c r="Z55" s="665"/>
      <c r="AB55" s="663">
        <v>0</v>
      </c>
      <c r="AC55" s="664"/>
      <c r="AD55" s="665"/>
      <c r="AF55" s="663">
        <f t="shared" si="10"/>
        <v>0</v>
      </c>
      <c r="AG55" s="664"/>
      <c r="AH55" s="665"/>
      <c r="AJ55" s="681">
        <v>10</v>
      </c>
      <c r="AK55" s="682"/>
      <c r="AL55" s="679">
        <f t="shared" si="8"/>
        <v>0</v>
      </c>
      <c r="AM55" s="680"/>
      <c r="AN55" s="679">
        <f t="shared" si="7"/>
        <v>0</v>
      </c>
      <c r="AO55" s="680"/>
      <c r="AP55" s="676"/>
      <c r="AQ55" s="461"/>
      <c r="AT55" s="696">
        <f t="shared" si="11"/>
        <v>0</v>
      </c>
      <c r="AU55" s="697"/>
      <c r="AV55" s="696">
        <f t="shared" si="12"/>
        <v>0</v>
      </c>
      <c r="AW55" s="697"/>
      <c r="BB55" s="51" t="s">
        <v>233</v>
      </c>
    </row>
    <row r="56" spans="3:54" s="51" customFormat="1" ht="20" customHeight="1" x14ac:dyDescent="0.15">
      <c r="C56" s="702">
        <v>44</v>
      </c>
      <c r="D56" s="703"/>
      <c r="E56" s="700" t="s">
        <v>351</v>
      </c>
      <c r="F56" s="700"/>
      <c r="G56" s="700"/>
      <c r="H56" s="700"/>
      <c r="I56" s="700"/>
      <c r="J56" s="700"/>
      <c r="K56" s="700"/>
      <c r="L56" s="700"/>
      <c r="M56" s="700"/>
      <c r="N56" s="309"/>
      <c r="O56" s="309" t="s">
        <v>116</v>
      </c>
      <c r="P56" s="310" t="s">
        <v>117</v>
      </c>
      <c r="Q56" s="687"/>
      <c r="R56" s="687"/>
      <c r="S56" s="311" t="s">
        <v>143</v>
      </c>
      <c r="T56" s="309"/>
      <c r="U56" s="309"/>
      <c r="V56" s="309"/>
      <c r="W56" s="664">
        <f t="shared" si="9"/>
        <v>0</v>
      </c>
      <c r="X56" s="664"/>
      <c r="Y56" s="664"/>
      <c r="Z56" s="665"/>
      <c r="AB56" s="663">
        <v>0</v>
      </c>
      <c r="AC56" s="664"/>
      <c r="AD56" s="665"/>
      <c r="AF56" s="663">
        <f t="shared" si="10"/>
        <v>0</v>
      </c>
      <c r="AG56" s="664"/>
      <c r="AH56" s="665"/>
      <c r="AJ56" s="681">
        <v>10</v>
      </c>
      <c r="AK56" s="682"/>
      <c r="AL56" s="679">
        <f t="shared" si="8"/>
        <v>0</v>
      </c>
      <c r="AM56" s="680"/>
      <c r="AN56" s="679">
        <f t="shared" si="7"/>
        <v>0</v>
      </c>
      <c r="AO56" s="680"/>
      <c r="AP56" s="676"/>
      <c r="AQ56" s="461"/>
      <c r="AT56" s="696">
        <f t="shared" si="11"/>
        <v>0</v>
      </c>
      <c r="AU56" s="697"/>
      <c r="AV56" s="696">
        <f t="shared" si="12"/>
        <v>0</v>
      </c>
      <c r="AW56" s="697"/>
    </row>
    <row r="57" spans="3:54" s="51" customFormat="1" ht="20" customHeight="1" x14ac:dyDescent="0.15">
      <c r="C57" s="702">
        <v>45</v>
      </c>
      <c r="D57" s="703"/>
      <c r="E57" s="700" t="s">
        <v>12</v>
      </c>
      <c r="F57" s="700"/>
      <c r="G57" s="700"/>
      <c r="H57" s="700"/>
      <c r="I57" s="700"/>
      <c r="J57" s="700"/>
      <c r="K57" s="700"/>
      <c r="L57" s="700"/>
      <c r="M57" s="700"/>
      <c r="N57" s="309"/>
      <c r="O57" s="309" t="s">
        <v>116</v>
      </c>
      <c r="P57" s="310" t="s">
        <v>117</v>
      </c>
      <c r="Q57" s="687"/>
      <c r="R57" s="687"/>
      <c r="S57" s="311" t="s">
        <v>143</v>
      </c>
      <c r="T57" s="309"/>
      <c r="U57" s="309"/>
      <c r="V57" s="309"/>
      <c r="W57" s="664">
        <f t="shared" si="9"/>
        <v>0</v>
      </c>
      <c r="X57" s="664"/>
      <c r="Y57" s="664"/>
      <c r="Z57" s="665"/>
      <c r="AB57" s="663">
        <v>0</v>
      </c>
      <c r="AC57" s="664"/>
      <c r="AD57" s="665"/>
      <c r="AF57" s="663">
        <f t="shared" si="10"/>
        <v>0</v>
      </c>
      <c r="AG57" s="664"/>
      <c r="AH57" s="665"/>
      <c r="AJ57" s="681">
        <v>10</v>
      </c>
      <c r="AK57" s="682"/>
      <c r="AL57" s="679">
        <f t="shared" si="8"/>
        <v>0</v>
      </c>
      <c r="AM57" s="680"/>
      <c r="AN57" s="679">
        <f t="shared" si="7"/>
        <v>0</v>
      </c>
      <c r="AO57" s="680"/>
      <c r="AP57" s="676"/>
      <c r="AQ57" s="461"/>
      <c r="AT57" s="696">
        <f t="shared" si="11"/>
        <v>0</v>
      </c>
      <c r="AU57" s="697"/>
      <c r="AV57" s="696">
        <f t="shared" si="12"/>
        <v>0</v>
      </c>
      <c r="AW57" s="697"/>
    </row>
    <row r="58" spans="3:54" s="51" customFormat="1" ht="20" customHeight="1" x14ac:dyDescent="0.15">
      <c r="C58" s="702">
        <v>46</v>
      </c>
      <c r="D58" s="703"/>
      <c r="E58" s="700" t="s">
        <v>425</v>
      </c>
      <c r="F58" s="700"/>
      <c r="G58" s="700"/>
      <c r="H58" s="700"/>
      <c r="I58" s="700"/>
      <c r="J58" s="700"/>
      <c r="K58" s="700"/>
      <c r="L58" s="700"/>
      <c r="M58" s="700"/>
      <c r="N58" s="309"/>
      <c r="O58" s="309" t="s">
        <v>116</v>
      </c>
      <c r="P58" s="310" t="s">
        <v>117</v>
      </c>
      <c r="Q58" s="687"/>
      <c r="R58" s="687"/>
      <c r="S58" s="311" t="s">
        <v>143</v>
      </c>
      <c r="T58" s="309"/>
      <c r="U58" s="309"/>
      <c r="V58" s="309"/>
      <c r="W58" s="664">
        <f t="shared" si="9"/>
        <v>0</v>
      </c>
      <c r="X58" s="664"/>
      <c r="Y58" s="664"/>
      <c r="Z58" s="665"/>
      <c r="AB58" s="663">
        <v>0</v>
      </c>
      <c r="AC58" s="664"/>
      <c r="AD58" s="665"/>
      <c r="AF58" s="663">
        <f t="shared" si="10"/>
        <v>0</v>
      </c>
      <c r="AG58" s="664"/>
      <c r="AH58" s="665"/>
      <c r="AJ58" s="681">
        <v>10</v>
      </c>
      <c r="AK58" s="682"/>
      <c r="AL58" s="679">
        <f t="shared" si="8"/>
        <v>0</v>
      </c>
      <c r="AM58" s="680"/>
      <c r="AN58" s="679">
        <f t="shared" si="7"/>
        <v>0</v>
      </c>
      <c r="AO58" s="680"/>
      <c r="AP58" s="676"/>
      <c r="AQ58" s="461"/>
      <c r="AT58" s="696">
        <f t="shared" si="11"/>
        <v>0</v>
      </c>
      <c r="AU58" s="697"/>
      <c r="AV58" s="696">
        <f t="shared" si="12"/>
        <v>0</v>
      </c>
      <c r="AW58" s="697"/>
    </row>
    <row r="59" spans="3:54" s="51" customFormat="1" ht="20" customHeight="1" x14ac:dyDescent="0.15">
      <c r="C59" s="702">
        <v>47</v>
      </c>
      <c r="D59" s="703"/>
      <c r="E59" s="701" t="s">
        <v>374</v>
      </c>
      <c r="F59" s="701"/>
      <c r="G59" s="701"/>
      <c r="H59" s="701"/>
      <c r="I59" s="701"/>
      <c r="J59" s="701"/>
      <c r="K59" s="701"/>
      <c r="L59" s="701"/>
      <c r="M59" s="701"/>
      <c r="N59" s="309"/>
      <c r="O59" s="309" t="s">
        <v>116</v>
      </c>
      <c r="P59" s="310" t="s">
        <v>117</v>
      </c>
      <c r="Q59" s="687"/>
      <c r="R59" s="687"/>
      <c r="S59" s="311" t="s">
        <v>143</v>
      </c>
      <c r="T59" s="309"/>
      <c r="U59" s="309"/>
      <c r="V59" s="309"/>
      <c r="W59" s="664">
        <f t="shared" si="9"/>
        <v>0</v>
      </c>
      <c r="X59" s="664"/>
      <c r="Y59" s="664"/>
      <c r="Z59" s="665"/>
      <c r="AB59" s="663">
        <v>0</v>
      </c>
      <c r="AC59" s="664"/>
      <c r="AD59" s="665"/>
      <c r="AF59" s="663">
        <f t="shared" si="10"/>
        <v>0</v>
      </c>
      <c r="AG59" s="664"/>
      <c r="AH59" s="665"/>
      <c r="AJ59" s="681">
        <v>10</v>
      </c>
      <c r="AK59" s="682"/>
      <c r="AL59" s="679">
        <f t="shared" si="8"/>
        <v>0</v>
      </c>
      <c r="AM59" s="680"/>
      <c r="AN59" s="679">
        <f t="shared" si="7"/>
        <v>0</v>
      </c>
      <c r="AO59" s="680"/>
      <c r="AP59" s="676"/>
      <c r="AQ59" s="461"/>
      <c r="AT59" s="696">
        <f t="shared" si="11"/>
        <v>0</v>
      </c>
      <c r="AU59" s="697"/>
      <c r="AV59" s="696">
        <f t="shared" si="12"/>
        <v>0</v>
      </c>
      <c r="AW59" s="697"/>
    </row>
    <row r="60" spans="3:54" s="51" customFormat="1" ht="20" customHeight="1" x14ac:dyDescent="0.15">
      <c r="C60" s="702">
        <v>48</v>
      </c>
      <c r="D60" s="703"/>
      <c r="E60" s="700" t="s">
        <v>818</v>
      </c>
      <c r="F60" s="700"/>
      <c r="G60" s="700"/>
      <c r="H60" s="700"/>
      <c r="I60" s="700"/>
      <c r="J60" s="700"/>
      <c r="K60" s="700"/>
      <c r="L60" s="700"/>
      <c r="M60" s="700"/>
      <c r="N60" s="309"/>
      <c r="O60" s="309" t="s">
        <v>116</v>
      </c>
      <c r="P60" s="310" t="s">
        <v>117</v>
      </c>
      <c r="Q60" s="687"/>
      <c r="R60" s="687"/>
      <c r="S60" s="311" t="s">
        <v>143</v>
      </c>
      <c r="T60" s="309"/>
      <c r="U60" s="309"/>
      <c r="V60" s="309"/>
      <c r="W60" s="664">
        <f t="shared" si="9"/>
        <v>0</v>
      </c>
      <c r="X60" s="664"/>
      <c r="Y60" s="664"/>
      <c r="Z60" s="665"/>
      <c r="AB60" s="663">
        <v>0</v>
      </c>
      <c r="AC60" s="664"/>
      <c r="AD60" s="665"/>
      <c r="AF60" s="663">
        <f t="shared" si="10"/>
        <v>0</v>
      </c>
      <c r="AG60" s="664"/>
      <c r="AH60" s="665"/>
      <c r="AJ60" s="681">
        <v>10</v>
      </c>
      <c r="AK60" s="682"/>
      <c r="AL60" s="679">
        <f t="shared" si="8"/>
        <v>0</v>
      </c>
      <c r="AM60" s="680"/>
      <c r="AN60" s="679">
        <f t="shared" si="7"/>
        <v>0</v>
      </c>
      <c r="AO60" s="680"/>
      <c r="AP60" s="676"/>
      <c r="AQ60" s="461"/>
      <c r="AT60" s="696">
        <f t="shared" si="11"/>
        <v>0</v>
      </c>
      <c r="AU60" s="697"/>
      <c r="AV60" s="696">
        <f t="shared" si="12"/>
        <v>0</v>
      </c>
      <c r="AW60" s="697"/>
    </row>
    <row r="61" spans="3:54" s="51" customFormat="1" ht="20" customHeight="1" x14ac:dyDescent="0.15">
      <c r="C61" s="702">
        <v>49</v>
      </c>
      <c r="D61" s="703"/>
      <c r="E61" s="700" t="s">
        <v>352</v>
      </c>
      <c r="F61" s="700"/>
      <c r="G61" s="700"/>
      <c r="H61" s="700"/>
      <c r="I61" s="700"/>
      <c r="J61" s="700"/>
      <c r="K61" s="700"/>
      <c r="L61" s="700"/>
      <c r="M61" s="700"/>
      <c r="N61" s="309"/>
      <c r="O61" s="309" t="s">
        <v>116</v>
      </c>
      <c r="P61" s="310" t="s">
        <v>117</v>
      </c>
      <c r="Q61" s="687"/>
      <c r="R61" s="687"/>
      <c r="S61" s="311" t="s">
        <v>143</v>
      </c>
      <c r="T61" s="309"/>
      <c r="U61" s="309"/>
      <c r="V61" s="309"/>
      <c r="W61" s="664">
        <f t="shared" si="9"/>
        <v>0</v>
      </c>
      <c r="X61" s="664"/>
      <c r="Y61" s="664"/>
      <c r="Z61" s="665"/>
      <c r="AB61" s="663">
        <v>0</v>
      </c>
      <c r="AC61" s="664"/>
      <c r="AD61" s="665"/>
      <c r="AF61" s="663">
        <f t="shared" si="10"/>
        <v>0</v>
      </c>
      <c r="AG61" s="664"/>
      <c r="AH61" s="665"/>
      <c r="AJ61" s="681">
        <v>10</v>
      </c>
      <c r="AK61" s="682"/>
      <c r="AL61" s="679">
        <f t="shared" si="8"/>
        <v>0</v>
      </c>
      <c r="AM61" s="680"/>
      <c r="AN61" s="679">
        <f t="shared" si="7"/>
        <v>0</v>
      </c>
      <c r="AO61" s="680"/>
      <c r="AP61" s="676"/>
      <c r="AQ61" s="461"/>
      <c r="AT61" s="696">
        <f t="shared" si="11"/>
        <v>0</v>
      </c>
      <c r="AU61" s="697"/>
      <c r="AV61" s="696">
        <f t="shared" si="12"/>
        <v>0</v>
      </c>
      <c r="AW61" s="697"/>
    </row>
    <row r="62" spans="3:54" s="51" customFormat="1" ht="20" customHeight="1" x14ac:dyDescent="0.15">
      <c r="C62" s="702">
        <v>50</v>
      </c>
      <c r="D62" s="703"/>
      <c r="E62" s="700" t="s">
        <v>352</v>
      </c>
      <c r="F62" s="700"/>
      <c r="G62" s="700"/>
      <c r="H62" s="700"/>
      <c r="I62" s="700"/>
      <c r="J62" s="700"/>
      <c r="K62" s="700"/>
      <c r="L62" s="700"/>
      <c r="M62" s="700"/>
      <c r="N62" s="309"/>
      <c r="O62" s="309" t="s">
        <v>116</v>
      </c>
      <c r="P62" s="310" t="s">
        <v>117</v>
      </c>
      <c r="Q62" s="687"/>
      <c r="R62" s="687"/>
      <c r="S62" s="311" t="s">
        <v>143</v>
      </c>
      <c r="T62" s="309"/>
      <c r="U62" s="309"/>
      <c r="V62" s="309"/>
      <c r="W62" s="664">
        <f t="shared" si="9"/>
        <v>0</v>
      </c>
      <c r="X62" s="664"/>
      <c r="Y62" s="664"/>
      <c r="Z62" s="665"/>
      <c r="AB62" s="663">
        <v>0</v>
      </c>
      <c r="AC62" s="664"/>
      <c r="AD62" s="665"/>
      <c r="AF62" s="663">
        <f t="shared" si="10"/>
        <v>0</v>
      </c>
      <c r="AG62" s="664"/>
      <c r="AH62" s="665"/>
      <c r="AJ62" s="681">
        <v>10</v>
      </c>
      <c r="AK62" s="682"/>
      <c r="AL62" s="679">
        <f t="shared" si="8"/>
        <v>0</v>
      </c>
      <c r="AM62" s="680"/>
      <c r="AN62" s="679">
        <f t="shared" si="7"/>
        <v>0</v>
      </c>
      <c r="AO62" s="680"/>
      <c r="AP62" s="676"/>
      <c r="AQ62" s="461"/>
      <c r="AT62" s="696">
        <f t="shared" si="11"/>
        <v>0</v>
      </c>
      <c r="AU62" s="697"/>
      <c r="AV62" s="696">
        <f t="shared" si="12"/>
        <v>0</v>
      </c>
      <c r="AW62" s="697"/>
    </row>
    <row r="63" spans="3:54" s="322" customFormat="1" ht="20" customHeight="1" x14ac:dyDescent="0.2">
      <c r="C63" s="384"/>
      <c r="O63" s="654" t="s">
        <v>118</v>
      </c>
      <c r="P63" s="654"/>
      <c r="Q63" s="654"/>
      <c r="R63" s="654"/>
      <c r="S63" s="654"/>
      <c r="T63" s="654"/>
      <c r="U63" s="654"/>
      <c r="V63" s="655"/>
      <c r="W63" s="658">
        <f>SUM(W13:Z62)</f>
        <v>0</v>
      </c>
      <c r="X63" s="659"/>
      <c r="Y63" s="659"/>
      <c r="Z63" s="660"/>
      <c r="AB63" s="658">
        <f>SUM(AB13:AD62)</f>
        <v>0</v>
      </c>
      <c r="AC63" s="659"/>
      <c r="AD63" s="660"/>
      <c r="AF63" s="658">
        <f>AB63-SubTotal_A</f>
        <v>0</v>
      </c>
      <c r="AG63" s="659"/>
      <c r="AH63" s="660"/>
      <c r="AJ63" s="385"/>
      <c r="AK63" s="385"/>
      <c r="AM63" s="386"/>
      <c r="AN63" s="386"/>
      <c r="AO63" s="386"/>
      <c r="AU63" s="386"/>
      <c r="AV63" s="386"/>
      <c r="AW63" s="386"/>
    </row>
    <row r="64" spans="3:54" s="322" customFormat="1" ht="20" customHeight="1" x14ac:dyDescent="0.2">
      <c r="C64" s="384"/>
      <c r="O64" s="656" t="s">
        <v>89</v>
      </c>
      <c r="P64" s="656"/>
      <c r="Q64" s="656"/>
      <c r="R64" s="656"/>
      <c r="S64" s="656"/>
      <c r="T64" s="656"/>
      <c r="U64" s="656"/>
      <c r="V64" s="657"/>
      <c r="W64" s="658">
        <f>IFERROR(FringeRate_A*SubTotal_A,0)</f>
        <v>0</v>
      </c>
      <c r="X64" s="659"/>
      <c r="Y64" s="659"/>
      <c r="Z64" s="660"/>
      <c r="AB64" s="658">
        <v>0</v>
      </c>
      <c r="AC64" s="659"/>
      <c r="AD64" s="660"/>
      <c r="AF64" s="658">
        <f>AB64-SubTotal_A</f>
        <v>0</v>
      </c>
      <c r="AG64" s="659"/>
      <c r="AH64" s="660"/>
      <c r="AS64" s="387"/>
    </row>
    <row r="65" spans="3:49" s="322" customFormat="1" ht="20" customHeight="1" x14ac:dyDescent="0.2">
      <c r="C65" s="384"/>
      <c r="O65" s="656" t="s">
        <v>119</v>
      </c>
      <c r="P65" s="656"/>
      <c r="Q65" s="656"/>
      <c r="R65" s="656"/>
      <c r="S65" s="656"/>
      <c r="T65" s="656"/>
      <c r="U65" s="656"/>
      <c r="V65" s="657"/>
      <c r="W65" s="658">
        <f>W64+W63</f>
        <v>0</v>
      </c>
      <c r="X65" s="659"/>
      <c r="Y65" s="659"/>
      <c r="Z65" s="660"/>
      <c r="AB65" s="658">
        <f>SUM(AB63:AD64)</f>
        <v>0</v>
      </c>
      <c r="AC65" s="659"/>
      <c r="AD65" s="660"/>
      <c r="AF65" s="658">
        <f>AB65-SubTotal_A</f>
        <v>0</v>
      </c>
      <c r="AG65" s="659"/>
      <c r="AH65" s="660"/>
    </row>
    <row r="66" spans="3:49" s="111" customFormat="1" ht="16.25" customHeight="1" x14ac:dyDescent="0.2">
      <c r="C66" s="202"/>
      <c r="Q66" s="203"/>
      <c r="R66" s="203"/>
      <c r="X66" s="199"/>
      <c r="Y66" s="199"/>
      <c r="Z66" s="199"/>
      <c r="AJ66" s="201"/>
      <c r="AK66" s="201"/>
      <c r="AM66" s="199"/>
      <c r="AN66" s="199"/>
      <c r="AO66" s="199"/>
      <c r="AU66" s="199"/>
      <c r="AV66" s="199"/>
      <c r="AW66" s="199"/>
    </row>
    <row r="67" spans="3:49" ht="16.25" customHeight="1" x14ac:dyDescent="0.2"/>
    <row r="70" spans="3:49" x14ac:dyDescent="0.2">
      <c r="F70" s="81"/>
    </row>
    <row r="71" spans="3:49" x14ac:dyDescent="0.2">
      <c r="F71" s="81"/>
    </row>
    <row r="72" spans="3:49" x14ac:dyDescent="0.2">
      <c r="F72" s="81"/>
    </row>
    <row r="73" spans="3:49" x14ac:dyDescent="0.2">
      <c r="F73" s="81"/>
    </row>
  </sheetData>
  <sheetProtection selectLockedCells="1"/>
  <mergeCells count="636">
    <mergeCell ref="AT61:AU61"/>
    <mergeCell ref="AV61:AW61"/>
    <mergeCell ref="AT62:AU62"/>
    <mergeCell ref="AV62:AW62"/>
    <mergeCell ref="AT56:AU56"/>
    <mergeCell ref="AV56:AW56"/>
    <mergeCell ref="AT57:AU57"/>
    <mergeCell ref="AV57:AW57"/>
    <mergeCell ref="AT58:AU58"/>
    <mergeCell ref="AV58:AW58"/>
    <mergeCell ref="AT59:AU59"/>
    <mergeCell ref="AV59:AW59"/>
    <mergeCell ref="AT60:AU60"/>
    <mergeCell ref="AV60:AW60"/>
    <mergeCell ref="AT51:AU51"/>
    <mergeCell ref="AV51:AW51"/>
    <mergeCell ref="AT52:AU52"/>
    <mergeCell ref="AV52:AW52"/>
    <mergeCell ref="AT53:AU53"/>
    <mergeCell ref="AV53:AW53"/>
    <mergeCell ref="AT54:AU54"/>
    <mergeCell ref="AV54:AW54"/>
    <mergeCell ref="AT55:AU55"/>
    <mergeCell ref="AV55:AW55"/>
    <mergeCell ref="AT46:AU46"/>
    <mergeCell ref="AV46:AW46"/>
    <mergeCell ref="AT47:AU47"/>
    <mergeCell ref="AV47:AW47"/>
    <mergeCell ref="AT48:AU48"/>
    <mergeCell ref="AV48:AW48"/>
    <mergeCell ref="AT49:AU49"/>
    <mergeCell ref="AV49:AW49"/>
    <mergeCell ref="AT50:AU50"/>
    <mergeCell ref="AV50:AW50"/>
    <mergeCell ref="AT41:AU41"/>
    <mergeCell ref="AV41:AW41"/>
    <mergeCell ref="AT42:AU42"/>
    <mergeCell ref="AV42:AW42"/>
    <mergeCell ref="AT43:AU43"/>
    <mergeCell ref="AV43:AW43"/>
    <mergeCell ref="AT44:AU44"/>
    <mergeCell ref="AV44:AW44"/>
    <mergeCell ref="AT45:AU45"/>
    <mergeCell ref="AV45:AW45"/>
    <mergeCell ref="AT36:AU36"/>
    <mergeCell ref="AV36:AW36"/>
    <mergeCell ref="AT37:AU37"/>
    <mergeCell ref="AV37:AW37"/>
    <mergeCell ref="AT38:AU38"/>
    <mergeCell ref="AV38:AW38"/>
    <mergeCell ref="AT39:AU39"/>
    <mergeCell ref="AV39:AW39"/>
    <mergeCell ref="AT40:AU40"/>
    <mergeCell ref="AV40:AW40"/>
    <mergeCell ref="AT31:AU31"/>
    <mergeCell ref="AV31:AW31"/>
    <mergeCell ref="AT32:AU32"/>
    <mergeCell ref="AV32:AW32"/>
    <mergeCell ref="AT33:AU33"/>
    <mergeCell ref="AV33:AW33"/>
    <mergeCell ref="AT34:AU34"/>
    <mergeCell ref="AV34:AW34"/>
    <mergeCell ref="AT35:AU35"/>
    <mergeCell ref="AV35:AW35"/>
    <mergeCell ref="AT26:AU26"/>
    <mergeCell ref="AV26:AW26"/>
    <mergeCell ref="AT27:AU27"/>
    <mergeCell ref="AV27:AW27"/>
    <mergeCell ref="AT28:AU28"/>
    <mergeCell ref="AV28:AW28"/>
    <mergeCell ref="AT29:AU29"/>
    <mergeCell ref="AV29:AW29"/>
    <mergeCell ref="AT30:AU30"/>
    <mergeCell ref="AV30:AW30"/>
    <mergeCell ref="AT21:AU21"/>
    <mergeCell ref="AV21:AW21"/>
    <mergeCell ref="AT22:AU22"/>
    <mergeCell ref="AV22:AW22"/>
    <mergeCell ref="AT23:AU23"/>
    <mergeCell ref="AV23:AW23"/>
    <mergeCell ref="AT24:AU24"/>
    <mergeCell ref="AV24:AW24"/>
    <mergeCell ref="AT25:AU25"/>
    <mergeCell ref="AV25:AW25"/>
    <mergeCell ref="AT16:AU16"/>
    <mergeCell ref="AV16:AW16"/>
    <mergeCell ref="AT17:AU17"/>
    <mergeCell ref="AV17:AW17"/>
    <mergeCell ref="AT18:AU18"/>
    <mergeCell ref="AV18:AW18"/>
    <mergeCell ref="AT19:AU19"/>
    <mergeCell ref="AV19:AW19"/>
    <mergeCell ref="AT20:AU20"/>
    <mergeCell ref="AV20:AW20"/>
    <mergeCell ref="AF64:AH64"/>
    <mergeCell ref="AF31:AH31"/>
    <mergeCell ref="AF23:AH23"/>
    <mergeCell ref="AF24:AH24"/>
    <mergeCell ref="AF20:AH20"/>
    <mergeCell ref="AF21:AH21"/>
    <mergeCell ref="AF30:AH30"/>
    <mergeCell ref="W31:Z31"/>
    <mergeCell ref="W32:Z32"/>
    <mergeCell ref="W33:Z33"/>
    <mergeCell ref="W34:Z34"/>
    <mergeCell ref="W35:Z35"/>
    <mergeCell ref="W36:Z36"/>
    <mergeCell ref="W37:Z37"/>
    <mergeCell ref="W38:Z38"/>
    <mergeCell ref="W39:Z39"/>
    <mergeCell ref="W40:Z40"/>
    <mergeCell ref="W41:Z41"/>
    <mergeCell ref="W42:Z42"/>
    <mergeCell ref="W43:Z43"/>
    <mergeCell ref="W44:Z44"/>
    <mergeCell ref="AF59:AH59"/>
    <mergeCell ref="AF60:AH60"/>
    <mergeCell ref="AF61:AH61"/>
    <mergeCell ref="AF62:AH62"/>
    <mergeCell ref="AF63:AH63"/>
    <mergeCell ref="Q19:R19"/>
    <mergeCell ref="W16:Z16"/>
    <mergeCell ref="W17:Z17"/>
    <mergeCell ref="W18:Z18"/>
    <mergeCell ref="W19:Z19"/>
    <mergeCell ref="W20:Z20"/>
    <mergeCell ref="W21:Z21"/>
    <mergeCell ref="W22:Z22"/>
    <mergeCell ref="W23:Z23"/>
    <mergeCell ref="W24:Z24"/>
    <mergeCell ref="W25:Z25"/>
    <mergeCell ref="W26:Z26"/>
    <mergeCell ref="W27:Z27"/>
    <mergeCell ref="W28:Z28"/>
    <mergeCell ref="W29:Z29"/>
    <mergeCell ref="W30:Z30"/>
    <mergeCell ref="W55:Z55"/>
    <mergeCell ref="W56:Z56"/>
    <mergeCell ref="W57:Z57"/>
    <mergeCell ref="W58:Z58"/>
    <mergeCell ref="W59:Z59"/>
    <mergeCell ref="W60:Z60"/>
    <mergeCell ref="AF65:AH65"/>
    <mergeCell ref="AF11:AH12"/>
    <mergeCell ref="AF50:AH50"/>
    <mergeCell ref="AF51:AH51"/>
    <mergeCell ref="AF52:AH52"/>
    <mergeCell ref="AF53:AH53"/>
    <mergeCell ref="AF54:AH54"/>
    <mergeCell ref="AF55:AH55"/>
    <mergeCell ref="AF56:AH56"/>
    <mergeCell ref="AF57:AH57"/>
    <mergeCell ref="AF58:AH58"/>
    <mergeCell ref="AF13:AH13"/>
    <mergeCell ref="AF14:AH14"/>
    <mergeCell ref="AF15:AH15"/>
    <mergeCell ref="AF16:AH16"/>
    <mergeCell ref="AF17:AH17"/>
    <mergeCell ref="AF18:AH18"/>
    <mergeCell ref="AF19:AH19"/>
    <mergeCell ref="AF25:AH25"/>
    <mergeCell ref="AF26:AH26"/>
    <mergeCell ref="AF27:AH27"/>
    <mergeCell ref="AF28:AH28"/>
    <mergeCell ref="AF29:AH29"/>
    <mergeCell ref="AF49:AH49"/>
    <mergeCell ref="AF40:AH40"/>
    <mergeCell ref="AF41:AH41"/>
    <mergeCell ref="AF42:AH42"/>
    <mergeCell ref="AF43:AH43"/>
    <mergeCell ref="AF44:AH44"/>
    <mergeCell ref="AF45:AH45"/>
    <mergeCell ref="AF46:AH46"/>
    <mergeCell ref="AF47:AH47"/>
    <mergeCell ref="AF48:AH48"/>
    <mergeCell ref="AF32:AH32"/>
    <mergeCell ref="AF33:AH33"/>
    <mergeCell ref="AF34:AH34"/>
    <mergeCell ref="AF35:AH35"/>
    <mergeCell ref="AF36:AH36"/>
    <mergeCell ref="AF37:AH37"/>
    <mergeCell ref="AF38:AH38"/>
    <mergeCell ref="AF39:AH39"/>
    <mergeCell ref="AP38:AQ38"/>
    <mergeCell ref="AP39:AQ39"/>
    <mergeCell ref="AP32:AQ32"/>
    <mergeCell ref="AL38:AM38"/>
    <mergeCell ref="AP36:AQ36"/>
    <mergeCell ref="AP37:AQ37"/>
    <mergeCell ref="AJ33:AK33"/>
    <mergeCell ref="AJ34:AK34"/>
    <mergeCell ref="AJ38:AK38"/>
    <mergeCell ref="AJ39:AK39"/>
    <mergeCell ref="AL34:AM34"/>
    <mergeCell ref="AL35:AM35"/>
    <mergeCell ref="AP33:AQ33"/>
    <mergeCell ref="AJ37:AK37"/>
    <mergeCell ref="AL39:AM39"/>
    <mergeCell ref="AJ62:AK62"/>
    <mergeCell ref="AL62:AM62"/>
    <mergeCell ref="AL61:AM61"/>
    <mergeCell ref="AL57:AM57"/>
    <mergeCell ref="AL58:AM58"/>
    <mergeCell ref="AL59:AM59"/>
    <mergeCell ref="AL60:AM60"/>
    <mergeCell ref="AP55:AQ55"/>
    <mergeCell ref="AP56:AQ56"/>
    <mergeCell ref="AP60:AQ60"/>
    <mergeCell ref="AP61:AQ61"/>
    <mergeCell ref="AP62:AQ62"/>
    <mergeCell ref="AN62:AO62"/>
    <mergeCell ref="AN57:AO57"/>
    <mergeCell ref="AN58:AO58"/>
    <mergeCell ref="AN59:AO59"/>
    <mergeCell ref="AN60:AO60"/>
    <mergeCell ref="AN61:AO61"/>
    <mergeCell ref="AJ56:AK56"/>
    <mergeCell ref="AL56:AM56"/>
    <mergeCell ref="AJ60:AK60"/>
    <mergeCell ref="AN55:AO55"/>
    <mergeCell ref="AP59:AQ59"/>
    <mergeCell ref="AP57:AQ57"/>
    <mergeCell ref="AP58:AQ58"/>
    <mergeCell ref="AP40:AQ40"/>
    <mergeCell ref="AN48:AO48"/>
    <mergeCell ref="AN53:AO53"/>
    <mergeCell ref="AN34:AO34"/>
    <mergeCell ref="AP41:AQ41"/>
    <mergeCell ref="AP42:AQ42"/>
    <mergeCell ref="AP43:AQ43"/>
    <mergeCell ref="AN56:AO56"/>
    <mergeCell ref="AN37:AO37"/>
    <mergeCell ref="AN38:AO38"/>
    <mergeCell ref="AN40:AO40"/>
    <mergeCell ref="AN39:AO39"/>
    <mergeCell ref="AN41:AO41"/>
    <mergeCell ref="AN42:AO42"/>
    <mergeCell ref="AN35:AO35"/>
    <mergeCell ref="AN36:AO36"/>
    <mergeCell ref="AN54:AO54"/>
    <mergeCell ref="AP44:AQ44"/>
    <mergeCell ref="AP45:AQ45"/>
    <mergeCell ref="AN46:AO46"/>
    <mergeCell ref="AN47:AO47"/>
    <mergeCell ref="AN45:AO45"/>
    <mergeCell ref="AP53:AQ53"/>
    <mergeCell ref="AP54:AQ54"/>
    <mergeCell ref="AP46:AQ46"/>
    <mergeCell ref="AP47:AQ47"/>
    <mergeCell ref="AP48:AQ48"/>
    <mergeCell ref="AP49:AQ49"/>
    <mergeCell ref="AP50:AQ50"/>
    <mergeCell ref="AP51:AQ51"/>
    <mergeCell ref="AP52:AQ52"/>
    <mergeCell ref="AJ40:AK40"/>
    <mergeCell ref="AL40:AM40"/>
    <mergeCell ref="AJ53:AK53"/>
    <mergeCell ref="AJ54:AK54"/>
    <mergeCell ref="AJ47:AK47"/>
    <mergeCell ref="AL46:AM46"/>
    <mergeCell ref="AL47:AM47"/>
    <mergeCell ref="AJ45:AK45"/>
    <mergeCell ref="AJ46:AK46"/>
    <mergeCell ref="AN43:AO43"/>
    <mergeCell ref="AN44:AO44"/>
    <mergeCell ref="AJ43:AK43"/>
    <mergeCell ref="AJ44:AK44"/>
    <mergeCell ref="AN49:AO49"/>
    <mergeCell ref="AN50:AO50"/>
    <mergeCell ref="AN51:AO51"/>
    <mergeCell ref="AL31:AM31"/>
    <mergeCell ref="AL32:AM32"/>
    <mergeCell ref="AL33:AM33"/>
    <mergeCell ref="AJ30:AK30"/>
    <mergeCell ref="AJ31:AK31"/>
    <mergeCell ref="AJ32:AK32"/>
    <mergeCell ref="AL30:AM30"/>
    <mergeCell ref="AL37:AM37"/>
    <mergeCell ref="AN31:AO31"/>
    <mergeCell ref="AN32:AO32"/>
    <mergeCell ref="AL36:AM36"/>
    <mergeCell ref="AP28:AQ28"/>
    <mergeCell ref="AP29:AQ29"/>
    <mergeCell ref="AP30:AQ30"/>
    <mergeCell ref="AP31:AQ31"/>
    <mergeCell ref="AN33:AO33"/>
    <mergeCell ref="AN22:AO22"/>
    <mergeCell ref="AN23:AO23"/>
    <mergeCell ref="AN24:AO24"/>
    <mergeCell ref="AN25:AO25"/>
    <mergeCell ref="AN26:AO26"/>
    <mergeCell ref="AN28:AO28"/>
    <mergeCell ref="AN29:AO29"/>
    <mergeCell ref="AP22:AQ22"/>
    <mergeCell ref="AP23:AQ23"/>
    <mergeCell ref="AP24:AQ24"/>
    <mergeCell ref="AP25:AQ25"/>
    <mergeCell ref="AP26:AQ26"/>
    <mergeCell ref="AN30:AO30"/>
    <mergeCell ref="AJ48:AK48"/>
    <mergeCell ref="AJ49:AK49"/>
    <mergeCell ref="AJ50:AK50"/>
    <mergeCell ref="AJ51:AK51"/>
    <mergeCell ref="AL53:AM53"/>
    <mergeCell ref="AL54:AM54"/>
    <mergeCell ref="AL55:AM55"/>
    <mergeCell ref="AL48:AM48"/>
    <mergeCell ref="AL49:AM49"/>
    <mergeCell ref="AL50:AM50"/>
    <mergeCell ref="AL51:AM51"/>
    <mergeCell ref="AL52:AM52"/>
    <mergeCell ref="AJ52:AK52"/>
    <mergeCell ref="AN52:AO52"/>
    <mergeCell ref="AL44:AM44"/>
    <mergeCell ref="AL45:AM45"/>
    <mergeCell ref="AL29:AM29"/>
    <mergeCell ref="AL27:AM27"/>
    <mergeCell ref="AJ26:AK26"/>
    <mergeCell ref="AJ18:AK18"/>
    <mergeCell ref="AJ35:AK35"/>
    <mergeCell ref="AJ36:AK36"/>
    <mergeCell ref="AL24:AM24"/>
    <mergeCell ref="AL25:AM25"/>
    <mergeCell ref="AL26:AM26"/>
    <mergeCell ref="AL19:AM19"/>
    <mergeCell ref="AL20:AM20"/>
    <mergeCell ref="AL21:AM21"/>
    <mergeCell ref="AL22:AM22"/>
    <mergeCell ref="AL23:AM23"/>
    <mergeCell ref="AL28:AM28"/>
    <mergeCell ref="AJ23:AK23"/>
    <mergeCell ref="AJ24:AK24"/>
    <mergeCell ref="AJ25:AK25"/>
    <mergeCell ref="AJ28:AK28"/>
    <mergeCell ref="AJ29:AK29"/>
    <mergeCell ref="AJ22:AK22"/>
    <mergeCell ref="AJ59:AK59"/>
    <mergeCell ref="C61:D61"/>
    <mergeCell ref="Q61:R61"/>
    <mergeCell ref="C57:D57"/>
    <mergeCell ref="Q57:R57"/>
    <mergeCell ref="C58:D58"/>
    <mergeCell ref="Q58:R58"/>
    <mergeCell ref="C55:D55"/>
    <mergeCell ref="Q55:R55"/>
    <mergeCell ref="C56:D56"/>
    <mergeCell ref="Q56:R56"/>
    <mergeCell ref="E58:M58"/>
    <mergeCell ref="E55:M55"/>
    <mergeCell ref="E56:M56"/>
    <mergeCell ref="E57:M57"/>
    <mergeCell ref="AJ61:AK61"/>
    <mergeCell ref="AJ55:AK55"/>
    <mergeCell ref="C62:D62"/>
    <mergeCell ref="Q62:R62"/>
    <mergeCell ref="C59:D59"/>
    <mergeCell ref="Q59:R59"/>
    <mergeCell ref="C60:D60"/>
    <mergeCell ref="Q60:R60"/>
    <mergeCell ref="E59:M59"/>
    <mergeCell ref="E60:M60"/>
    <mergeCell ref="E61:M61"/>
    <mergeCell ref="E62:M62"/>
    <mergeCell ref="C51:D51"/>
    <mergeCell ref="Q51:R51"/>
    <mergeCell ref="C52:D52"/>
    <mergeCell ref="Q52:R52"/>
    <mergeCell ref="E51:M51"/>
    <mergeCell ref="E52:M52"/>
    <mergeCell ref="E53:M53"/>
    <mergeCell ref="E54:M54"/>
    <mergeCell ref="C49:D49"/>
    <mergeCell ref="Q49:R49"/>
    <mergeCell ref="C50:D50"/>
    <mergeCell ref="Q50:R50"/>
    <mergeCell ref="C54:D54"/>
    <mergeCell ref="Q54:R54"/>
    <mergeCell ref="C53:D53"/>
    <mergeCell ref="Q53:R53"/>
    <mergeCell ref="C47:D47"/>
    <mergeCell ref="Q47:R47"/>
    <mergeCell ref="C48:D48"/>
    <mergeCell ref="Q48:R48"/>
    <mergeCell ref="E47:M47"/>
    <mergeCell ref="E48:M48"/>
    <mergeCell ref="E49:M49"/>
    <mergeCell ref="E50:M50"/>
    <mergeCell ref="C45:D45"/>
    <mergeCell ref="Q45:R45"/>
    <mergeCell ref="C46:D46"/>
    <mergeCell ref="Q46:R46"/>
    <mergeCell ref="C43:D43"/>
    <mergeCell ref="Q43:R43"/>
    <mergeCell ref="C44:D44"/>
    <mergeCell ref="Q44:R44"/>
    <mergeCell ref="E43:M43"/>
    <mergeCell ref="E44:M44"/>
    <mergeCell ref="E45:M45"/>
    <mergeCell ref="E46:M46"/>
    <mergeCell ref="C41:D41"/>
    <mergeCell ref="Q41:R41"/>
    <mergeCell ref="C42:D42"/>
    <mergeCell ref="Q42:R42"/>
    <mergeCell ref="C39:D39"/>
    <mergeCell ref="Q39:R39"/>
    <mergeCell ref="C40:D40"/>
    <mergeCell ref="Q40:R40"/>
    <mergeCell ref="E39:M39"/>
    <mergeCell ref="E40:M40"/>
    <mergeCell ref="E41:M41"/>
    <mergeCell ref="E42:M42"/>
    <mergeCell ref="C37:D37"/>
    <mergeCell ref="Q37:R37"/>
    <mergeCell ref="C38:D38"/>
    <mergeCell ref="Q38:R38"/>
    <mergeCell ref="C35:D35"/>
    <mergeCell ref="Q35:R35"/>
    <mergeCell ref="C36:D36"/>
    <mergeCell ref="Q36:R36"/>
    <mergeCell ref="E36:M36"/>
    <mergeCell ref="E37:M37"/>
    <mergeCell ref="E38:M38"/>
    <mergeCell ref="E35:M35"/>
    <mergeCell ref="C33:D33"/>
    <mergeCell ref="Q33:R33"/>
    <mergeCell ref="C34:D34"/>
    <mergeCell ref="Q34:R34"/>
    <mergeCell ref="E33:M33"/>
    <mergeCell ref="E34:M34"/>
    <mergeCell ref="C31:D31"/>
    <mergeCell ref="Q31:R31"/>
    <mergeCell ref="C32:D32"/>
    <mergeCell ref="Q32:R32"/>
    <mergeCell ref="C29:D29"/>
    <mergeCell ref="Q29:R29"/>
    <mergeCell ref="C30:D30"/>
    <mergeCell ref="Q30:R30"/>
    <mergeCell ref="E29:M29"/>
    <mergeCell ref="E30:M30"/>
    <mergeCell ref="E31:M31"/>
    <mergeCell ref="E32:M32"/>
    <mergeCell ref="C28:D28"/>
    <mergeCell ref="Q28:R28"/>
    <mergeCell ref="C23:D23"/>
    <mergeCell ref="Q23:R23"/>
    <mergeCell ref="C24:D24"/>
    <mergeCell ref="Q24:R24"/>
    <mergeCell ref="E24:M24"/>
    <mergeCell ref="E25:M25"/>
    <mergeCell ref="E26:M26"/>
    <mergeCell ref="Q27:R27"/>
    <mergeCell ref="C27:D27"/>
    <mergeCell ref="C25:D25"/>
    <mergeCell ref="Q25:R25"/>
    <mergeCell ref="C26:D26"/>
    <mergeCell ref="Q26:R26"/>
    <mergeCell ref="E23:M23"/>
    <mergeCell ref="E27:M27"/>
    <mergeCell ref="E28:M28"/>
    <mergeCell ref="C22:D22"/>
    <mergeCell ref="Q22:R22"/>
    <mergeCell ref="C20:D20"/>
    <mergeCell ref="Q20:R20"/>
    <mergeCell ref="C18:D18"/>
    <mergeCell ref="Q18:R18"/>
    <mergeCell ref="C16:D16"/>
    <mergeCell ref="Q16:R16"/>
    <mergeCell ref="C19:D19"/>
    <mergeCell ref="E16:M16"/>
    <mergeCell ref="E17:M17"/>
    <mergeCell ref="E18:M18"/>
    <mergeCell ref="E19:M19"/>
    <mergeCell ref="E20:M20"/>
    <mergeCell ref="E21:M21"/>
    <mergeCell ref="E22:M22"/>
    <mergeCell ref="C17:D17"/>
    <mergeCell ref="Q17:R17"/>
    <mergeCell ref="C21:D21"/>
    <mergeCell ref="Q21:R21"/>
    <mergeCell ref="C13:D13"/>
    <mergeCell ref="Q13:R13"/>
    <mergeCell ref="C14:D14"/>
    <mergeCell ref="Q14:R14"/>
    <mergeCell ref="AB15:AD15"/>
    <mergeCell ref="W15:Z15"/>
    <mergeCell ref="C15:D15"/>
    <mergeCell ref="E15:M15"/>
    <mergeCell ref="AJ15:AK15"/>
    <mergeCell ref="E13:M13"/>
    <mergeCell ref="E14:M14"/>
    <mergeCell ref="AT11:AU11"/>
    <mergeCell ref="AV11:AW11"/>
    <mergeCell ref="AT12:AU12"/>
    <mergeCell ref="AV12:AW12"/>
    <mergeCell ref="AT13:AU13"/>
    <mergeCell ref="AV13:AW13"/>
    <mergeCell ref="AT14:AU14"/>
    <mergeCell ref="AV14:AW14"/>
    <mergeCell ref="AT15:AU15"/>
    <mergeCell ref="AV15:AW15"/>
    <mergeCell ref="AR11:AS11"/>
    <mergeCell ref="AR12:AS12"/>
    <mergeCell ref="AR13:AS13"/>
    <mergeCell ref="AL14:AM14"/>
    <mergeCell ref="AP15:AQ15"/>
    <mergeCell ref="Q15:R15"/>
    <mergeCell ref="AL13:AM13"/>
    <mergeCell ref="AN13:AO13"/>
    <mergeCell ref="AN14:AO14"/>
    <mergeCell ref="AN15:AO15"/>
    <mergeCell ref="AJ11:AK11"/>
    <mergeCell ref="X11:Z12"/>
    <mergeCell ref="Q11:R12"/>
    <mergeCell ref="AL15:AM15"/>
    <mergeCell ref="AP14:AQ14"/>
    <mergeCell ref="AJ12:AK12"/>
    <mergeCell ref="AJ13:AK13"/>
    <mergeCell ref="AJ14:AK14"/>
    <mergeCell ref="AP12:AQ12"/>
    <mergeCell ref="AP11:AQ11"/>
    <mergeCell ref="AL11:AM11"/>
    <mergeCell ref="AL12:AM12"/>
    <mergeCell ref="AN11:AO11"/>
    <mergeCell ref="AN12:AO12"/>
    <mergeCell ref="AJ27:AK27"/>
    <mergeCell ref="AF22:AH22"/>
    <mergeCell ref="AP34:AQ34"/>
    <mergeCell ref="AP35:AQ35"/>
    <mergeCell ref="AP27:AQ27"/>
    <mergeCell ref="AN27:AO27"/>
    <mergeCell ref="W61:Z61"/>
    <mergeCell ref="W62:Z62"/>
    <mergeCell ref="W45:Z45"/>
    <mergeCell ref="W46:Z46"/>
    <mergeCell ref="W47:Z47"/>
    <mergeCell ref="W48:Z48"/>
    <mergeCell ref="W49:Z49"/>
    <mergeCell ref="W50:Z50"/>
    <mergeCell ref="W51:Z51"/>
    <mergeCell ref="W52:Z52"/>
    <mergeCell ref="W53:Z53"/>
    <mergeCell ref="AL41:AM41"/>
    <mergeCell ref="AL42:AM42"/>
    <mergeCell ref="AL43:AM43"/>
    <mergeCell ref="AJ41:AK41"/>
    <mergeCell ref="AJ42:AK42"/>
    <mergeCell ref="AJ57:AK57"/>
    <mergeCell ref="AJ58:AK58"/>
    <mergeCell ref="AP16:AQ16"/>
    <mergeCell ref="AP17:AQ17"/>
    <mergeCell ref="AL16:AM16"/>
    <mergeCell ref="AN18:AO18"/>
    <mergeCell ref="AN19:AO19"/>
    <mergeCell ref="AL18:AM18"/>
    <mergeCell ref="AJ19:AK19"/>
    <mergeCell ref="AJ20:AK20"/>
    <mergeCell ref="AJ21:AK21"/>
    <mergeCell ref="AN20:AO20"/>
    <mergeCell ref="AN21:AO21"/>
    <mergeCell ref="AP18:AQ18"/>
    <mergeCell ref="AP19:AQ19"/>
    <mergeCell ref="AP20:AQ20"/>
    <mergeCell ref="AP21:AQ21"/>
    <mergeCell ref="AJ16:AK16"/>
    <mergeCell ref="AJ17:AK17"/>
    <mergeCell ref="AL17:AM17"/>
    <mergeCell ref="AN16:AO16"/>
    <mergeCell ref="AN17:AO17"/>
    <mergeCell ref="AB25:AD25"/>
    <mergeCell ref="AB26:AD26"/>
    <mergeCell ref="AB38:AD38"/>
    <mergeCell ref="AB39:AD39"/>
    <mergeCell ref="AB40:AD40"/>
    <mergeCell ref="AB41:AD41"/>
    <mergeCell ref="AB42:AD42"/>
    <mergeCell ref="AB43:AD43"/>
    <mergeCell ref="AB44:AD44"/>
    <mergeCell ref="AB27:AD27"/>
    <mergeCell ref="AB28:AD28"/>
    <mergeCell ref="AB29:AD29"/>
    <mergeCell ref="AB30:AD30"/>
    <mergeCell ref="AB31:AD31"/>
    <mergeCell ref="AB32:AD32"/>
    <mergeCell ref="AB33:AD33"/>
    <mergeCell ref="AB34:AD34"/>
    <mergeCell ref="AB35:AD35"/>
    <mergeCell ref="W10:Z10"/>
    <mergeCell ref="E11:J12"/>
    <mergeCell ref="AB18:AD18"/>
    <mergeCell ref="AB19:AD19"/>
    <mergeCell ref="AB20:AD20"/>
    <mergeCell ref="AB21:AD21"/>
    <mergeCell ref="AB22:AD22"/>
    <mergeCell ref="AB23:AD23"/>
    <mergeCell ref="AB24:AD24"/>
    <mergeCell ref="N11:O12"/>
    <mergeCell ref="AB11:AD12"/>
    <mergeCell ref="AB13:AD13"/>
    <mergeCell ref="AB14:AD14"/>
    <mergeCell ref="W13:Z13"/>
    <mergeCell ref="W14:Z14"/>
    <mergeCell ref="AB16:AD16"/>
    <mergeCell ref="AB17:AD17"/>
    <mergeCell ref="AB51:AD51"/>
    <mergeCell ref="AB52:AD52"/>
    <mergeCell ref="AB53:AD53"/>
    <mergeCell ref="AB36:AD36"/>
    <mergeCell ref="AB37:AD37"/>
    <mergeCell ref="W63:Z63"/>
    <mergeCell ref="W64:Z64"/>
    <mergeCell ref="W65:Z65"/>
    <mergeCell ref="W54:Z54"/>
    <mergeCell ref="AJ10:AO10"/>
    <mergeCell ref="AR10:AW10"/>
    <mergeCell ref="O63:V63"/>
    <mergeCell ref="O64:V64"/>
    <mergeCell ref="O65:V65"/>
    <mergeCell ref="AB63:AD63"/>
    <mergeCell ref="AB64:AD64"/>
    <mergeCell ref="AB65:AD65"/>
    <mergeCell ref="AP13:AQ13"/>
    <mergeCell ref="AB54:AD54"/>
    <mergeCell ref="AB55:AD55"/>
    <mergeCell ref="AB56:AD56"/>
    <mergeCell ref="AB57:AD57"/>
    <mergeCell ref="AB58:AD58"/>
    <mergeCell ref="AB59:AD59"/>
    <mergeCell ref="AB60:AD60"/>
    <mergeCell ref="AB61:AD61"/>
    <mergeCell ref="AB62:AD62"/>
    <mergeCell ref="AB45:AD45"/>
    <mergeCell ref="AB46:AD46"/>
    <mergeCell ref="AB47:AD47"/>
    <mergeCell ref="AB48:AD48"/>
    <mergeCell ref="AB49:AD49"/>
    <mergeCell ref="AB50:AD50"/>
  </mergeCells>
  <phoneticPr fontId="16" type="noConversion"/>
  <pageMargins left="0.73" right="0.69" top="0.75" bottom="0.75" header="0.3" footer="0.3"/>
  <pageSetup scale="67" orientation="portrait" horizontalDpi="1200" verticalDpi="1200" r:id="rId1"/>
  <drawing r:id="rId2"/>
  <legacyDrawingHF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pageSetUpPr fitToPage="1"/>
  </sheetPr>
  <dimension ref="B1:BY74"/>
  <sheetViews>
    <sheetView tabSelected="1" zoomScale="110" zoomScaleNormal="110" zoomScaleSheetLayoutView="30" workbookViewId="0">
      <selection activeCell="N42" sqref="N42:Y42"/>
    </sheetView>
  </sheetViews>
  <sheetFormatPr baseColWidth="10" defaultColWidth="4.6640625" defaultRowHeight="17" x14ac:dyDescent="0.2"/>
  <cols>
    <col min="1" max="2" width="4.6640625" style="7"/>
    <col min="3" max="3" width="4.6640625" style="19"/>
    <col min="4" max="13" width="4.6640625" style="7"/>
    <col min="14" max="16" width="4.6640625" style="7" customWidth="1"/>
    <col min="17" max="18" width="4.6640625" style="30" customWidth="1"/>
    <col min="19" max="23" width="4.6640625" style="7" customWidth="1"/>
    <col min="24" max="26" width="4.6640625" style="24" customWidth="1"/>
    <col min="27" max="27" width="4.6640625" customWidth="1"/>
    <col min="30" max="31" width="4.6640625" style="7"/>
    <col min="34" max="35" width="4.6640625" style="7"/>
    <col min="36" max="37" width="4.6640625" style="29"/>
    <col min="38" max="38" width="4.6640625" style="7"/>
    <col min="39" max="39" width="4.6640625" style="24"/>
    <col min="40" max="40" width="5.1640625" style="24" customWidth="1"/>
    <col min="41" max="41" width="4.6640625" style="24" customWidth="1"/>
    <col min="42" max="46" width="4.6640625" style="7"/>
    <col min="47" max="47" width="4.6640625" style="7" customWidth="1"/>
    <col min="48" max="16384" width="4.6640625" style="7"/>
  </cols>
  <sheetData>
    <row r="1" spans="2:77" ht="16.5" customHeight="1" x14ac:dyDescent="0.2">
      <c r="B1"/>
      <c r="C1"/>
      <c r="D1"/>
      <c r="E1"/>
      <c r="F1"/>
      <c r="G1"/>
      <c r="H1"/>
      <c r="I1"/>
      <c r="J1"/>
      <c r="K1"/>
      <c r="L1"/>
      <c r="Q1" s="63"/>
      <c r="R1" s="63"/>
      <c r="AA1" s="7"/>
      <c r="AB1" s="7"/>
      <c r="AC1" s="7"/>
      <c r="AF1" s="7"/>
      <c r="AG1" s="7"/>
      <c r="AJ1" s="63"/>
      <c r="AK1" s="7"/>
      <c r="AM1" s="7"/>
      <c r="AN1" s="7"/>
      <c r="AO1" s="7"/>
      <c r="AP1" s="24"/>
      <c r="AQ1" s="24"/>
      <c r="AR1" s="24"/>
      <c r="BY1" s="7" t="s">
        <v>407</v>
      </c>
    </row>
    <row r="2" spans="2:77" ht="6.5" customHeight="1" x14ac:dyDescent="0.2">
      <c r="B2"/>
      <c r="C2"/>
      <c r="D2"/>
      <c r="E2"/>
      <c r="F2"/>
      <c r="G2"/>
      <c r="H2"/>
      <c r="I2"/>
      <c r="J2"/>
      <c r="K2"/>
      <c r="L2"/>
      <c r="M2"/>
      <c r="Q2" s="63"/>
      <c r="R2" s="63"/>
      <c r="AA2" s="7"/>
      <c r="AB2" s="7"/>
      <c r="AC2" s="7"/>
      <c r="AF2" s="7"/>
      <c r="AG2" s="7"/>
      <c r="AJ2" s="63"/>
      <c r="AK2" s="7"/>
      <c r="AM2" s="7"/>
      <c r="AN2" s="7"/>
      <c r="AO2" s="7"/>
      <c r="AP2" s="24"/>
      <c r="AQ2" s="24"/>
      <c r="AR2" s="24"/>
    </row>
    <row r="3" spans="2:77" ht="16.5" customHeight="1" x14ac:dyDescent="0.2">
      <c r="B3"/>
      <c r="C3"/>
      <c r="D3"/>
      <c r="E3"/>
      <c r="F3"/>
      <c r="G3"/>
      <c r="H3"/>
      <c r="I3"/>
      <c r="J3"/>
      <c r="K3"/>
      <c r="L3"/>
      <c r="M3"/>
      <c r="Q3" s="63"/>
      <c r="R3" s="7"/>
      <c r="AA3" s="7"/>
      <c r="AB3" s="7"/>
      <c r="AC3" s="7"/>
      <c r="AF3" s="7"/>
      <c r="AG3" s="7"/>
      <c r="AJ3" s="63"/>
      <c r="AK3" s="7"/>
      <c r="AM3" s="7"/>
      <c r="AN3" s="7"/>
      <c r="AO3" s="7"/>
      <c r="AP3" s="24"/>
      <c r="AQ3" s="24"/>
      <c r="AR3" s="24"/>
    </row>
    <row r="4" spans="2:77" ht="6.5" customHeight="1" x14ac:dyDescent="0.2">
      <c r="B4"/>
      <c r="C4"/>
      <c r="D4"/>
      <c r="E4"/>
      <c r="F4"/>
      <c r="G4"/>
      <c r="H4"/>
      <c r="I4"/>
      <c r="J4"/>
      <c r="K4"/>
      <c r="L4"/>
      <c r="Q4" s="63"/>
      <c r="R4" s="7"/>
      <c r="AA4" s="7"/>
      <c r="AB4" s="7"/>
      <c r="AC4" s="7"/>
      <c r="AF4" s="7"/>
      <c r="AG4" s="7"/>
      <c r="AJ4" s="63"/>
      <c r="AK4" s="7"/>
      <c r="AM4" s="7"/>
      <c r="AN4" s="7"/>
      <c r="AO4" s="7"/>
      <c r="AP4" s="24"/>
      <c r="AQ4" s="24"/>
      <c r="AR4" s="24"/>
    </row>
    <row r="5" spans="2:77" ht="16.5" customHeight="1" x14ac:dyDescent="0.2">
      <c r="B5"/>
      <c r="C5"/>
      <c r="D5"/>
      <c r="E5"/>
      <c r="F5"/>
      <c r="G5"/>
      <c r="H5"/>
      <c r="I5"/>
      <c r="J5"/>
      <c r="K5"/>
      <c r="L5"/>
      <c r="M5"/>
      <c r="Q5" s="63"/>
      <c r="R5" s="63"/>
      <c r="AA5" s="7"/>
      <c r="AB5" s="7"/>
      <c r="AC5" s="7"/>
      <c r="AF5" s="7"/>
      <c r="AG5" s="7"/>
      <c r="AJ5" s="63"/>
      <c r="AK5" s="7"/>
      <c r="AM5" s="7"/>
      <c r="AN5" s="7"/>
      <c r="AO5" s="7"/>
      <c r="AP5" s="24"/>
      <c r="AQ5" s="24"/>
      <c r="AR5" s="24"/>
    </row>
    <row r="6" spans="2:77" ht="16.5" customHeight="1" x14ac:dyDescent="0.2">
      <c r="C6" s="7"/>
      <c r="Q6" s="7"/>
      <c r="R6" s="7"/>
      <c r="AA6" s="7"/>
      <c r="AB6" s="7"/>
      <c r="AC6" s="7"/>
      <c r="AF6" s="7"/>
      <c r="AG6" s="7"/>
      <c r="AJ6" s="63"/>
      <c r="AK6" s="7"/>
      <c r="AM6" s="7"/>
      <c r="AN6" s="7"/>
      <c r="AO6" s="7"/>
      <c r="AP6" s="24"/>
      <c r="AQ6" s="24"/>
      <c r="AR6" s="24"/>
    </row>
    <row r="7" spans="2:77" ht="16.5" customHeight="1" x14ac:dyDescent="0.2">
      <c r="C7"/>
      <c r="D7"/>
      <c r="E7"/>
      <c r="F7"/>
      <c r="G7"/>
      <c r="H7"/>
      <c r="I7"/>
      <c r="J7"/>
      <c r="K7"/>
      <c r="L7"/>
      <c r="M7"/>
      <c r="Q7" s="7"/>
      <c r="R7" s="7"/>
      <c r="AA7" s="7"/>
      <c r="AB7" s="7"/>
      <c r="AC7" s="7"/>
      <c r="AF7" s="7"/>
      <c r="AG7" s="7"/>
      <c r="AJ7" s="63"/>
      <c r="AK7" s="7"/>
      <c r="AM7" s="7"/>
      <c r="AN7" s="7"/>
      <c r="AO7" s="7"/>
      <c r="AP7" s="24"/>
      <c r="AQ7" s="24"/>
      <c r="AR7" s="24"/>
    </row>
    <row r="8" spans="2:77" ht="16.25" customHeight="1" x14ac:dyDescent="0.2">
      <c r="C8"/>
      <c r="D8"/>
      <c r="E8"/>
      <c r="F8"/>
      <c r="G8"/>
      <c r="H8"/>
      <c r="I8"/>
      <c r="J8"/>
      <c r="K8"/>
      <c r="L8"/>
      <c r="M8"/>
    </row>
    <row r="9" spans="2:77" ht="16.25" customHeight="1" x14ac:dyDescent="0.2"/>
    <row r="10" spans="2:77" s="323" customFormat="1" ht="20" customHeight="1" x14ac:dyDescent="0.2">
      <c r="C10" s="4" t="s">
        <v>260</v>
      </c>
      <c r="D10" s="5" t="s">
        <v>270</v>
      </c>
      <c r="E10" s="5"/>
      <c r="F10" s="349"/>
      <c r="G10" s="349"/>
      <c r="H10" s="349"/>
      <c r="I10" s="349"/>
      <c r="J10" s="349"/>
      <c r="K10" s="349"/>
      <c r="L10" s="349"/>
      <c r="M10" s="349"/>
      <c r="N10" s="349"/>
      <c r="O10" s="349"/>
      <c r="P10" s="349"/>
      <c r="Q10" s="353"/>
      <c r="R10" s="353"/>
      <c r="S10" s="349"/>
      <c r="T10" s="349"/>
      <c r="U10" s="349"/>
      <c r="V10" s="349"/>
      <c r="W10" s="706"/>
      <c r="X10" s="706"/>
      <c r="Y10" s="706"/>
      <c r="Z10" s="707"/>
      <c r="AB10" s="354"/>
      <c r="AC10" s="354"/>
      <c r="AD10" s="355"/>
      <c r="AF10" s="354"/>
      <c r="AG10" s="354"/>
      <c r="AH10" s="355"/>
      <c r="AJ10" s="651" t="s">
        <v>148</v>
      </c>
      <c r="AK10" s="652"/>
      <c r="AL10" s="652"/>
      <c r="AM10" s="652"/>
      <c r="AN10" s="652"/>
      <c r="AO10" s="652"/>
      <c r="AP10" s="359"/>
      <c r="AQ10" s="359"/>
      <c r="AR10" s="653" t="s">
        <v>857</v>
      </c>
      <c r="AS10" s="652"/>
      <c r="AT10" s="652"/>
      <c r="AU10" s="652"/>
      <c r="AV10" s="652"/>
      <c r="AW10" s="652"/>
    </row>
    <row r="11" spans="2:77" s="115" customFormat="1" ht="20" customHeight="1" x14ac:dyDescent="0.2">
      <c r="C11" s="150"/>
      <c r="D11" s="144"/>
      <c r="E11" s="704" t="s">
        <v>384</v>
      </c>
      <c r="F11" s="704"/>
      <c r="G11" s="704"/>
      <c r="H11" s="704"/>
      <c r="I11" s="704"/>
      <c r="J11" s="704"/>
      <c r="K11" s="704"/>
      <c r="L11" s="704"/>
      <c r="M11" s="704"/>
      <c r="N11" s="668" t="s">
        <v>375</v>
      </c>
      <c r="O11" s="668"/>
      <c r="P11" s="145"/>
      <c r="Q11" s="693" t="s">
        <v>220</v>
      </c>
      <c r="R11" s="693"/>
      <c r="S11" s="145"/>
      <c r="T11" s="145"/>
      <c r="U11" s="146" t="s">
        <v>144</v>
      </c>
      <c r="V11" s="146"/>
      <c r="W11" s="689" t="s">
        <v>370</v>
      </c>
      <c r="X11" s="689"/>
      <c r="Y11" s="689"/>
      <c r="Z11" s="690"/>
      <c r="AB11" s="670" t="s">
        <v>363</v>
      </c>
      <c r="AC11" s="671"/>
      <c r="AD11" s="672"/>
      <c r="AF11" s="670" t="s">
        <v>447</v>
      </c>
      <c r="AG11" s="671"/>
      <c r="AH11" s="672"/>
      <c r="AJ11" s="688" t="s">
        <v>147</v>
      </c>
      <c r="AK11" s="688"/>
      <c r="AL11" s="688" t="s">
        <v>221</v>
      </c>
      <c r="AM11" s="688"/>
      <c r="AN11" s="688" t="s">
        <v>856</v>
      </c>
      <c r="AO11" s="688"/>
      <c r="AP11" s="683" t="s">
        <v>89</v>
      </c>
      <c r="AQ11" s="683"/>
      <c r="AR11" s="683" t="s">
        <v>353</v>
      </c>
      <c r="AS11" s="683"/>
      <c r="AT11" s="683" t="s">
        <v>858</v>
      </c>
      <c r="AU11" s="683"/>
      <c r="AV11" s="683" t="s">
        <v>858</v>
      </c>
      <c r="AW11" s="683"/>
    </row>
    <row r="12" spans="2:77" s="115" customFormat="1" ht="20" customHeight="1" x14ac:dyDescent="0.2">
      <c r="C12" s="151"/>
      <c r="D12" s="176"/>
      <c r="E12" s="705"/>
      <c r="F12" s="705"/>
      <c r="G12" s="705"/>
      <c r="H12" s="705"/>
      <c r="I12" s="705"/>
      <c r="J12" s="705"/>
      <c r="K12" s="705"/>
      <c r="L12" s="705"/>
      <c r="M12" s="705"/>
      <c r="N12" s="669"/>
      <c r="O12" s="669"/>
      <c r="P12" s="148"/>
      <c r="Q12" s="694"/>
      <c r="R12" s="694"/>
      <c r="S12" s="148"/>
      <c r="T12" s="148"/>
      <c r="U12" s="149">
        <v>1.5</v>
      </c>
      <c r="V12" s="149">
        <v>2</v>
      </c>
      <c r="W12" s="691"/>
      <c r="X12" s="691"/>
      <c r="Y12" s="691"/>
      <c r="Z12" s="692"/>
      <c r="AB12" s="673"/>
      <c r="AC12" s="674"/>
      <c r="AD12" s="675"/>
      <c r="AF12" s="673"/>
      <c r="AG12" s="674"/>
      <c r="AH12" s="675"/>
      <c r="AJ12" s="695" t="s">
        <v>223</v>
      </c>
      <c r="AK12" s="695"/>
      <c r="AL12" s="695" t="s">
        <v>220</v>
      </c>
      <c r="AM12" s="695"/>
      <c r="AN12" s="695" t="s">
        <v>220</v>
      </c>
      <c r="AO12" s="695"/>
      <c r="AP12" s="684" t="s">
        <v>220</v>
      </c>
      <c r="AQ12" s="684"/>
      <c r="AR12" s="684" t="s">
        <v>222</v>
      </c>
      <c r="AS12" s="684"/>
      <c r="AT12" s="684" t="s">
        <v>859</v>
      </c>
      <c r="AU12" s="684"/>
      <c r="AV12" s="684" t="s">
        <v>807</v>
      </c>
      <c r="AW12" s="684"/>
    </row>
    <row r="13" spans="2:77" s="51" customFormat="1" ht="20" customHeight="1" x14ac:dyDescent="0.15">
      <c r="C13" s="708">
        <v>51</v>
      </c>
      <c r="D13" s="709"/>
      <c r="E13" s="700" t="s">
        <v>0</v>
      </c>
      <c r="F13" s="700"/>
      <c r="G13" s="700"/>
      <c r="H13" s="700"/>
      <c r="I13" s="700"/>
      <c r="J13" s="700"/>
      <c r="K13" s="700"/>
      <c r="L13" s="700"/>
      <c r="M13" s="700"/>
      <c r="N13" s="309"/>
      <c r="O13" s="309" t="s">
        <v>116</v>
      </c>
      <c r="P13" s="310" t="s">
        <v>117</v>
      </c>
      <c r="Q13" s="687">
        <v>200</v>
      </c>
      <c r="R13" s="687"/>
      <c r="S13" s="311" t="s">
        <v>143</v>
      </c>
      <c r="T13" s="309"/>
      <c r="U13" s="309"/>
      <c r="V13" s="309"/>
      <c r="W13" s="664">
        <f t="shared" ref="W13:W44" si="0">IF(ISNUMBER(N13),(N13*Q13*IF(ISNUMBER(T13),T13,1)+(IFERROR(U13*(Q13/AJ13)*1.5,0))+(IFERROR(V13*(Q13/AJ13)*2,0))),0)</f>
        <v>0</v>
      </c>
      <c r="X13" s="664"/>
      <c r="Y13" s="664"/>
      <c r="Z13" s="665"/>
      <c r="AB13" s="663">
        <v>0</v>
      </c>
      <c r="AC13" s="664"/>
      <c r="AD13" s="665"/>
      <c r="AF13" s="663">
        <f t="shared" ref="AF13:AF44" si="1">AB13-W13</f>
        <v>0</v>
      </c>
      <c r="AG13" s="664"/>
      <c r="AH13" s="665"/>
      <c r="AJ13" s="710">
        <v>12</v>
      </c>
      <c r="AK13" s="711"/>
      <c r="AL13" s="677">
        <f t="shared" ref="AL13:AL44" si="2">IFERROR(Q13/(AJ13+((AJ13-HourlyState_B)*0.5)),0)</f>
        <v>14.285714285714286</v>
      </c>
      <c r="AM13" s="678"/>
      <c r="AN13" s="677">
        <f t="shared" ref="AN13:AN20" si="3">AL13*1.5</f>
        <v>21.428571428571431</v>
      </c>
      <c r="AO13" s="678"/>
      <c r="AP13" s="712">
        <v>0</v>
      </c>
      <c r="AQ13" s="713"/>
      <c r="AR13" s="713">
        <v>8</v>
      </c>
      <c r="AS13" s="713"/>
      <c r="AT13" s="696">
        <f t="shared" ref="AT13" si="4">AL13*HourlyState_B</f>
        <v>114.28571428571429</v>
      </c>
      <c r="AU13" s="697"/>
      <c r="AV13" s="696">
        <f t="shared" ref="AV13:AV44" si="5">(AJ13-HourlyState_B)*AN13</f>
        <v>85.714285714285722</v>
      </c>
      <c r="AW13" s="697"/>
    </row>
    <row r="14" spans="2:77" s="51" customFormat="1" ht="20" customHeight="1" x14ac:dyDescent="0.15">
      <c r="C14" s="708">
        <v>52</v>
      </c>
      <c r="D14" s="709"/>
      <c r="E14" s="700" t="s">
        <v>326</v>
      </c>
      <c r="F14" s="700"/>
      <c r="G14" s="700"/>
      <c r="H14" s="700"/>
      <c r="I14" s="700"/>
      <c r="J14" s="700"/>
      <c r="K14" s="700"/>
      <c r="L14" s="700"/>
      <c r="M14" s="700"/>
      <c r="N14" s="309"/>
      <c r="O14" s="309" t="s">
        <v>116</v>
      </c>
      <c r="P14" s="310" t="s">
        <v>117</v>
      </c>
      <c r="Q14" s="687"/>
      <c r="R14" s="687"/>
      <c r="S14" s="311" t="s">
        <v>143</v>
      </c>
      <c r="T14" s="309"/>
      <c r="U14" s="309"/>
      <c r="V14" s="309"/>
      <c r="W14" s="664">
        <f t="shared" si="0"/>
        <v>0</v>
      </c>
      <c r="X14" s="664"/>
      <c r="Y14" s="664"/>
      <c r="Z14" s="665"/>
      <c r="AB14" s="663">
        <v>0</v>
      </c>
      <c r="AC14" s="664"/>
      <c r="AD14" s="665"/>
      <c r="AF14" s="663">
        <f t="shared" si="1"/>
        <v>0</v>
      </c>
      <c r="AG14" s="664"/>
      <c r="AH14" s="665"/>
      <c r="AJ14" s="710">
        <v>10</v>
      </c>
      <c r="AK14" s="711"/>
      <c r="AL14" s="677">
        <f t="shared" si="2"/>
        <v>0</v>
      </c>
      <c r="AM14" s="678"/>
      <c r="AN14" s="679">
        <f t="shared" si="3"/>
        <v>0</v>
      </c>
      <c r="AO14" s="680"/>
      <c r="AP14" s="676"/>
      <c r="AQ14" s="461"/>
      <c r="AT14" s="696">
        <f t="shared" ref="AT14:AT62" si="6">AL14*HourlyState_B</f>
        <v>0</v>
      </c>
      <c r="AU14" s="697"/>
      <c r="AV14" s="696">
        <f t="shared" si="5"/>
        <v>0</v>
      </c>
      <c r="AW14" s="697"/>
    </row>
    <row r="15" spans="2:77" s="51" customFormat="1" ht="20" customHeight="1" x14ac:dyDescent="0.15">
      <c r="C15" s="708">
        <v>53</v>
      </c>
      <c r="D15" s="709"/>
      <c r="E15" s="700" t="s">
        <v>1</v>
      </c>
      <c r="F15" s="700"/>
      <c r="G15" s="700"/>
      <c r="H15" s="700"/>
      <c r="I15" s="700"/>
      <c r="J15" s="700"/>
      <c r="K15" s="700"/>
      <c r="L15" s="700"/>
      <c r="M15" s="700"/>
      <c r="N15" s="309"/>
      <c r="O15" s="309" t="s">
        <v>116</v>
      </c>
      <c r="P15" s="310" t="s">
        <v>117</v>
      </c>
      <c r="Q15" s="687"/>
      <c r="R15" s="687"/>
      <c r="S15" s="311" t="s">
        <v>143</v>
      </c>
      <c r="T15" s="309"/>
      <c r="U15" s="309"/>
      <c r="V15" s="309"/>
      <c r="W15" s="664">
        <f t="shared" si="0"/>
        <v>0</v>
      </c>
      <c r="X15" s="664"/>
      <c r="Y15" s="664"/>
      <c r="Z15" s="665"/>
      <c r="AB15" s="663">
        <v>0</v>
      </c>
      <c r="AC15" s="664"/>
      <c r="AD15" s="665"/>
      <c r="AF15" s="663">
        <f t="shared" si="1"/>
        <v>0</v>
      </c>
      <c r="AG15" s="664"/>
      <c r="AH15" s="665"/>
      <c r="AJ15" s="710">
        <v>10</v>
      </c>
      <c r="AK15" s="711"/>
      <c r="AL15" s="677">
        <f t="shared" si="2"/>
        <v>0</v>
      </c>
      <c r="AM15" s="678"/>
      <c r="AN15" s="679">
        <f t="shared" si="3"/>
        <v>0</v>
      </c>
      <c r="AO15" s="680"/>
      <c r="AP15" s="676"/>
      <c r="AQ15" s="461"/>
      <c r="AT15" s="696">
        <f t="shared" si="6"/>
        <v>0</v>
      </c>
      <c r="AU15" s="697"/>
      <c r="AV15" s="696">
        <f t="shared" si="5"/>
        <v>0</v>
      </c>
      <c r="AW15" s="697"/>
    </row>
    <row r="16" spans="2:77" s="51" customFormat="1" ht="20" customHeight="1" x14ac:dyDescent="0.15">
      <c r="C16" s="708">
        <v>54</v>
      </c>
      <c r="D16" s="709"/>
      <c r="E16" s="700" t="s">
        <v>327</v>
      </c>
      <c r="F16" s="700"/>
      <c r="G16" s="700"/>
      <c r="H16" s="700"/>
      <c r="I16" s="700"/>
      <c r="J16" s="700"/>
      <c r="K16" s="700"/>
      <c r="L16" s="700"/>
      <c r="M16" s="700"/>
      <c r="N16" s="309"/>
      <c r="O16" s="309" t="s">
        <v>116</v>
      </c>
      <c r="P16" s="310" t="s">
        <v>117</v>
      </c>
      <c r="Q16" s="687"/>
      <c r="R16" s="687"/>
      <c r="S16" s="311" t="s">
        <v>143</v>
      </c>
      <c r="T16" s="309"/>
      <c r="U16" s="309"/>
      <c r="V16" s="309"/>
      <c r="W16" s="664">
        <f t="shared" si="0"/>
        <v>0</v>
      </c>
      <c r="X16" s="664"/>
      <c r="Y16" s="664"/>
      <c r="Z16" s="665"/>
      <c r="AB16" s="663">
        <v>0</v>
      </c>
      <c r="AC16" s="664"/>
      <c r="AD16" s="665"/>
      <c r="AF16" s="663">
        <f t="shared" si="1"/>
        <v>0</v>
      </c>
      <c r="AG16" s="664"/>
      <c r="AH16" s="665"/>
      <c r="AJ16" s="710">
        <v>10</v>
      </c>
      <c r="AK16" s="711"/>
      <c r="AL16" s="677">
        <f t="shared" si="2"/>
        <v>0</v>
      </c>
      <c r="AM16" s="678"/>
      <c r="AN16" s="679">
        <f t="shared" si="3"/>
        <v>0</v>
      </c>
      <c r="AO16" s="680"/>
      <c r="AP16" s="676"/>
      <c r="AQ16" s="461"/>
      <c r="AT16" s="696">
        <f t="shared" si="6"/>
        <v>0</v>
      </c>
      <c r="AU16" s="697"/>
      <c r="AV16" s="696">
        <f t="shared" si="5"/>
        <v>0</v>
      </c>
      <c r="AW16" s="697"/>
    </row>
    <row r="17" spans="3:49" s="51" customFormat="1" ht="20" customHeight="1" x14ac:dyDescent="0.15">
      <c r="C17" s="708">
        <v>55</v>
      </c>
      <c r="D17" s="709"/>
      <c r="E17" s="700" t="s">
        <v>328</v>
      </c>
      <c r="F17" s="700"/>
      <c r="G17" s="700"/>
      <c r="H17" s="700"/>
      <c r="I17" s="700"/>
      <c r="J17" s="700"/>
      <c r="K17" s="700"/>
      <c r="L17" s="700"/>
      <c r="M17" s="700"/>
      <c r="N17" s="309"/>
      <c r="O17" s="309" t="s">
        <v>116</v>
      </c>
      <c r="P17" s="310" t="s">
        <v>117</v>
      </c>
      <c r="Q17" s="687"/>
      <c r="R17" s="687"/>
      <c r="S17" s="311" t="s">
        <v>143</v>
      </c>
      <c r="T17" s="309"/>
      <c r="U17" s="309"/>
      <c r="V17" s="309"/>
      <c r="W17" s="664">
        <f t="shared" si="0"/>
        <v>0</v>
      </c>
      <c r="X17" s="664"/>
      <c r="Y17" s="664"/>
      <c r="Z17" s="665"/>
      <c r="AB17" s="663">
        <v>0</v>
      </c>
      <c r="AC17" s="664"/>
      <c r="AD17" s="665"/>
      <c r="AF17" s="663">
        <f t="shared" si="1"/>
        <v>0</v>
      </c>
      <c r="AG17" s="664"/>
      <c r="AH17" s="665"/>
      <c r="AJ17" s="710">
        <v>10</v>
      </c>
      <c r="AK17" s="711"/>
      <c r="AL17" s="677">
        <f t="shared" si="2"/>
        <v>0</v>
      </c>
      <c r="AM17" s="678"/>
      <c r="AN17" s="679">
        <f t="shared" si="3"/>
        <v>0</v>
      </c>
      <c r="AO17" s="680"/>
      <c r="AP17" s="676"/>
      <c r="AQ17" s="461"/>
      <c r="AT17" s="696">
        <f t="shared" si="6"/>
        <v>0</v>
      </c>
      <c r="AU17" s="697"/>
      <c r="AV17" s="696">
        <f t="shared" si="5"/>
        <v>0</v>
      </c>
      <c r="AW17" s="697"/>
    </row>
    <row r="18" spans="3:49" s="51" customFormat="1" ht="20" customHeight="1" x14ac:dyDescent="0.15">
      <c r="C18" s="708">
        <v>56</v>
      </c>
      <c r="D18" s="709"/>
      <c r="E18" s="700" t="s">
        <v>2</v>
      </c>
      <c r="F18" s="700"/>
      <c r="G18" s="700"/>
      <c r="H18" s="700"/>
      <c r="I18" s="700"/>
      <c r="J18" s="700"/>
      <c r="K18" s="700"/>
      <c r="L18" s="700"/>
      <c r="M18" s="700"/>
      <c r="N18" s="309"/>
      <c r="O18" s="309" t="s">
        <v>116</v>
      </c>
      <c r="P18" s="310" t="s">
        <v>117</v>
      </c>
      <c r="Q18" s="687"/>
      <c r="R18" s="687"/>
      <c r="S18" s="311" t="s">
        <v>143</v>
      </c>
      <c r="T18" s="309"/>
      <c r="U18" s="309"/>
      <c r="V18" s="309"/>
      <c r="W18" s="664">
        <f t="shared" si="0"/>
        <v>0</v>
      </c>
      <c r="X18" s="664"/>
      <c r="Y18" s="664"/>
      <c r="Z18" s="665"/>
      <c r="AB18" s="663">
        <v>0</v>
      </c>
      <c r="AC18" s="664"/>
      <c r="AD18" s="665"/>
      <c r="AF18" s="663">
        <f t="shared" si="1"/>
        <v>0</v>
      </c>
      <c r="AG18" s="664"/>
      <c r="AH18" s="665"/>
      <c r="AJ18" s="710">
        <v>10</v>
      </c>
      <c r="AK18" s="711"/>
      <c r="AL18" s="677">
        <f t="shared" si="2"/>
        <v>0</v>
      </c>
      <c r="AM18" s="678"/>
      <c r="AN18" s="679">
        <f t="shared" si="3"/>
        <v>0</v>
      </c>
      <c r="AO18" s="680"/>
      <c r="AP18" s="676"/>
      <c r="AQ18" s="461"/>
      <c r="AT18" s="696">
        <f t="shared" si="6"/>
        <v>0</v>
      </c>
      <c r="AU18" s="697"/>
      <c r="AV18" s="696">
        <f t="shared" si="5"/>
        <v>0</v>
      </c>
      <c r="AW18" s="697"/>
    </row>
    <row r="19" spans="3:49" s="51" customFormat="1" ht="20" customHeight="1" x14ac:dyDescent="0.15">
      <c r="C19" s="708">
        <v>57</v>
      </c>
      <c r="D19" s="709"/>
      <c r="E19" s="701" t="s">
        <v>51</v>
      </c>
      <c r="F19" s="701"/>
      <c r="G19" s="701"/>
      <c r="H19" s="701"/>
      <c r="I19" s="701"/>
      <c r="J19" s="701"/>
      <c r="K19" s="701"/>
      <c r="L19" s="701"/>
      <c r="M19" s="701"/>
      <c r="N19" s="309"/>
      <c r="O19" s="309" t="s">
        <v>116</v>
      </c>
      <c r="P19" s="310" t="s">
        <v>117</v>
      </c>
      <c r="Q19" s="687"/>
      <c r="R19" s="687"/>
      <c r="S19" s="311" t="s">
        <v>143</v>
      </c>
      <c r="T19" s="309"/>
      <c r="U19" s="309"/>
      <c r="V19" s="309"/>
      <c r="W19" s="664">
        <f t="shared" si="0"/>
        <v>0</v>
      </c>
      <c r="X19" s="664"/>
      <c r="Y19" s="664"/>
      <c r="Z19" s="665"/>
      <c r="AB19" s="663">
        <v>0</v>
      </c>
      <c r="AC19" s="664"/>
      <c r="AD19" s="665"/>
      <c r="AF19" s="663">
        <f t="shared" si="1"/>
        <v>0</v>
      </c>
      <c r="AG19" s="664"/>
      <c r="AH19" s="665"/>
      <c r="AJ19" s="710">
        <v>10</v>
      </c>
      <c r="AK19" s="711"/>
      <c r="AL19" s="677">
        <f t="shared" si="2"/>
        <v>0</v>
      </c>
      <c r="AM19" s="678"/>
      <c r="AN19" s="679">
        <f t="shared" si="3"/>
        <v>0</v>
      </c>
      <c r="AO19" s="680"/>
      <c r="AP19" s="676"/>
      <c r="AQ19" s="461"/>
      <c r="AT19" s="696">
        <f t="shared" si="6"/>
        <v>0</v>
      </c>
      <c r="AU19" s="697"/>
      <c r="AV19" s="696">
        <f t="shared" si="5"/>
        <v>0</v>
      </c>
      <c r="AW19" s="697"/>
    </row>
    <row r="20" spans="3:49" s="51" customFormat="1" ht="20" customHeight="1" x14ac:dyDescent="0.15">
      <c r="C20" s="708">
        <v>58</v>
      </c>
      <c r="D20" s="709"/>
      <c r="E20" s="700" t="s">
        <v>3</v>
      </c>
      <c r="F20" s="700"/>
      <c r="G20" s="700"/>
      <c r="H20" s="700"/>
      <c r="I20" s="700"/>
      <c r="J20" s="700"/>
      <c r="K20" s="700"/>
      <c r="L20" s="700"/>
      <c r="M20" s="700"/>
      <c r="N20" s="309"/>
      <c r="O20" s="309" t="s">
        <v>116</v>
      </c>
      <c r="P20" s="310" t="s">
        <v>117</v>
      </c>
      <c r="Q20" s="687"/>
      <c r="R20" s="687"/>
      <c r="S20" s="311" t="s">
        <v>143</v>
      </c>
      <c r="T20" s="309"/>
      <c r="U20" s="309"/>
      <c r="V20" s="309"/>
      <c r="W20" s="664">
        <f t="shared" si="0"/>
        <v>0</v>
      </c>
      <c r="X20" s="664"/>
      <c r="Y20" s="664"/>
      <c r="Z20" s="665"/>
      <c r="AB20" s="663">
        <v>0</v>
      </c>
      <c r="AC20" s="664"/>
      <c r="AD20" s="665"/>
      <c r="AF20" s="663">
        <f t="shared" si="1"/>
        <v>0</v>
      </c>
      <c r="AG20" s="664"/>
      <c r="AH20" s="665"/>
      <c r="AJ20" s="710">
        <v>10</v>
      </c>
      <c r="AK20" s="711"/>
      <c r="AL20" s="677">
        <f t="shared" si="2"/>
        <v>0</v>
      </c>
      <c r="AM20" s="678"/>
      <c r="AN20" s="679">
        <f t="shared" si="3"/>
        <v>0</v>
      </c>
      <c r="AO20" s="680"/>
      <c r="AP20" s="676"/>
      <c r="AQ20" s="461"/>
      <c r="AT20" s="696">
        <f t="shared" si="6"/>
        <v>0</v>
      </c>
      <c r="AU20" s="697"/>
      <c r="AV20" s="696">
        <f t="shared" si="5"/>
        <v>0</v>
      </c>
      <c r="AW20" s="697"/>
    </row>
    <row r="21" spans="3:49" s="51" customFormat="1" ht="20" customHeight="1" x14ac:dyDescent="0.15">
      <c r="C21" s="708">
        <v>59</v>
      </c>
      <c r="D21" s="709"/>
      <c r="E21" s="700"/>
      <c r="F21" s="700"/>
      <c r="G21" s="700"/>
      <c r="H21" s="700"/>
      <c r="I21" s="700"/>
      <c r="J21" s="700"/>
      <c r="K21" s="700"/>
      <c r="L21" s="700"/>
      <c r="M21" s="700"/>
      <c r="N21" s="309"/>
      <c r="O21" s="309" t="s">
        <v>116</v>
      </c>
      <c r="P21" s="310" t="s">
        <v>117</v>
      </c>
      <c r="Q21" s="687"/>
      <c r="R21" s="687"/>
      <c r="S21" s="311" t="s">
        <v>143</v>
      </c>
      <c r="T21" s="309"/>
      <c r="U21" s="309"/>
      <c r="V21" s="309"/>
      <c r="W21" s="664">
        <f t="shared" si="0"/>
        <v>0</v>
      </c>
      <c r="X21" s="664"/>
      <c r="Y21" s="664"/>
      <c r="Z21" s="665"/>
      <c r="AB21" s="663">
        <v>0</v>
      </c>
      <c r="AC21" s="664"/>
      <c r="AD21" s="665"/>
      <c r="AF21" s="663">
        <f t="shared" si="1"/>
        <v>0</v>
      </c>
      <c r="AG21" s="664"/>
      <c r="AH21" s="665"/>
      <c r="AJ21" s="710">
        <v>10</v>
      </c>
      <c r="AK21" s="711"/>
      <c r="AL21" s="677">
        <f t="shared" si="2"/>
        <v>0</v>
      </c>
      <c r="AM21" s="678"/>
      <c r="AN21" s="679">
        <f t="shared" ref="AN21:AN27" si="7">AL21*1.5</f>
        <v>0</v>
      </c>
      <c r="AO21" s="680"/>
      <c r="AP21" s="676"/>
      <c r="AQ21" s="461"/>
      <c r="AT21" s="696">
        <f t="shared" si="6"/>
        <v>0</v>
      </c>
      <c r="AU21" s="697"/>
      <c r="AV21" s="696">
        <f t="shared" si="5"/>
        <v>0</v>
      </c>
      <c r="AW21" s="697"/>
    </row>
    <row r="22" spans="3:49" s="51" customFormat="1" ht="20" customHeight="1" x14ac:dyDescent="0.15">
      <c r="C22" s="708">
        <v>60</v>
      </c>
      <c r="D22" s="709"/>
      <c r="E22" s="700" t="s">
        <v>330</v>
      </c>
      <c r="F22" s="700"/>
      <c r="G22" s="700"/>
      <c r="H22" s="700"/>
      <c r="I22" s="700"/>
      <c r="J22" s="700"/>
      <c r="K22" s="700"/>
      <c r="L22" s="700"/>
      <c r="M22" s="700"/>
      <c r="N22" s="309"/>
      <c r="O22" s="309" t="s">
        <v>116</v>
      </c>
      <c r="P22" s="310" t="s">
        <v>117</v>
      </c>
      <c r="Q22" s="687"/>
      <c r="R22" s="687"/>
      <c r="S22" s="311" t="s">
        <v>143</v>
      </c>
      <c r="T22" s="309"/>
      <c r="U22" s="309"/>
      <c r="V22" s="309"/>
      <c r="W22" s="664">
        <f t="shared" si="0"/>
        <v>0</v>
      </c>
      <c r="X22" s="664"/>
      <c r="Y22" s="664"/>
      <c r="Z22" s="665"/>
      <c r="AB22" s="663">
        <v>0</v>
      </c>
      <c r="AC22" s="664"/>
      <c r="AD22" s="665"/>
      <c r="AF22" s="663">
        <f t="shared" si="1"/>
        <v>0</v>
      </c>
      <c r="AG22" s="664"/>
      <c r="AH22" s="665"/>
      <c r="AJ22" s="710">
        <v>10</v>
      </c>
      <c r="AK22" s="711"/>
      <c r="AL22" s="677">
        <f t="shared" si="2"/>
        <v>0</v>
      </c>
      <c r="AM22" s="678"/>
      <c r="AN22" s="679">
        <f t="shared" si="7"/>
        <v>0</v>
      </c>
      <c r="AO22" s="680"/>
      <c r="AP22" s="676"/>
      <c r="AQ22" s="461"/>
      <c r="AT22" s="696">
        <f t="shared" si="6"/>
        <v>0</v>
      </c>
      <c r="AU22" s="697"/>
      <c r="AV22" s="696">
        <f t="shared" si="5"/>
        <v>0</v>
      </c>
      <c r="AW22" s="697"/>
    </row>
    <row r="23" spans="3:49" s="51" customFormat="1" ht="20" customHeight="1" x14ac:dyDescent="0.15">
      <c r="C23" s="708">
        <v>61</v>
      </c>
      <c r="D23" s="709"/>
      <c r="E23" s="700" t="s">
        <v>4</v>
      </c>
      <c r="F23" s="700"/>
      <c r="G23" s="700"/>
      <c r="H23" s="700"/>
      <c r="I23" s="700"/>
      <c r="J23" s="700"/>
      <c r="K23" s="700"/>
      <c r="L23" s="700"/>
      <c r="M23" s="700"/>
      <c r="N23" s="309"/>
      <c r="O23" s="309" t="s">
        <v>116</v>
      </c>
      <c r="P23" s="310" t="s">
        <v>117</v>
      </c>
      <c r="Q23" s="687"/>
      <c r="R23" s="687"/>
      <c r="S23" s="311" t="s">
        <v>143</v>
      </c>
      <c r="T23" s="309"/>
      <c r="U23" s="309"/>
      <c r="V23" s="309"/>
      <c r="W23" s="664">
        <f t="shared" si="0"/>
        <v>0</v>
      </c>
      <c r="X23" s="664"/>
      <c r="Y23" s="664"/>
      <c r="Z23" s="665"/>
      <c r="AB23" s="663">
        <v>0</v>
      </c>
      <c r="AC23" s="664"/>
      <c r="AD23" s="665"/>
      <c r="AF23" s="663">
        <f t="shared" si="1"/>
        <v>0</v>
      </c>
      <c r="AG23" s="664"/>
      <c r="AH23" s="665"/>
      <c r="AJ23" s="710">
        <v>10</v>
      </c>
      <c r="AK23" s="711"/>
      <c r="AL23" s="677">
        <f t="shared" si="2"/>
        <v>0</v>
      </c>
      <c r="AM23" s="678"/>
      <c r="AN23" s="679">
        <f t="shared" si="7"/>
        <v>0</v>
      </c>
      <c r="AO23" s="680"/>
      <c r="AP23" s="676"/>
      <c r="AQ23" s="461"/>
      <c r="AT23" s="696">
        <f t="shared" si="6"/>
        <v>0</v>
      </c>
      <c r="AU23" s="697"/>
      <c r="AV23" s="696">
        <f t="shared" si="5"/>
        <v>0</v>
      </c>
      <c r="AW23" s="697"/>
    </row>
    <row r="24" spans="3:49" s="51" customFormat="1" ht="20" customHeight="1" x14ac:dyDescent="0.15">
      <c r="C24" s="708">
        <v>62</v>
      </c>
      <c r="D24" s="709"/>
      <c r="E24" s="700" t="s">
        <v>331</v>
      </c>
      <c r="F24" s="700"/>
      <c r="G24" s="700"/>
      <c r="H24" s="700"/>
      <c r="I24" s="700"/>
      <c r="J24" s="700"/>
      <c r="K24" s="700"/>
      <c r="L24" s="700"/>
      <c r="M24" s="700"/>
      <c r="N24" s="309"/>
      <c r="O24" s="309" t="s">
        <v>116</v>
      </c>
      <c r="P24" s="310" t="s">
        <v>117</v>
      </c>
      <c r="Q24" s="687"/>
      <c r="R24" s="687"/>
      <c r="S24" s="311" t="s">
        <v>143</v>
      </c>
      <c r="T24" s="309"/>
      <c r="U24" s="309"/>
      <c r="V24" s="309"/>
      <c r="W24" s="664">
        <f t="shared" si="0"/>
        <v>0</v>
      </c>
      <c r="X24" s="664"/>
      <c r="Y24" s="664"/>
      <c r="Z24" s="665"/>
      <c r="AB24" s="663">
        <v>0</v>
      </c>
      <c r="AC24" s="664"/>
      <c r="AD24" s="665"/>
      <c r="AF24" s="663">
        <f t="shared" si="1"/>
        <v>0</v>
      </c>
      <c r="AG24" s="664"/>
      <c r="AH24" s="665"/>
      <c r="AJ24" s="710">
        <v>10</v>
      </c>
      <c r="AK24" s="711"/>
      <c r="AL24" s="677">
        <f t="shared" si="2"/>
        <v>0</v>
      </c>
      <c r="AM24" s="678"/>
      <c r="AN24" s="679">
        <f t="shared" si="7"/>
        <v>0</v>
      </c>
      <c r="AO24" s="680"/>
      <c r="AP24" s="676"/>
      <c r="AQ24" s="461"/>
      <c r="AT24" s="696">
        <f t="shared" si="6"/>
        <v>0</v>
      </c>
      <c r="AU24" s="697"/>
      <c r="AV24" s="696">
        <f t="shared" si="5"/>
        <v>0</v>
      </c>
      <c r="AW24" s="697"/>
    </row>
    <row r="25" spans="3:49" s="51" customFormat="1" ht="20" customHeight="1" x14ac:dyDescent="0.15">
      <c r="C25" s="708">
        <v>63</v>
      </c>
      <c r="D25" s="709"/>
      <c r="E25" s="700" t="s">
        <v>332</v>
      </c>
      <c r="F25" s="700"/>
      <c r="G25" s="700"/>
      <c r="H25" s="700"/>
      <c r="I25" s="700"/>
      <c r="J25" s="700"/>
      <c r="K25" s="700"/>
      <c r="L25" s="700"/>
      <c r="M25" s="700"/>
      <c r="N25" s="309"/>
      <c r="O25" s="309" t="s">
        <v>116</v>
      </c>
      <c r="P25" s="310" t="s">
        <v>117</v>
      </c>
      <c r="Q25" s="687"/>
      <c r="R25" s="687"/>
      <c r="S25" s="311" t="s">
        <v>143</v>
      </c>
      <c r="T25" s="309"/>
      <c r="U25" s="309"/>
      <c r="V25" s="309"/>
      <c r="W25" s="664">
        <f t="shared" si="0"/>
        <v>0</v>
      </c>
      <c r="X25" s="664"/>
      <c r="Y25" s="664"/>
      <c r="Z25" s="665"/>
      <c r="AB25" s="663">
        <v>0</v>
      </c>
      <c r="AC25" s="664"/>
      <c r="AD25" s="665"/>
      <c r="AF25" s="663">
        <f t="shared" si="1"/>
        <v>0</v>
      </c>
      <c r="AG25" s="664"/>
      <c r="AH25" s="665"/>
      <c r="AJ25" s="710">
        <v>10</v>
      </c>
      <c r="AK25" s="711"/>
      <c r="AL25" s="677">
        <f t="shared" si="2"/>
        <v>0</v>
      </c>
      <c r="AM25" s="678"/>
      <c r="AN25" s="679">
        <f t="shared" si="7"/>
        <v>0</v>
      </c>
      <c r="AO25" s="680"/>
      <c r="AP25" s="676"/>
      <c r="AQ25" s="461"/>
      <c r="AT25" s="696">
        <f t="shared" si="6"/>
        <v>0</v>
      </c>
      <c r="AU25" s="697"/>
      <c r="AV25" s="696">
        <f t="shared" si="5"/>
        <v>0</v>
      </c>
      <c r="AW25" s="697"/>
    </row>
    <row r="26" spans="3:49" s="51" customFormat="1" ht="20" customHeight="1" x14ac:dyDescent="0.15">
      <c r="C26" s="708">
        <v>64</v>
      </c>
      <c r="D26" s="709"/>
      <c r="E26" s="700" t="s">
        <v>333</v>
      </c>
      <c r="F26" s="700"/>
      <c r="G26" s="700"/>
      <c r="H26" s="700"/>
      <c r="I26" s="700"/>
      <c r="J26" s="700"/>
      <c r="K26" s="700"/>
      <c r="L26" s="700"/>
      <c r="M26" s="700"/>
      <c r="N26" s="309"/>
      <c r="O26" s="309" t="s">
        <v>116</v>
      </c>
      <c r="P26" s="310" t="s">
        <v>117</v>
      </c>
      <c r="Q26" s="687"/>
      <c r="R26" s="687"/>
      <c r="S26" s="311" t="s">
        <v>143</v>
      </c>
      <c r="T26" s="309"/>
      <c r="U26" s="309"/>
      <c r="V26" s="309"/>
      <c r="W26" s="664">
        <f t="shared" si="0"/>
        <v>0</v>
      </c>
      <c r="X26" s="664"/>
      <c r="Y26" s="664"/>
      <c r="Z26" s="665"/>
      <c r="AB26" s="663">
        <v>0</v>
      </c>
      <c r="AC26" s="664"/>
      <c r="AD26" s="665"/>
      <c r="AF26" s="663">
        <f t="shared" si="1"/>
        <v>0</v>
      </c>
      <c r="AG26" s="664"/>
      <c r="AH26" s="665"/>
      <c r="AJ26" s="710">
        <v>10</v>
      </c>
      <c r="AK26" s="711"/>
      <c r="AL26" s="677">
        <f t="shared" si="2"/>
        <v>0</v>
      </c>
      <c r="AM26" s="678"/>
      <c r="AN26" s="679">
        <f t="shared" si="7"/>
        <v>0</v>
      </c>
      <c r="AO26" s="680"/>
      <c r="AP26" s="676"/>
      <c r="AQ26" s="461"/>
      <c r="AT26" s="696">
        <f t="shared" si="6"/>
        <v>0</v>
      </c>
      <c r="AU26" s="697"/>
      <c r="AV26" s="696">
        <f t="shared" si="5"/>
        <v>0</v>
      </c>
      <c r="AW26" s="697"/>
    </row>
    <row r="27" spans="3:49" s="51" customFormat="1" ht="20" customHeight="1" x14ac:dyDescent="0.15">
      <c r="C27" s="708">
        <v>65</v>
      </c>
      <c r="D27" s="709"/>
      <c r="E27" s="700" t="s">
        <v>334</v>
      </c>
      <c r="F27" s="700"/>
      <c r="G27" s="700"/>
      <c r="H27" s="700"/>
      <c r="I27" s="700"/>
      <c r="J27" s="700"/>
      <c r="K27" s="700"/>
      <c r="L27" s="700"/>
      <c r="M27" s="700"/>
      <c r="N27" s="309"/>
      <c r="O27" s="309" t="s">
        <v>116</v>
      </c>
      <c r="P27" s="310" t="s">
        <v>117</v>
      </c>
      <c r="Q27" s="687"/>
      <c r="R27" s="687"/>
      <c r="S27" s="311" t="s">
        <v>143</v>
      </c>
      <c r="T27" s="309"/>
      <c r="U27" s="309"/>
      <c r="V27" s="309"/>
      <c r="W27" s="664">
        <f t="shared" si="0"/>
        <v>0</v>
      </c>
      <c r="X27" s="664"/>
      <c r="Y27" s="664"/>
      <c r="Z27" s="665"/>
      <c r="AB27" s="663">
        <v>0</v>
      </c>
      <c r="AC27" s="664"/>
      <c r="AD27" s="665"/>
      <c r="AF27" s="663">
        <f t="shared" si="1"/>
        <v>0</v>
      </c>
      <c r="AG27" s="664"/>
      <c r="AH27" s="665"/>
      <c r="AJ27" s="710">
        <v>10</v>
      </c>
      <c r="AK27" s="711"/>
      <c r="AL27" s="677">
        <f t="shared" si="2"/>
        <v>0</v>
      </c>
      <c r="AM27" s="678"/>
      <c r="AN27" s="679">
        <f t="shared" si="7"/>
        <v>0</v>
      </c>
      <c r="AO27" s="680"/>
      <c r="AP27" s="676"/>
      <c r="AQ27" s="461"/>
      <c r="AT27" s="696">
        <f t="shared" si="6"/>
        <v>0</v>
      </c>
      <c r="AU27" s="697"/>
      <c r="AV27" s="696">
        <f t="shared" si="5"/>
        <v>0</v>
      </c>
      <c r="AW27" s="697"/>
    </row>
    <row r="28" spans="3:49" s="51" customFormat="1" ht="20" customHeight="1" x14ac:dyDescent="0.15">
      <c r="C28" s="708">
        <v>66</v>
      </c>
      <c r="D28" s="709"/>
      <c r="E28" s="700" t="s">
        <v>5</v>
      </c>
      <c r="F28" s="700"/>
      <c r="G28" s="700"/>
      <c r="H28" s="700"/>
      <c r="I28" s="700"/>
      <c r="J28" s="700"/>
      <c r="K28" s="700"/>
      <c r="L28" s="700"/>
      <c r="M28" s="700"/>
      <c r="N28" s="309"/>
      <c r="O28" s="309" t="s">
        <v>116</v>
      </c>
      <c r="P28" s="310" t="s">
        <v>117</v>
      </c>
      <c r="Q28" s="687"/>
      <c r="R28" s="687"/>
      <c r="S28" s="311" t="s">
        <v>143</v>
      </c>
      <c r="T28" s="309"/>
      <c r="U28" s="309"/>
      <c r="V28" s="309"/>
      <c r="W28" s="664">
        <f t="shared" si="0"/>
        <v>0</v>
      </c>
      <c r="X28" s="664"/>
      <c r="Y28" s="664"/>
      <c r="Z28" s="665"/>
      <c r="AB28" s="663">
        <v>0</v>
      </c>
      <c r="AC28" s="664"/>
      <c r="AD28" s="665"/>
      <c r="AF28" s="663">
        <f t="shared" si="1"/>
        <v>0</v>
      </c>
      <c r="AG28" s="664"/>
      <c r="AH28" s="665"/>
      <c r="AJ28" s="710">
        <v>10</v>
      </c>
      <c r="AK28" s="711"/>
      <c r="AL28" s="677">
        <f t="shared" si="2"/>
        <v>0</v>
      </c>
      <c r="AM28" s="678"/>
      <c r="AN28" s="679">
        <f t="shared" ref="AN28:AN62" si="8">AL28*1.5</f>
        <v>0</v>
      </c>
      <c r="AO28" s="680"/>
      <c r="AP28" s="676"/>
      <c r="AQ28" s="461"/>
      <c r="AT28" s="696">
        <f t="shared" si="6"/>
        <v>0</v>
      </c>
      <c r="AU28" s="697"/>
      <c r="AV28" s="696">
        <f t="shared" si="5"/>
        <v>0</v>
      </c>
      <c r="AW28" s="697"/>
    </row>
    <row r="29" spans="3:49" s="51" customFormat="1" ht="20" customHeight="1" x14ac:dyDescent="0.15">
      <c r="C29" s="708">
        <v>67</v>
      </c>
      <c r="D29" s="709"/>
      <c r="E29" s="700" t="s">
        <v>335</v>
      </c>
      <c r="F29" s="700"/>
      <c r="G29" s="700"/>
      <c r="H29" s="700"/>
      <c r="I29" s="700"/>
      <c r="J29" s="700"/>
      <c r="K29" s="700"/>
      <c r="L29" s="700"/>
      <c r="M29" s="700"/>
      <c r="N29" s="309"/>
      <c r="O29" s="309" t="s">
        <v>116</v>
      </c>
      <c r="P29" s="310" t="s">
        <v>117</v>
      </c>
      <c r="Q29" s="687"/>
      <c r="R29" s="687"/>
      <c r="S29" s="311" t="s">
        <v>143</v>
      </c>
      <c r="T29" s="309"/>
      <c r="U29" s="309"/>
      <c r="V29" s="309"/>
      <c r="W29" s="664">
        <f t="shared" si="0"/>
        <v>0</v>
      </c>
      <c r="X29" s="664"/>
      <c r="Y29" s="664"/>
      <c r="Z29" s="665"/>
      <c r="AB29" s="663">
        <v>0</v>
      </c>
      <c r="AC29" s="664"/>
      <c r="AD29" s="665"/>
      <c r="AF29" s="663">
        <f t="shared" si="1"/>
        <v>0</v>
      </c>
      <c r="AG29" s="664"/>
      <c r="AH29" s="665"/>
      <c r="AJ29" s="710">
        <v>10</v>
      </c>
      <c r="AK29" s="711"/>
      <c r="AL29" s="677">
        <f t="shared" si="2"/>
        <v>0</v>
      </c>
      <c r="AM29" s="678"/>
      <c r="AN29" s="679">
        <f t="shared" si="8"/>
        <v>0</v>
      </c>
      <c r="AO29" s="680"/>
      <c r="AP29" s="676"/>
      <c r="AQ29" s="461"/>
      <c r="AT29" s="696">
        <f t="shared" si="6"/>
        <v>0</v>
      </c>
      <c r="AU29" s="697"/>
      <c r="AV29" s="696">
        <f t="shared" si="5"/>
        <v>0</v>
      </c>
      <c r="AW29" s="697"/>
    </row>
    <row r="30" spans="3:49" s="51" customFormat="1" ht="20" customHeight="1" x14ac:dyDescent="0.15">
      <c r="C30" s="708">
        <v>68</v>
      </c>
      <c r="D30" s="709"/>
      <c r="E30" s="700" t="s">
        <v>336</v>
      </c>
      <c r="F30" s="700"/>
      <c r="G30" s="700"/>
      <c r="H30" s="700"/>
      <c r="I30" s="700"/>
      <c r="J30" s="700"/>
      <c r="K30" s="700"/>
      <c r="L30" s="700"/>
      <c r="M30" s="700"/>
      <c r="N30" s="309"/>
      <c r="O30" s="309" t="s">
        <v>116</v>
      </c>
      <c r="P30" s="310" t="s">
        <v>117</v>
      </c>
      <c r="Q30" s="687"/>
      <c r="R30" s="687"/>
      <c r="S30" s="311" t="s">
        <v>143</v>
      </c>
      <c r="T30" s="309"/>
      <c r="U30" s="309"/>
      <c r="V30" s="309"/>
      <c r="W30" s="664">
        <f t="shared" si="0"/>
        <v>0</v>
      </c>
      <c r="X30" s="664"/>
      <c r="Y30" s="664"/>
      <c r="Z30" s="665"/>
      <c r="AB30" s="663">
        <v>0</v>
      </c>
      <c r="AC30" s="664"/>
      <c r="AD30" s="665"/>
      <c r="AF30" s="663">
        <f t="shared" si="1"/>
        <v>0</v>
      </c>
      <c r="AG30" s="664"/>
      <c r="AH30" s="665"/>
      <c r="AJ30" s="710">
        <v>10</v>
      </c>
      <c r="AK30" s="711"/>
      <c r="AL30" s="677">
        <f t="shared" si="2"/>
        <v>0</v>
      </c>
      <c r="AM30" s="678"/>
      <c r="AN30" s="679">
        <f t="shared" si="8"/>
        <v>0</v>
      </c>
      <c r="AO30" s="680"/>
      <c r="AP30" s="676"/>
      <c r="AQ30" s="461"/>
      <c r="AT30" s="696">
        <f t="shared" si="6"/>
        <v>0</v>
      </c>
      <c r="AU30" s="697"/>
      <c r="AV30" s="696">
        <f t="shared" si="5"/>
        <v>0</v>
      </c>
      <c r="AW30" s="697"/>
    </row>
    <row r="31" spans="3:49" s="51" customFormat="1" ht="20" customHeight="1" x14ac:dyDescent="0.15">
      <c r="C31" s="708">
        <v>69</v>
      </c>
      <c r="D31" s="709"/>
      <c r="E31" s="700" t="s">
        <v>337</v>
      </c>
      <c r="F31" s="700"/>
      <c r="G31" s="700"/>
      <c r="H31" s="700"/>
      <c r="I31" s="700"/>
      <c r="J31" s="700"/>
      <c r="K31" s="700"/>
      <c r="L31" s="700"/>
      <c r="M31" s="700"/>
      <c r="N31" s="309"/>
      <c r="O31" s="309" t="s">
        <v>116</v>
      </c>
      <c r="P31" s="310" t="s">
        <v>117</v>
      </c>
      <c r="Q31" s="687"/>
      <c r="R31" s="687"/>
      <c r="S31" s="311" t="s">
        <v>143</v>
      </c>
      <c r="T31" s="309"/>
      <c r="U31" s="309"/>
      <c r="V31" s="309"/>
      <c r="W31" s="664">
        <f t="shared" si="0"/>
        <v>0</v>
      </c>
      <c r="X31" s="664"/>
      <c r="Y31" s="664"/>
      <c r="Z31" s="665"/>
      <c r="AB31" s="663">
        <v>0</v>
      </c>
      <c r="AC31" s="664"/>
      <c r="AD31" s="665"/>
      <c r="AF31" s="663">
        <f t="shared" si="1"/>
        <v>0</v>
      </c>
      <c r="AG31" s="664"/>
      <c r="AH31" s="665"/>
      <c r="AJ31" s="710">
        <v>10</v>
      </c>
      <c r="AK31" s="711"/>
      <c r="AL31" s="677">
        <f t="shared" si="2"/>
        <v>0</v>
      </c>
      <c r="AM31" s="678"/>
      <c r="AN31" s="679">
        <f t="shared" si="8"/>
        <v>0</v>
      </c>
      <c r="AO31" s="680"/>
      <c r="AP31" s="676"/>
      <c r="AQ31" s="461"/>
      <c r="AT31" s="696">
        <f t="shared" si="6"/>
        <v>0</v>
      </c>
      <c r="AU31" s="697"/>
      <c r="AV31" s="696">
        <f t="shared" si="5"/>
        <v>0</v>
      </c>
      <c r="AW31" s="697"/>
    </row>
    <row r="32" spans="3:49" s="51" customFormat="1" ht="20" customHeight="1" x14ac:dyDescent="0.15">
      <c r="C32" s="708">
        <v>70</v>
      </c>
      <c r="D32" s="709"/>
      <c r="E32" s="700" t="s">
        <v>338</v>
      </c>
      <c r="F32" s="700"/>
      <c r="G32" s="700"/>
      <c r="H32" s="700"/>
      <c r="I32" s="700"/>
      <c r="J32" s="700"/>
      <c r="K32" s="700"/>
      <c r="L32" s="700"/>
      <c r="M32" s="700"/>
      <c r="N32" s="309"/>
      <c r="O32" s="309" t="s">
        <v>116</v>
      </c>
      <c r="P32" s="310" t="s">
        <v>117</v>
      </c>
      <c r="Q32" s="687"/>
      <c r="R32" s="687"/>
      <c r="S32" s="311" t="s">
        <v>143</v>
      </c>
      <c r="T32" s="309"/>
      <c r="U32" s="309"/>
      <c r="V32" s="309"/>
      <c r="W32" s="664">
        <f t="shared" si="0"/>
        <v>0</v>
      </c>
      <c r="X32" s="664"/>
      <c r="Y32" s="664"/>
      <c r="Z32" s="665"/>
      <c r="AB32" s="663">
        <v>0</v>
      </c>
      <c r="AC32" s="664"/>
      <c r="AD32" s="665"/>
      <c r="AF32" s="663">
        <f t="shared" si="1"/>
        <v>0</v>
      </c>
      <c r="AG32" s="664"/>
      <c r="AH32" s="665"/>
      <c r="AJ32" s="710">
        <v>10</v>
      </c>
      <c r="AK32" s="711"/>
      <c r="AL32" s="677">
        <f t="shared" si="2"/>
        <v>0</v>
      </c>
      <c r="AM32" s="678"/>
      <c r="AN32" s="679">
        <f t="shared" si="8"/>
        <v>0</v>
      </c>
      <c r="AO32" s="680"/>
      <c r="AP32" s="676"/>
      <c r="AQ32" s="461"/>
      <c r="AT32" s="696">
        <f t="shared" si="6"/>
        <v>0</v>
      </c>
      <c r="AU32" s="697"/>
      <c r="AV32" s="696">
        <f t="shared" si="5"/>
        <v>0</v>
      </c>
      <c r="AW32" s="697"/>
    </row>
    <row r="33" spans="3:49" s="51" customFormat="1" ht="20" customHeight="1" x14ac:dyDescent="0.15">
      <c r="C33" s="708">
        <v>71</v>
      </c>
      <c r="D33" s="709"/>
      <c r="E33" s="700" t="s">
        <v>339</v>
      </c>
      <c r="F33" s="700"/>
      <c r="G33" s="700"/>
      <c r="H33" s="700"/>
      <c r="I33" s="700"/>
      <c r="J33" s="700"/>
      <c r="K33" s="700"/>
      <c r="L33" s="700"/>
      <c r="M33" s="700"/>
      <c r="N33" s="309"/>
      <c r="O33" s="309" t="s">
        <v>116</v>
      </c>
      <c r="P33" s="310" t="s">
        <v>117</v>
      </c>
      <c r="Q33" s="687"/>
      <c r="R33" s="687"/>
      <c r="S33" s="311" t="s">
        <v>143</v>
      </c>
      <c r="T33" s="309"/>
      <c r="U33" s="309"/>
      <c r="V33" s="309"/>
      <c r="W33" s="664">
        <f t="shared" si="0"/>
        <v>0</v>
      </c>
      <c r="X33" s="664"/>
      <c r="Y33" s="664"/>
      <c r="Z33" s="665"/>
      <c r="AB33" s="663">
        <v>0</v>
      </c>
      <c r="AC33" s="664"/>
      <c r="AD33" s="665"/>
      <c r="AF33" s="663">
        <f t="shared" si="1"/>
        <v>0</v>
      </c>
      <c r="AG33" s="664"/>
      <c r="AH33" s="665"/>
      <c r="AJ33" s="710">
        <v>10</v>
      </c>
      <c r="AK33" s="711"/>
      <c r="AL33" s="677">
        <f t="shared" si="2"/>
        <v>0</v>
      </c>
      <c r="AM33" s="678"/>
      <c r="AN33" s="679">
        <f t="shared" si="8"/>
        <v>0</v>
      </c>
      <c r="AO33" s="680"/>
      <c r="AP33" s="676"/>
      <c r="AQ33" s="461"/>
      <c r="AT33" s="696">
        <f t="shared" si="6"/>
        <v>0</v>
      </c>
      <c r="AU33" s="697"/>
      <c r="AV33" s="696">
        <f t="shared" si="5"/>
        <v>0</v>
      </c>
      <c r="AW33" s="697"/>
    </row>
    <row r="34" spans="3:49" s="51" customFormat="1" ht="20" customHeight="1" x14ac:dyDescent="0.15">
      <c r="C34" s="708">
        <v>72</v>
      </c>
      <c r="D34" s="709"/>
      <c r="E34" s="700" t="s">
        <v>340</v>
      </c>
      <c r="F34" s="700"/>
      <c r="G34" s="700"/>
      <c r="H34" s="700"/>
      <c r="I34" s="700"/>
      <c r="J34" s="700"/>
      <c r="K34" s="700"/>
      <c r="L34" s="700"/>
      <c r="M34" s="700"/>
      <c r="N34" s="309"/>
      <c r="O34" s="309" t="s">
        <v>116</v>
      </c>
      <c r="P34" s="310" t="s">
        <v>117</v>
      </c>
      <c r="Q34" s="687"/>
      <c r="R34" s="687"/>
      <c r="S34" s="311" t="s">
        <v>143</v>
      </c>
      <c r="T34" s="309"/>
      <c r="U34" s="309"/>
      <c r="V34" s="309"/>
      <c r="W34" s="664">
        <f t="shared" si="0"/>
        <v>0</v>
      </c>
      <c r="X34" s="664"/>
      <c r="Y34" s="664"/>
      <c r="Z34" s="665"/>
      <c r="AB34" s="663">
        <v>0</v>
      </c>
      <c r="AC34" s="664"/>
      <c r="AD34" s="665"/>
      <c r="AF34" s="663">
        <f t="shared" si="1"/>
        <v>0</v>
      </c>
      <c r="AG34" s="664"/>
      <c r="AH34" s="665"/>
      <c r="AJ34" s="710">
        <v>10</v>
      </c>
      <c r="AK34" s="711"/>
      <c r="AL34" s="677">
        <f t="shared" si="2"/>
        <v>0</v>
      </c>
      <c r="AM34" s="678"/>
      <c r="AN34" s="679">
        <f t="shared" si="8"/>
        <v>0</v>
      </c>
      <c r="AO34" s="680"/>
      <c r="AP34" s="676"/>
      <c r="AQ34" s="461"/>
      <c r="AT34" s="696">
        <f t="shared" si="6"/>
        <v>0</v>
      </c>
      <c r="AU34" s="697"/>
      <c r="AV34" s="696">
        <f t="shared" si="5"/>
        <v>0</v>
      </c>
      <c r="AW34" s="697"/>
    </row>
    <row r="35" spans="3:49" s="51" customFormat="1" ht="20" customHeight="1" x14ac:dyDescent="0.15">
      <c r="C35" s="708">
        <v>73</v>
      </c>
      <c r="D35" s="709"/>
      <c r="E35" s="700" t="s">
        <v>341</v>
      </c>
      <c r="F35" s="700"/>
      <c r="G35" s="700"/>
      <c r="H35" s="700"/>
      <c r="I35" s="700"/>
      <c r="J35" s="700"/>
      <c r="K35" s="700"/>
      <c r="L35" s="700"/>
      <c r="M35" s="700"/>
      <c r="N35" s="309"/>
      <c r="O35" s="309" t="s">
        <v>116</v>
      </c>
      <c r="P35" s="310" t="s">
        <v>117</v>
      </c>
      <c r="Q35" s="687"/>
      <c r="R35" s="687"/>
      <c r="S35" s="311" t="s">
        <v>143</v>
      </c>
      <c r="T35" s="309"/>
      <c r="U35" s="309"/>
      <c r="V35" s="309"/>
      <c r="W35" s="664">
        <f t="shared" si="0"/>
        <v>0</v>
      </c>
      <c r="X35" s="664"/>
      <c r="Y35" s="664"/>
      <c r="Z35" s="665"/>
      <c r="AB35" s="663">
        <v>0</v>
      </c>
      <c r="AC35" s="664"/>
      <c r="AD35" s="665"/>
      <c r="AF35" s="663">
        <f t="shared" si="1"/>
        <v>0</v>
      </c>
      <c r="AG35" s="664"/>
      <c r="AH35" s="665"/>
      <c r="AJ35" s="710">
        <v>8</v>
      </c>
      <c r="AK35" s="711"/>
      <c r="AL35" s="677">
        <f t="shared" si="2"/>
        <v>0</v>
      </c>
      <c r="AM35" s="678"/>
      <c r="AN35" s="679">
        <f t="shared" si="8"/>
        <v>0</v>
      </c>
      <c r="AO35" s="680"/>
      <c r="AP35" s="676"/>
      <c r="AQ35" s="461"/>
      <c r="AT35" s="696">
        <f t="shared" si="6"/>
        <v>0</v>
      </c>
      <c r="AU35" s="697"/>
      <c r="AV35" s="696">
        <f t="shared" si="5"/>
        <v>0</v>
      </c>
      <c r="AW35" s="697"/>
    </row>
    <row r="36" spans="3:49" s="51" customFormat="1" ht="20" customHeight="1" x14ac:dyDescent="0.15">
      <c r="C36" s="708">
        <v>74</v>
      </c>
      <c r="D36" s="709"/>
      <c r="E36" s="700" t="s">
        <v>342</v>
      </c>
      <c r="F36" s="700"/>
      <c r="G36" s="700"/>
      <c r="H36" s="700"/>
      <c r="I36" s="700"/>
      <c r="J36" s="700"/>
      <c r="K36" s="700"/>
      <c r="L36" s="700"/>
      <c r="M36" s="700"/>
      <c r="N36" s="309"/>
      <c r="O36" s="309" t="s">
        <v>116</v>
      </c>
      <c r="P36" s="310" t="s">
        <v>117</v>
      </c>
      <c r="Q36" s="687"/>
      <c r="R36" s="687"/>
      <c r="S36" s="311" t="s">
        <v>143</v>
      </c>
      <c r="T36" s="309"/>
      <c r="U36" s="309"/>
      <c r="V36" s="309"/>
      <c r="W36" s="664">
        <f t="shared" si="0"/>
        <v>0</v>
      </c>
      <c r="X36" s="664"/>
      <c r="Y36" s="664"/>
      <c r="Z36" s="665"/>
      <c r="AB36" s="663">
        <v>0</v>
      </c>
      <c r="AC36" s="664"/>
      <c r="AD36" s="665"/>
      <c r="AF36" s="663">
        <f t="shared" si="1"/>
        <v>0</v>
      </c>
      <c r="AG36" s="664"/>
      <c r="AH36" s="665"/>
      <c r="AJ36" s="710">
        <v>8</v>
      </c>
      <c r="AK36" s="711"/>
      <c r="AL36" s="677">
        <f t="shared" si="2"/>
        <v>0</v>
      </c>
      <c r="AM36" s="678"/>
      <c r="AN36" s="679">
        <f t="shared" si="8"/>
        <v>0</v>
      </c>
      <c r="AO36" s="680"/>
      <c r="AP36" s="676"/>
      <c r="AQ36" s="461"/>
      <c r="AT36" s="696">
        <f t="shared" si="6"/>
        <v>0</v>
      </c>
      <c r="AU36" s="697"/>
      <c r="AV36" s="696">
        <f t="shared" si="5"/>
        <v>0</v>
      </c>
      <c r="AW36" s="697"/>
    </row>
    <row r="37" spans="3:49" s="51" customFormat="1" ht="20" customHeight="1" x14ac:dyDescent="0.15">
      <c r="C37" s="708">
        <v>75</v>
      </c>
      <c r="D37" s="709"/>
      <c r="E37" s="700" t="s">
        <v>343</v>
      </c>
      <c r="F37" s="700"/>
      <c r="G37" s="700"/>
      <c r="H37" s="700"/>
      <c r="I37" s="700"/>
      <c r="J37" s="700"/>
      <c r="K37" s="700"/>
      <c r="L37" s="700"/>
      <c r="M37" s="700"/>
      <c r="N37" s="309"/>
      <c r="O37" s="309" t="s">
        <v>116</v>
      </c>
      <c r="P37" s="310" t="s">
        <v>117</v>
      </c>
      <c r="Q37" s="687"/>
      <c r="R37" s="687"/>
      <c r="S37" s="311" t="s">
        <v>143</v>
      </c>
      <c r="T37" s="309"/>
      <c r="U37" s="309"/>
      <c r="V37" s="309"/>
      <c r="W37" s="664">
        <f t="shared" si="0"/>
        <v>0</v>
      </c>
      <c r="X37" s="664"/>
      <c r="Y37" s="664"/>
      <c r="Z37" s="665"/>
      <c r="AB37" s="663">
        <v>0</v>
      </c>
      <c r="AC37" s="664"/>
      <c r="AD37" s="665"/>
      <c r="AF37" s="663">
        <f t="shared" si="1"/>
        <v>0</v>
      </c>
      <c r="AG37" s="664"/>
      <c r="AH37" s="665"/>
      <c r="AJ37" s="710">
        <v>8</v>
      </c>
      <c r="AK37" s="711"/>
      <c r="AL37" s="677">
        <f t="shared" si="2"/>
        <v>0</v>
      </c>
      <c r="AM37" s="678"/>
      <c r="AN37" s="679">
        <f t="shared" si="8"/>
        <v>0</v>
      </c>
      <c r="AO37" s="680"/>
      <c r="AP37" s="676"/>
      <c r="AQ37" s="461"/>
      <c r="AT37" s="696">
        <f t="shared" si="6"/>
        <v>0</v>
      </c>
      <c r="AU37" s="697"/>
      <c r="AV37" s="696">
        <f t="shared" si="5"/>
        <v>0</v>
      </c>
      <c r="AW37" s="697"/>
    </row>
    <row r="38" spans="3:49" s="51" customFormat="1" ht="20" customHeight="1" x14ac:dyDescent="0.15">
      <c r="C38" s="708">
        <v>76</v>
      </c>
      <c r="D38" s="709"/>
      <c r="E38" s="701" t="s">
        <v>373</v>
      </c>
      <c r="F38" s="701"/>
      <c r="G38" s="701"/>
      <c r="H38" s="701"/>
      <c r="I38" s="701"/>
      <c r="J38" s="701"/>
      <c r="K38" s="701"/>
      <c r="L38" s="701"/>
      <c r="M38" s="701"/>
      <c r="N38" s="309"/>
      <c r="O38" s="309" t="s">
        <v>116</v>
      </c>
      <c r="P38" s="310" t="s">
        <v>117</v>
      </c>
      <c r="Q38" s="687"/>
      <c r="R38" s="687"/>
      <c r="S38" s="311" t="s">
        <v>143</v>
      </c>
      <c r="T38" s="309"/>
      <c r="U38" s="309"/>
      <c r="V38" s="309"/>
      <c r="W38" s="664">
        <f t="shared" si="0"/>
        <v>0</v>
      </c>
      <c r="X38" s="664"/>
      <c r="Y38" s="664"/>
      <c r="Z38" s="665"/>
      <c r="AB38" s="663">
        <v>0</v>
      </c>
      <c r="AC38" s="664"/>
      <c r="AD38" s="665"/>
      <c r="AF38" s="663">
        <f t="shared" si="1"/>
        <v>0</v>
      </c>
      <c r="AG38" s="664"/>
      <c r="AH38" s="665"/>
      <c r="AJ38" s="710">
        <v>8</v>
      </c>
      <c r="AK38" s="711"/>
      <c r="AL38" s="677">
        <f t="shared" si="2"/>
        <v>0</v>
      </c>
      <c r="AM38" s="678"/>
      <c r="AN38" s="679">
        <f t="shared" si="8"/>
        <v>0</v>
      </c>
      <c r="AO38" s="680"/>
      <c r="AP38" s="676"/>
      <c r="AQ38" s="461"/>
      <c r="AT38" s="696">
        <f t="shared" si="6"/>
        <v>0</v>
      </c>
      <c r="AU38" s="697"/>
      <c r="AV38" s="696">
        <f t="shared" si="5"/>
        <v>0</v>
      </c>
      <c r="AW38" s="697"/>
    </row>
    <row r="39" spans="3:49" s="51" customFormat="1" ht="20" customHeight="1" x14ac:dyDescent="0.15">
      <c r="C39" s="708">
        <v>77</v>
      </c>
      <c r="D39" s="709"/>
      <c r="E39" s="700" t="s">
        <v>344</v>
      </c>
      <c r="F39" s="700"/>
      <c r="G39" s="700"/>
      <c r="H39" s="700"/>
      <c r="I39" s="700"/>
      <c r="J39" s="700"/>
      <c r="K39" s="700"/>
      <c r="L39" s="700"/>
      <c r="M39" s="700"/>
      <c r="N39" s="309"/>
      <c r="O39" s="309" t="s">
        <v>116</v>
      </c>
      <c r="P39" s="310" t="s">
        <v>117</v>
      </c>
      <c r="Q39" s="687"/>
      <c r="R39" s="687"/>
      <c r="S39" s="311" t="s">
        <v>143</v>
      </c>
      <c r="T39" s="309"/>
      <c r="U39" s="309"/>
      <c r="V39" s="309"/>
      <c r="W39" s="664">
        <f t="shared" si="0"/>
        <v>0</v>
      </c>
      <c r="X39" s="664"/>
      <c r="Y39" s="664"/>
      <c r="Z39" s="665"/>
      <c r="AB39" s="663">
        <v>0</v>
      </c>
      <c r="AC39" s="664"/>
      <c r="AD39" s="665"/>
      <c r="AF39" s="663">
        <f t="shared" si="1"/>
        <v>0</v>
      </c>
      <c r="AG39" s="664"/>
      <c r="AH39" s="665"/>
      <c r="AJ39" s="710">
        <v>8</v>
      </c>
      <c r="AK39" s="711"/>
      <c r="AL39" s="677">
        <f t="shared" si="2"/>
        <v>0</v>
      </c>
      <c r="AM39" s="678"/>
      <c r="AN39" s="679">
        <f t="shared" si="8"/>
        <v>0</v>
      </c>
      <c r="AO39" s="680"/>
      <c r="AP39" s="676"/>
      <c r="AQ39" s="461"/>
      <c r="AT39" s="696">
        <f t="shared" si="6"/>
        <v>0</v>
      </c>
      <c r="AU39" s="697"/>
      <c r="AV39" s="696">
        <f t="shared" si="5"/>
        <v>0</v>
      </c>
      <c r="AW39" s="697"/>
    </row>
    <row r="40" spans="3:49" s="51" customFormat="1" ht="20" customHeight="1" x14ac:dyDescent="0.15">
      <c r="C40" s="708">
        <v>78</v>
      </c>
      <c r="D40" s="709"/>
      <c r="E40" s="700" t="s">
        <v>6</v>
      </c>
      <c r="F40" s="700"/>
      <c r="G40" s="700"/>
      <c r="H40" s="700"/>
      <c r="I40" s="700"/>
      <c r="J40" s="700"/>
      <c r="K40" s="700"/>
      <c r="L40" s="700"/>
      <c r="M40" s="700"/>
      <c r="N40" s="309"/>
      <c r="O40" s="309" t="s">
        <v>116</v>
      </c>
      <c r="P40" s="310" t="s">
        <v>117</v>
      </c>
      <c r="Q40" s="687"/>
      <c r="R40" s="687"/>
      <c r="S40" s="311" t="s">
        <v>143</v>
      </c>
      <c r="T40" s="309"/>
      <c r="U40" s="309"/>
      <c r="V40" s="309"/>
      <c r="W40" s="664">
        <f t="shared" si="0"/>
        <v>0</v>
      </c>
      <c r="X40" s="664"/>
      <c r="Y40" s="664"/>
      <c r="Z40" s="665"/>
      <c r="AB40" s="663">
        <v>0</v>
      </c>
      <c r="AC40" s="664"/>
      <c r="AD40" s="665"/>
      <c r="AF40" s="663">
        <f t="shared" si="1"/>
        <v>0</v>
      </c>
      <c r="AG40" s="664"/>
      <c r="AH40" s="665"/>
      <c r="AJ40" s="710">
        <v>10</v>
      </c>
      <c r="AK40" s="711"/>
      <c r="AL40" s="677">
        <f t="shared" si="2"/>
        <v>0</v>
      </c>
      <c r="AM40" s="678"/>
      <c r="AN40" s="679">
        <f t="shared" si="8"/>
        <v>0</v>
      </c>
      <c r="AO40" s="680"/>
      <c r="AP40" s="676"/>
      <c r="AQ40" s="461"/>
      <c r="AT40" s="696">
        <f t="shared" si="6"/>
        <v>0</v>
      </c>
      <c r="AU40" s="697"/>
      <c r="AV40" s="696">
        <f t="shared" si="5"/>
        <v>0</v>
      </c>
      <c r="AW40" s="697"/>
    </row>
    <row r="41" spans="3:49" s="51" customFormat="1" ht="20" customHeight="1" x14ac:dyDescent="0.15">
      <c r="C41" s="708">
        <v>79</v>
      </c>
      <c r="D41" s="709"/>
      <c r="E41" s="700" t="s">
        <v>422</v>
      </c>
      <c r="F41" s="700"/>
      <c r="G41" s="700"/>
      <c r="H41" s="700"/>
      <c r="I41" s="700"/>
      <c r="J41" s="700"/>
      <c r="K41" s="700"/>
      <c r="L41" s="700"/>
      <c r="M41" s="700"/>
      <c r="N41" s="309"/>
      <c r="O41" s="309" t="s">
        <v>116</v>
      </c>
      <c r="P41" s="310" t="s">
        <v>117</v>
      </c>
      <c r="Q41" s="687"/>
      <c r="R41" s="687"/>
      <c r="S41" s="311" t="s">
        <v>143</v>
      </c>
      <c r="T41" s="309"/>
      <c r="U41" s="309"/>
      <c r="V41" s="309"/>
      <c r="W41" s="664">
        <f t="shared" si="0"/>
        <v>0</v>
      </c>
      <c r="X41" s="664"/>
      <c r="Y41" s="664"/>
      <c r="Z41" s="665"/>
      <c r="AB41" s="663">
        <v>0</v>
      </c>
      <c r="AC41" s="664"/>
      <c r="AD41" s="665"/>
      <c r="AF41" s="663">
        <f t="shared" si="1"/>
        <v>0</v>
      </c>
      <c r="AG41" s="664"/>
      <c r="AH41" s="665"/>
      <c r="AJ41" s="710">
        <v>10</v>
      </c>
      <c r="AK41" s="711"/>
      <c r="AL41" s="677">
        <f t="shared" si="2"/>
        <v>0</v>
      </c>
      <c r="AM41" s="678"/>
      <c r="AN41" s="679">
        <f t="shared" si="8"/>
        <v>0</v>
      </c>
      <c r="AO41" s="680"/>
      <c r="AP41" s="676"/>
      <c r="AQ41" s="461"/>
      <c r="AT41" s="696">
        <f t="shared" si="6"/>
        <v>0</v>
      </c>
      <c r="AU41" s="697"/>
      <c r="AV41" s="696">
        <f t="shared" si="5"/>
        <v>0</v>
      </c>
      <c r="AW41" s="697"/>
    </row>
    <row r="42" spans="3:49" s="51" customFormat="1" ht="20" customHeight="1" x14ac:dyDescent="0.15">
      <c r="C42" s="708">
        <v>80</v>
      </c>
      <c r="D42" s="709"/>
      <c r="E42" s="700" t="s">
        <v>413</v>
      </c>
      <c r="F42" s="700"/>
      <c r="G42" s="700"/>
      <c r="H42" s="700"/>
      <c r="I42" s="700"/>
      <c r="J42" s="700"/>
      <c r="K42" s="700"/>
      <c r="L42" s="700"/>
      <c r="M42" s="700"/>
      <c r="N42" s="309"/>
      <c r="O42" s="309" t="s">
        <v>116</v>
      </c>
      <c r="P42" s="310" t="s">
        <v>117</v>
      </c>
      <c r="Q42" s="687"/>
      <c r="R42" s="687"/>
      <c r="S42" s="311" t="s">
        <v>143</v>
      </c>
      <c r="T42" s="309"/>
      <c r="U42" s="309"/>
      <c r="V42" s="309"/>
      <c r="W42" s="664">
        <f t="shared" si="0"/>
        <v>0</v>
      </c>
      <c r="X42" s="664"/>
      <c r="Y42" s="664"/>
      <c r="Z42" s="665"/>
      <c r="AB42" s="663">
        <v>0</v>
      </c>
      <c r="AC42" s="664"/>
      <c r="AD42" s="665"/>
      <c r="AF42" s="663">
        <f t="shared" si="1"/>
        <v>0</v>
      </c>
      <c r="AG42" s="664"/>
      <c r="AH42" s="665"/>
      <c r="AJ42" s="710">
        <v>10</v>
      </c>
      <c r="AK42" s="711"/>
      <c r="AL42" s="677">
        <f t="shared" si="2"/>
        <v>0</v>
      </c>
      <c r="AM42" s="678"/>
      <c r="AN42" s="679">
        <f t="shared" si="8"/>
        <v>0</v>
      </c>
      <c r="AO42" s="680"/>
      <c r="AP42" s="676"/>
      <c r="AQ42" s="461"/>
      <c r="AT42" s="696">
        <f t="shared" si="6"/>
        <v>0</v>
      </c>
      <c r="AU42" s="697"/>
      <c r="AV42" s="696">
        <f t="shared" si="5"/>
        <v>0</v>
      </c>
      <c r="AW42" s="697"/>
    </row>
    <row r="43" spans="3:49" s="51" customFormat="1" ht="20" customHeight="1" x14ac:dyDescent="0.15">
      <c r="C43" s="708">
        <v>81</v>
      </c>
      <c r="D43" s="709"/>
      <c r="E43" s="700" t="s">
        <v>345</v>
      </c>
      <c r="F43" s="700"/>
      <c r="G43" s="700"/>
      <c r="H43" s="700"/>
      <c r="I43" s="700"/>
      <c r="J43" s="700"/>
      <c r="K43" s="700"/>
      <c r="L43" s="700"/>
      <c r="M43" s="700"/>
      <c r="N43" s="309"/>
      <c r="O43" s="309" t="s">
        <v>116</v>
      </c>
      <c r="P43" s="310" t="s">
        <v>117</v>
      </c>
      <c r="Q43" s="687"/>
      <c r="R43" s="687"/>
      <c r="S43" s="311" t="s">
        <v>143</v>
      </c>
      <c r="T43" s="309"/>
      <c r="U43" s="309"/>
      <c r="V43" s="309"/>
      <c r="W43" s="664">
        <f t="shared" si="0"/>
        <v>0</v>
      </c>
      <c r="X43" s="664"/>
      <c r="Y43" s="664"/>
      <c r="Z43" s="665"/>
      <c r="AB43" s="663">
        <v>0</v>
      </c>
      <c r="AC43" s="664"/>
      <c r="AD43" s="665"/>
      <c r="AF43" s="663">
        <f t="shared" si="1"/>
        <v>0</v>
      </c>
      <c r="AG43" s="664"/>
      <c r="AH43" s="665"/>
      <c r="AJ43" s="710">
        <v>10</v>
      </c>
      <c r="AK43" s="711"/>
      <c r="AL43" s="677">
        <f t="shared" si="2"/>
        <v>0</v>
      </c>
      <c r="AM43" s="678"/>
      <c r="AN43" s="679">
        <f t="shared" si="8"/>
        <v>0</v>
      </c>
      <c r="AO43" s="680"/>
      <c r="AP43" s="676"/>
      <c r="AQ43" s="461"/>
      <c r="AT43" s="696">
        <f t="shared" si="6"/>
        <v>0</v>
      </c>
      <c r="AU43" s="697"/>
      <c r="AV43" s="696">
        <f t="shared" si="5"/>
        <v>0</v>
      </c>
      <c r="AW43" s="697"/>
    </row>
    <row r="44" spans="3:49" s="51" customFormat="1" ht="20" customHeight="1" x14ac:dyDescent="0.15">
      <c r="C44" s="708">
        <v>82</v>
      </c>
      <c r="D44" s="709"/>
      <c r="E44" s="700" t="s">
        <v>346</v>
      </c>
      <c r="F44" s="700"/>
      <c r="G44" s="700"/>
      <c r="H44" s="700"/>
      <c r="I44" s="700"/>
      <c r="J44" s="700"/>
      <c r="K44" s="700"/>
      <c r="L44" s="700"/>
      <c r="M44" s="700"/>
      <c r="N44" s="309"/>
      <c r="O44" s="309" t="s">
        <v>116</v>
      </c>
      <c r="P44" s="310" t="s">
        <v>117</v>
      </c>
      <c r="Q44" s="687"/>
      <c r="R44" s="687"/>
      <c r="S44" s="311" t="s">
        <v>143</v>
      </c>
      <c r="T44" s="309"/>
      <c r="U44" s="309"/>
      <c r="V44" s="309"/>
      <c r="W44" s="664">
        <f t="shared" si="0"/>
        <v>0</v>
      </c>
      <c r="X44" s="664"/>
      <c r="Y44" s="664"/>
      <c r="Z44" s="665"/>
      <c r="AB44" s="663">
        <v>0</v>
      </c>
      <c r="AC44" s="664"/>
      <c r="AD44" s="665"/>
      <c r="AF44" s="663">
        <f t="shared" si="1"/>
        <v>0</v>
      </c>
      <c r="AG44" s="664"/>
      <c r="AH44" s="665"/>
      <c r="AJ44" s="710">
        <v>10</v>
      </c>
      <c r="AK44" s="711"/>
      <c r="AL44" s="677">
        <f t="shared" si="2"/>
        <v>0</v>
      </c>
      <c r="AM44" s="678"/>
      <c r="AN44" s="679">
        <f t="shared" si="8"/>
        <v>0</v>
      </c>
      <c r="AO44" s="680"/>
      <c r="AP44" s="676"/>
      <c r="AQ44" s="461"/>
      <c r="AT44" s="696">
        <f t="shared" si="6"/>
        <v>0</v>
      </c>
      <c r="AU44" s="697"/>
      <c r="AV44" s="696">
        <f t="shared" si="5"/>
        <v>0</v>
      </c>
      <c r="AW44" s="697"/>
    </row>
    <row r="45" spans="3:49" s="51" customFormat="1" ht="20" customHeight="1" x14ac:dyDescent="0.15">
      <c r="C45" s="708">
        <v>83</v>
      </c>
      <c r="D45" s="709"/>
      <c r="E45" s="700" t="s">
        <v>347</v>
      </c>
      <c r="F45" s="700"/>
      <c r="G45" s="700"/>
      <c r="H45" s="700"/>
      <c r="I45" s="700"/>
      <c r="J45" s="700"/>
      <c r="K45" s="700"/>
      <c r="L45" s="700"/>
      <c r="M45" s="700"/>
      <c r="N45" s="309"/>
      <c r="O45" s="309" t="s">
        <v>116</v>
      </c>
      <c r="P45" s="310" t="s">
        <v>117</v>
      </c>
      <c r="Q45" s="687"/>
      <c r="R45" s="687"/>
      <c r="S45" s="311" t="s">
        <v>143</v>
      </c>
      <c r="T45" s="309"/>
      <c r="U45" s="309"/>
      <c r="V45" s="309"/>
      <c r="W45" s="664">
        <f t="shared" ref="W45:W62" si="9">IF(ISNUMBER(N45),(N45*Q45*IF(ISNUMBER(T45),T45,1)+(IFERROR(U45*(Q45/AJ45)*1.5,0))+(IFERROR(V45*(Q45/AJ45)*2,0))),0)</f>
        <v>0</v>
      </c>
      <c r="X45" s="664"/>
      <c r="Y45" s="664"/>
      <c r="Z45" s="665"/>
      <c r="AB45" s="663">
        <v>0</v>
      </c>
      <c r="AC45" s="664"/>
      <c r="AD45" s="665"/>
      <c r="AF45" s="663">
        <f t="shared" ref="AF45:AF65" si="10">AB45-W45</f>
        <v>0</v>
      </c>
      <c r="AG45" s="664"/>
      <c r="AH45" s="665"/>
      <c r="AJ45" s="710">
        <v>10</v>
      </c>
      <c r="AK45" s="711"/>
      <c r="AL45" s="677">
        <f t="shared" ref="AL45:AL62" si="11">IFERROR(Q45/(AJ45+((AJ45-HourlyState_B)*0.5)),0)</f>
        <v>0</v>
      </c>
      <c r="AM45" s="678"/>
      <c r="AN45" s="679">
        <f t="shared" si="8"/>
        <v>0</v>
      </c>
      <c r="AO45" s="680"/>
      <c r="AP45" s="676"/>
      <c r="AQ45" s="461"/>
      <c r="AT45" s="696">
        <f t="shared" si="6"/>
        <v>0</v>
      </c>
      <c r="AU45" s="697"/>
      <c r="AV45" s="696">
        <f t="shared" ref="AV45:AV62" si="12">(AJ45-HourlyState_B)*AN45</f>
        <v>0</v>
      </c>
      <c r="AW45" s="697"/>
    </row>
    <row r="46" spans="3:49" s="51" customFormat="1" ht="20" customHeight="1" x14ac:dyDescent="0.15">
      <c r="C46" s="708">
        <v>84</v>
      </c>
      <c r="D46" s="709"/>
      <c r="E46" s="700" t="s">
        <v>348</v>
      </c>
      <c r="F46" s="700"/>
      <c r="G46" s="700"/>
      <c r="H46" s="700"/>
      <c r="I46" s="700"/>
      <c r="J46" s="700"/>
      <c r="K46" s="700"/>
      <c r="L46" s="700"/>
      <c r="M46" s="700"/>
      <c r="N46" s="309"/>
      <c r="O46" s="309" t="s">
        <v>116</v>
      </c>
      <c r="P46" s="310" t="s">
        <v>117</v>
      </c>
      <c r="Q46" s="687"/>
      <c r="R46" s="687"/>
      <c r="S46" s="311" t="s">
        <v>143</v>
      </c>
      <c r="T46" s="309"/>
      <c r="U46" s="309"/>
      <c r="V46" s="309"/>
      <c r="W46" s="664">
        <f t="shared" si="9"/>
        <v>0</v>
      </c>
      <c r="X46" s="664"/>
      <c r="Y46" s="664"/>
      <c r="Z46" s="665"/>
      <c r="AB46" s="663">
        <v>0</v>
      </c>
      <c r="AC46" s="664"/>
      <c r="AD46" s="665"/>
      <c r="AF46" s="663">
        <f t="shared" si="10"/>
        <v>0</v>
      </c>
      <c r="AG46" s="664"/>
      <c r="AH46" s="665"/>
      <c r="AJ46" s="710">
        <v>10</v>
      </c>
      <c r="AK46" s="711"/>
      <c r="AL46" s="677">
        <f t="shared" si="11"/>
        <v>0</v>
      </c>
      <c r="AM46" s="678"/>
      <c r="AN46" s="679">
        <f t="shared" si="8"/>
        <v>0</v>
      </c>
      <c r="AO46" s="680"/>
      <c r="AP46" s="676"/>
      <c r="AQ46" s="461"/>
      <c r="AT46" s="696">
        <f t="shared" si="6"/>
        <v>0</v>
      </c>
      <c r="AU46" s="697"/>
      <c r="AV46" s="696">
        <f t="shared" si="12"/>
        <v>0</v>
      </c>
      <c r="AW46" s="697"/>
    </row>
    <row r="47" spans="3:49" s="51" customFormat="1" ht="20" customHeight="1" x14ac:dyDescent="0.15">
      <c r="C47" s="708">
        <v>85</v>
      </c>
      <c r="D47" s="709"/>
      <c r="E47" s="700" t="s">
        <v>349</v>
      </c>
      <c r="F47" s="700"/>
      <c r="G47" s="700"/>
      <c r="H47" s="700"/>
      <c r="I47" s="700"/>
      <c r="J47" s="700"/>
      <c r="K47" s="700"/>
      <c r="L47" s="700"/>
      <c r="M47" s="700"/>
      <c r="N47" s="309"/>
      <c r="O47" s="309" t="s">
        <v>116</v>
      </c>
      <c r="P47" s="310" t="s">
        <v>117</v>
      </c>
      <c r="Q47" s="687"/>
      <c r="R47" s="687"/>
      <c r="S47" s="311" t="s">
        <v>143</v>
      </c>
      <c r="T47" s="309"/>
      <c r="U47" s="309"/>
      <c r="V47" s="309"/>
      <c r="W47" s="664">
        <f t="shared" si="9"/>
        <v>0</v>
      </c>
      <c r="X47" s="664"/>
      <c r="Y47" s="664"/>
      <c r="Z47" s="665"/>
      <c r="AB47" s="663">
        <v>0</v>
      </c>
      <c r="AC47" s="664"/>
      <c r="AD47" s="665"/>
      <c r="AF47" s="663">
        <f t="shared" si="10"/>
        <v>0</v>
      </c>
      <c r="AG47" s="664"/>
      <c r="AH47" s="665"/>
      <c r="AJ47" s="710">
        <v>10</v>
      </c>
      <c r="AK47" s="711"/>
      <c r="AL47" s="677">
        <f t="shared" si="11"/>
        <v>0</v>
      </c>
      <c r="AM47" s="678"/>
      <c r="AN47" s="679">
        <f t="shared" si="8"/>
        <v>0</v>
      </c>
      <c r="AO47" s="680"/>
      <c r="AP47" s="676"/>
      <c r="AQ47" s="461"/>
      <c r="AT47" s="696">
        <f t="shared" si="6"/>
        <v>0</v>
      </c>
      <c r="AU47" s="697"/>
      <c r="AV47" s="696">
        <f t="shared" si="12"/>
        <v>0</v>
      </c>
      <c r="AW47" s="697"/>
    </row>
    <row r="48" spans="3:49" s="51" customFormat="1" ht="20" customHeight="1" x14ac:dyDescent="0.15">
      <c r="C48" s="708">
        <v>86</v>
      </c>
      <c r="D48" s="709"/>
      <c r="E48" s="700" t="s">
        <v>7</v>
      </c>
      <c r="F48" s="700"/>
      <c r="G48" s="700"/>
      <c r="H48" s="700"/>
      <c r="I48" s="700"/>
      <c r="J48" s="700"/>
      <c r="K48" s="700"/>
      <c r="L48" s="700"/>
      <c r="M48" s="700"/>
      <c r="N48" s="309"/>
      <c r="O48" s="309" t="s">
        <v>116</v>
      </c>
      <c r="P48" s="310" t="s">
        <v>117</v>
      </c>
      <c r="Q48" s="687"/>
      <c r="R48" s="687"/>
      <c r="S48" s="311" t="s">
        <v>143</v>
      </c>
      <c r="T48" s="309"/>
      <c r="U48" s="309"/>
      <c r="V48" s="309"/>
      <c r="W48" s="664">
        <f t="shared" si="9"/>
        <v>0</v>
      </c>
      <c r="X48" s="664"/>
      <c r="Y48" s="664"/>
      <c r="Z48" s="665"/>
      <c r="AB48" s="663">
        <v>0</v>
      </c>
      <c r="AC48" s="664"/>
      <c r="AD48" s="665"/>
      <c r="AF48" s="663">
        <f t="shared" si="10"/>
        <v>0</v>
      </c>
      <c r="AG48" s="664"/>
      <c r="AH48" s="665"/>
      <c r="AJ48" s="710">
        <v>10</v>
      </c>
      <c r="AK48" s="711"/>
      <c r="AL48" s="677">
        <f t="shared" si="11"/>
        <v>0</v>
      </c>
      <c r="AM48" s="678"/>
      <c r="AN48" s="679">
        <f t="shared" si="8"/>
        <v>0</v>
      </c>
      <c r="AO48" s="680"/>
      <c r="AP48" s="676"/>
      <c r="AQ48" s="461"/>
      <c r="AT48" s="696">
        <f t="shared" si="6"/>
        <v>0</v>
      </c>
      <c r="AU48" s="697"/>
      <c r="AV48" s="696">
        <f t="shared" si="12"/>
        <v>0</v>
      </c>
      <c r="AW48" s="697"/>
    </row>
    <row r="49" spans="3:49" s="51" customFormat="1" ht="20" customHeight="1" x14ac:dyDescent="0.15">
      <c r="C49" s="708">
        <v>87</v>
      </c>
      <c r="D49" s="709"/>
      <c r="E49" s="700" t="s">
        <v>801</v>
      </c>
      <c r="F49" s="700"/>
      <c r="G49" s="700"/>
      <c r="H49" s="700"/>
      <c r="I49" s="700"/>
      <c r="J49" s="700"/>
      <c r="K49" s="700"/>
      <c r="L49" s="700"/>
      <c r="M49" s="700"/>
      <c r="N49" s="309"/>
      <c r="O49" s="309" t="s">
        <v>116</v>
      </c>
      <c r="P49" s="310" t="s">
        <v>117</v>
      </c>
      <c r="Q49" s="687"/>
      <c r="R49" s="687"/>
      <c r="S49" s="311" t="s">
        <v>143</v>
      </c>
      <c r="T49" s="309"/>
      <c r="U49" s="309"/>
      <c r="V49" s="309"/>
      <c r="W49" s="664">
        <f t="shared" si="9"/>
        <v>0</v>
      </c>
      <c r="X49" s="664"/>
      <c r="Y49" s="664"/>
      <c r="Z49" s="665"/>
      <c r="AB49" s="663">
        <v>0</v>
      </c>
      <c r="AC49" s="664"/>
      <c r="AD49" s="665"/>
      <c r="AF49" s="663">
        <f t="shared" si="10"/>
        <v>0</v>
      </c>
      <c r="AG49" s="664"/>
      <c r="AH49" s="665"/>
      <c r="AJ49" s="710">
        <v>10</v>
      </c>
      <c r="AK49" s="711"/>
      <c r="AL49" s="677">
        <f t="shared" si="11"/>
        <v>0</v>
      </c>
      <c r="AM49" s="678"/>
      <c r="AN49" s="679">
        <f t="shared" si="8"/>
        <v>0</v>
      </c>
      <c r="AO49" s="680"/>
      <c r="AP49" s="676"/>
      <c r="AQ49" s="461"/>
      <c r="AT49" s="696">
        <f t="shared" si="6"/>
        <v>0</v>
      </c>
      <c r="AU49" s="697"/>
      <c r="AV49" s="696">
        <f t="shared" si="12"/>
        <v>0</v>
      </c>
      <c r="AW49" s="697"/>
    </row>
    <row r="50" spans="3:49" s="51" customFormat="1" ht="20" customHeight="1" x14ac:dyDescent="0.15">
      <c r="C50" s="708">
        <v>88</v>
      </c>
      <c r="D50" s="709"/>
      <c r="E50" s="700" t="s">
        <v>820</v>
      </c>
      <c r="F50" s="700"/>
      <c r="G50" s="700"/>
      <c r="H50" s="700"/>
      <c r="I50" s="700"/>
      <c r="J50" s="700"/>
      <c r="K50" s="700"/>
      <c r="L50" s="700"/>
      <c r="M50" s="700"/>
      <c r="N50" s="309"/>
      <c r="O50" s="309" t="s">
        <v>116</v>
      </c>
      <c r="P50" s="310" t="s">
        <v>117</v>
      </c>
      <c r="Q50" s="687"/>
      <c r="R50" s="687"/>
      <c r="S50" s="311" t="s">
        <v>143</v>
      </c>
      <c r="T50" s="309"/>
      <c r="U50" s="309"/>
      <c r="V50" s="309"/>
      <c r="W50" s="664">
        <f t="shared" si="9"/>
        <v>0</v>
      </c>
      <c r="X50" s="664"/>
      <c r="Y50" s="664"/>
      <c r="Z50" s="665"/>
      <c r="AB50" s="663">
        <v>0</v>
      </c>
      <c r="AC50" s="664"/>
      <c r="AD50" s="665"/>
      <c r="AF50" s="663">
        <f t="shared" si="10"/>
        <v>0</v>
      </c>
      <c r="AG50" s="664"/>
      <c r="AH50" s="665"/>
      <c r="AJ50" s="710">
        <v>10</v>
      </c>
      <c r="AK50" s="711"/>
      <c r="AL50" s="677">
        <f t="shared" si="11"/>
        <v>0</v>
      </c>
      <c r="AM50" s="678"/>
      <c r="AN50" s="679">
        <f t="shared" si="8"/>
        <v>0</v>
      </c>
      <c r="AO50" s="680"/>
      <c r="AP50" s="676"/>
      <c r="AQ50" s="461"/>
      <c r="AT50" s="696">
        <f t="shared" si="6"/>
        <v>0</v>
      </c>
      <c r="AU50" s="697"/>
      <c r="AV50" s="696">
        <f t="shared" si="12"/>
        <v>0</v>
      </c>
      <c r="AW50" s="697"/>
    </row>
    <row r="51" spans="3:49" s="51" customFormat="1" ht="20" customHeight="1" x14ac:dyDescent="0.15">
      <c r="C51" s="708">
        <v>89</v>
      </c>
      <c r="D51" s="709"/>
      <c r="E51" s="700" t="s">
        <v>9</v>
      </c>
      <c r="F51" s="700"/>
      <c r="G51" s="700"/>
      <c r="H51" s="700"/>
      <c r="I51" s="700"/>
      <c r="J51" s="700"/>
      <c r="K51" s="700"/>
      <c r="L51" s="700"/>
      <c r="M51" s="700"/>
      <c r="N51" s="309"/>
      <c r="O51" s="309" t="s">
        <v>116</v>
      </c>
      <c r="P51" s="310" t="s">
        <v>117</v>
      </c>
      <c r="Q51" s="687"/>
      <c r="R51" s="687"/>
      <c r="S51" s="311" t="s">
        <v>143</v>
      </c>
      <c r="T51" s="309"/>
      <c r="U51" s="309"/>
      <c r="V51" s="309"/>
      <c r="W51" s="664">
        <f t="shared" si="9"/>
        <v>0</v>
      </c>
      <c r="X51" s="664"/>
      <c r="Y51" s="664"/>
      <c r="Z51" s="665"/>
      <c r="AB51" s="663">
        <v>0</v>
      </c>
      <c r="AC51" s="664"/>
      <c r="AD51" s="665"/>
      <c r="AF51" s="663">
        <f t="shared" si="10"/>
        <v>0</v>
      </c>
      <c r="AG51" s="664"/>
      <c r="AH51" s="665"/>
      <c r="AJ51" s="710">
        <v>10</v>
      </c>
      <c r="AK51" s="711"/>
      <c r="AL51" s="677">
        <f t="shared" si="11"/>
        <v>0</v>
      </c>
      <c r="AM51" s="678"/>
      <c r="AN51" s="679">
        <f t="shared" si="8"/>
        <v>0</v>
      </c>
      <c r="AO51" s="680"/>
      <c r="AP51" s="676"/>
      <c r="AQ51" s="461"/>
      <c r="AT51" s="696">
        <f t="shared" si="6"/>
        <v>0</v>
      </c>
      <c r="AU51" s="697"/>
      <c r="AV51" s="696">
        <f t="shared" si="12"/>
        <v>0</v>
      </c>
      <c r="AW51" s="697"/>
    </row>
    <row r="52" spans="3:49" s="51" customFormat="1" ht="20" customHeight="1" x14ac:dyDescent="0.15">
      <c r="C52" s="708">
        <v>90</v>
      </c>
      <c r="D52" s="709"/>
      <c r="E52" s="700" t="s">
        <v>10</v>
      </c>
      <c r="F52" s="700"/>
      <c r="G52" s="700"/>
      <c r="H52" s="700"/>
      <c r="I52" s="700"/>
      <c r="J52" s="700"/>
      <c r="K52" s="700"/>
      <c r="L52" s="700"/>
      <c r="M52" s="700"/>
      <c r="N52" s="309"/>
      <c r="O52" s="309" t="s">
        <v>116</v>
      </c>
      <c r="P52" s="310" t="s">
        <v>117</v>
      </c>
      <c r="Q52" s="687">
        <v>450</v>
      </c>
      <c r="R52" s="687"/>
      <c r="S52" s="311" t="s">
        <v>143</v>
      </c>
      <c r="T52" s="309"/>
      <c r="U52" s="309"/>
      <c r="V52" s="309"/>
      <c r="W52" s="664">
        <f t="shared" si="9"/>
        <v>0</v>
      </c>
      <c r="X52" s="664"/>
      <c r="Y52" s="664"/>
      <c r="Z52" s="665"/>
      <c r="AB52" s="663">
        <v>0</v>
      </c>
      <c r="AC52" s="664"/>
      <c r="AD52" s="665"/>
      <c r="AF52" s="663">
        <f t="shared" si="10"/>
        <v>0</v>
      </c>
      <c r="AG52" s="664"/>
      <c r="AH52" s="665"/>
      <c r="AJ52" s="710">
        <v>10</v>
      </c>
      <c r="AK52" s="711"/>
      <c r="AL52" s="677">
        <f t="shared" si="11"/>
        <v>40.909090909090907</v>
      </c>
      <c r="AM52" s="678"/>
      <c r="AN52" s="679">
        <f t="shared" si="8"/>
        <v>61.36363636363636</v>
      </c>
      <c r="AO52" s="680"/>
      <c r="AP52" s="676"/>
      <c r="AQ52" s="461"/>
      <c r="AT52" s="696">
        <f t="shared" si="6"/>
        <v>327.27272727272725</v>
      </c>
      <c r="AU52" s="697"/>
      <c r="AV52" s="696">
        <f t="shared" si="12"/>
        <v>122.72727272727272</v>
      </c>
      <c r="AW52" s="697"/>
    </row>
    <row r="53" spans="3:49" s="51" customFormat="1" ht="20" customHeight="1" x14ac:dyDescent="0.15">
      <c r="C53" s="708">
        <v>91</v>
      </c>
      <c r="D53" s="709"/>
      <c r="E53" s="700" t="s">
        <v>11</v>
      </c>
      <c r="F53" s="700"/>
      <c r="G53" s="700"/>
      <c r="H53" s="700"/>
      <c r="I53" s="700"/>
      <c r="J53" s="700"/>
      <c r="K53" s="700"/>
      <c r="L53" s="700"/>
      <c r="M53" s="700"/>
      <c r="N53" s="309"/>
      <c r="O53" s="309" t="s">
        <v>116</v>
      </c>
      <c r="P53" s="310" t="s">
        <v>117</v>
      </c>
      <c r="Q53" s="687"/>
      <c r="R53" s="687"/>
      <c r="S53" s="311" t="s">
        <v>143</v>
      </c>
      <c r="T53" s="309"/>
      <c r="U53" s="309"/>
      <c r="V53" s="309"/>
      <c r="W53" s="664">
        <f t="shared" si="9"/>
        <v>0</v>
      </c>
      <c r="X53" s="664"/>
      <c r="Y53" s="664"/>
      <c r="Z53" s="665"/>
      <c r="AB53" s="663">
        <v>0</v>
      </c>
      <c r="AC53" s="664"/>
      <c r="AD53" s="665"/>
      <c r="AF53" s="663">
        <f t="shared" si="10"/>
        <v>0</v>
      </c>
      <c r="AG53" s="664"/>
      <c r="AH53" s="665"/>
      <c r="AJ53" s="710">
        <v>10</v>
      </c>
      <c r="AK53" s="711"/>
      <c r="AL53" s="677">
        <f t="shared" si="11"/>
        <v>0</v>
      </c>
      <c r="AM53" s="678"/>
      <c r="AN53" s="679">
        <f t="shared" si="8"/>
        <v>0</v>
      </c>
      <c r="AO53" s="680"/>
      <c r="AP53" s="676"/>
      <c r="AQ53" s="461"/>
      <c r="AT53" s="696">
        <f t="shared" si="6"/>
        <v>0</v>
      </c>
      <c r="AU53" s="697"/>
      <c r="AV53" s="696">
        <f t="shared" si="12"/>
        <v>0</v>
      </c>
      <c r="AW53" s="697"/>
    </row>
    <row r="54" spans="3:49" s="51" customFormat="1" ht="20" customHeight="1" x14ac:dyDescent="0.15">
      <c r="C54" s="708">
        <v>92</v>
      </c>
      <c r="D54" s="709"/>
      <c r="E54" s="700" t="s">
        <v>423</v>
      </c>
      <c r="F54" s="700"/>
      <c r="G54" s="700"/>
      <c r="H54" s="700"/>
      <c r="I54" s="700"/>
      <c r="J54" s="700"/>
      <c r="K54" s="700"/>
      <c r="L54" s="700"/>
      <c r="M54" s="700"/>
      <c r="N54" s="309"/>
      <c r="O54" s="309" t="s">
        <v>116</v>
      </c>
      <c r="P54" s="310" t="s">
        <v>117</v>
      </c>
      <c r="Q54" s="687"/>
      <c r="R54" s="687"/>
      <c r="S54" s="311" t="s">
        <v>143</v>
      </c>
      <c r="T54" s="309"/>
      <c r="U54" s="309"/>
      <c r="V54" s="309"/>
      <c r="W54" s="664">
        <f t="shared" si="9"/>
        <v>0</v>
      </c>
      <c r="X54" s="664"/>
      <c r="Y54" s="664"/>
      <c r="Z54" s="665"/>
      <c r="AB54" s="663">
        <v>0</v>
      </c>
      <c r="AC54" s="664"/>
      <c r="AD54" s="665"/>
      <c r="AF54" s="663">
        <f t="shared" si="10"/>
        <v>0</v>
      </c>
      <c r="AG54" s="664"/>
      <c r="AH54" s="665"/>
      <c r="AJ54" s="710">
        <v>10</v>
      </c>
      <c r="AK54" s="711"/>
      <c r="AL54" s="677">
        <f t="shared" si="11"/>
        <v>0</v>
      </c>
      <c r="AM54" s="678"/>
      <c r="AN54" s="679">
        <f t="shared" si="8"/>
        <v>0</v>
      </c>
      <c r="AO54" s="680"/>
      <c r="AP54" s="676"/>
      <c r="AQ54" s="461"/>
      <c r="AT54" s="696">
        <f t="shared" si="6"/>
        <v>0</v>
      </c>
      <c r="AU54" s="697"/>
      <c r="AV54" s="696">
        <f t="shared" si="12"/>
        <v>0</v>
      </c>
      <c r="AW54" s="697"/>
    </row>
    <row r="55" spans="3:49" s="51" customFormat="1" ht="20" customHeight="1" x14ac:dyDescent="0.15">
      <c r="C55" s="708">
        <v>93</v>
      </c>
      <c r="D55" s="709"/>
      <c r="E55" s="700" t="s">
        <v>424</v>
      </c>
      <c r="F55" s="700"/>
      <c r="G55" s="700"/>
      <c r="H55" s="700"/>
      <c r="I55" s="700"/>
      <c r="J55" s="700"/>
      <c r="K55" s="700"/>
      <c r="L55" s="700"/>
      <c r="M55" s="700"/>
      <c r="N55" s="309"/>
      <c r="O55" s="309" t="s">
        <v>116</v>
      </c>
      <c r="P55" s="310" t="s">
        <v>117</v>
      </c>
      <c r="Q55" s="687"/>
      <c r="R55" s="687"/>
      <c r="S55" s="311" t="s">
        <v>143</v>
      </c>
      <c r="T55" s="309"/>
      <c r="U55" s="309"/>
      <c r="V55" s="309"/>
      <c r="W55" s="664">
        <f t="shared" si="9"/>
        <v>0</v>
      </c>
      <c r="X55" s="664"/>
      <c r="Y55" s="664"/>
      <c r="Z55" s="665"/>
      <c r="AB55" s="663">
        <v>0</v>
      </c>
      <c r="AC55" s="664"/>
      <c r="AD55" s="665"/>
      <c r="AF55" s="663">
        <f t="shared" si="10"/>
        <v>0</v>
      </c>
      <c r="AG55" s="664"/>
      <c r="AH55" s="665"/>
      <c r="AJ55" s="710">
        <v>10</v>
      </c>
      <c r="AK55" s="711"/>
      <c r="AL55" s="677">
        <f t="shared" si="11"/>
        <v>0</v>
      </c>
      <c r="AM55" s="678"/>
      <c r="AN55" s="679">
        <f t="shared" si="8"/>
        <v>0</v>
      </c>
      <c r="AO55" s="680"/>
      <c r="AP55" s="676"/>
      <c r="AQ55" s="461"/>
      <c r="AT55" s="696">
        <f t="shared" si="6"/>
        <v>0</v>
      </c>
      <c r="AU55" s="697"/>
      <c r="AV55" s="696">
        <f t="shared" si="12"/>
        <v>0</v>
      </c>
      <c r="AW55" s="697"/>
    </row>
    <row r="56" spans="3:49" s="51" customFormat="1" ht="20" customHeight="1" x14ac:dyDescent="0.15">
      <c r="C56" s="708">
        <v>94</v>
      </c>
      <c r="D56" s="709"/>
      <c r="E56" s="700" t="s">
        <v>351</v>
      </c>
      <c r="F56" s="700"/>
      <c r="G56" s="700"/>
      <c r="H56" s="700"/>
      <c r="I56" s="700"/>
      <c r="J56" s="700"/>
      <c r="K56" s="700"/>
      <c r="L56" s="700"/>
      <c r="M56" s="700"/>
      <c r="N56" s="309"/>
      <c r="O56" s="309" t="s">
        <v>116</v>
      </c>
      <c r="P56" s="310" t="s">
        <v>117</v>
      </c>
      <c r="Q56" s="687"/>
      <c r="R56" s="687"/>
      <c r="S56" s="311" t="s">
        <v>143</v>
      </c>
      <c r="T56" s="309"/>
      <c r="U56" s="309"/>
      <c r="V56" s="309"/>
      <c r="W56" s="664">
        <f t="shared" si="9"/>
        <v>0</v>
      </c>
      <c r="X56" s="664"/>
      <c r="Y56" s="664"/>
      <c r="Z56" s="665"/>
      <c r="AB56" s="663">
        <v>0</v>
      </c>
      <c r="AC56" s="664"/>
      <c r="AD56" s="665"/>
      <c r="AF56" s="663">
        <f t="shared" si="10"/>
        <v>0</v>
      </c>
      <c r="AG56" s="664"/>
      <c r="AH56" s="665"/>
      <c r="AJ56" s="710">
        <v>10</v>
      </c>
      <c r="AK56" s="711"/>
      <c r="AL56" s="677">
        <f t="shared" si="11"/>
        <v>0</v>
      </c>
      <c r="AM56" s="678"/>
      <c r="AN56" s="679">
        <f t="shared" si="8"/>
        <v>0</v>
      </c>
      <c r="AO56" s="680"/>
      <c r="AP56" s="676"/>
      <c r="AQ56" s="461"/>
      <c r="AT56" s="696">
        <f t="shared" si="6"/>
        <v>0</v>
      </c>
      <c r="AU56" s="697"/>
      <c r="AV56" s="696">
        <f t="shared" si="12"/>
        <v>0</v>
      </c>
      <c r="AW56" s="697"/>
    </row>
    <row r="57" spans="3:49" s="51" customFormat="1" ht="20" customHeight="1" x14ac:dyDescent="0.15">
      <c r="C57" s="708">
        <v>95</v>
      </c>
      <c r="D57" s="709"/>
      <c r="E57" s="700" t="s">
        <v>12</v>
      </c>
      <c r="F57" s="700"/>
      <c r="G57" s="700"/>
      <c r="H57" s="700"/>
      <c r="I57" s="700"/>
      <c r="J57" s="700"/>
      <c r="K57" s="700"/>
      <c r="L57" s="700"/>
      <c r="M57" s="700"/>
      <c r="N57" s="309"/>
      <c r="O57" s="309" t="s">
        <v>116</v>
      </c>
      <c r="P57" s="310" t="s">
        <v>117</v>
      </c>
      <c r="Q57" s="687"/>
      <c r="R57" s="687"/>
      <c r="S57" s="311" t="s">
        <v>143</v>
      </c>
      <c r="T57" s="309"/>
      <c r="U57" s="309"/>
      <c r="V57" s="309"/>
      <c r="W57" s="664">
        <f t="shared" si="9"/>
        <v>0</v>
      </c>
      <c r="X57" s="664"/>
      <c r="Y57" s="664"/>
      <c r="Z57" s="665"/>
      <c r="AB57" s="663">
        <v>0</v>
      </c>
      <c r="AC57" s="664"/>
      <c r="AD57" s="665"/>
      <c r="AF57" s="663">
        <f t="shared" si="10"/>
        <v>0</v>
      </c>
      <c r="AG57" s="664"/>
      <c r="AH57" s="665"/>
      <c r="AJ57" s="710">
        <v>10</v>
      </c>
      <c r="AK57" s="711"/>
      <c r="AL57" s="677">
        <f t="shared" si="11"/>
        <v>0</v>
      </c>
      <c r="AM57" s="678"/>
      <c r="AN57" s="679">
        <f t="shared" si="8"/>
        <v>0</v>
      </c>
      <c r="AO57" s="680"/>
      <c r="AP57" s="676"/>
      <c r="AQ57" s="461"/>
      <c r="AT57" s="696">
        <f t="shared" si="6"/>
        <v>0</v>
      </c>
      <c r="AU57" s="697"/>
      <c r="AV57" s="696">
        <f t="shared" si="12"/>
        <v>0</v>
      </c>
      <c r="AW57" s="697"/>
    </row>
    <row r="58" spans="3:49" s="51" customFormat="1" ht="20" customHeight="1" x14ac:dyDescent="0.15">
      <c r="C58" s="708">
        <v>96</v>
      </c>
      <c r="D58" s="709"/>
      <c r="E58" s="700" t="s">
        <v>425</v>
      </c>
      <c r="F58" s="700"/>
      <c r="G58" s="700"/>
      <c r="H58" s="700"/>
      <c r="I58" s="700"/>
      <c r="J58" s="700"/>
      <c r="K58" s="700"/>
      <c r="L58" s="700"/>
      <c r="M58" s="700"/>
      <c r="N58" s="309"/>
      <c r="O58" s="309" t="s">
        <v>116</v>
      </c>
      <c r="P58" s="310" t="s">
        <v>117</v>
      </c>
      <c r="Q58" s="687"/>
      <c r="R58" s="687"/>
      <c r="S58" s="311" t="s">
        <v>143</v>
      </c>
      <c r="T58" s="309"/>
      <c r="U58" s="309"/>
      <c r="V58" s="309"/>
      <c r="W58" s="664">
        <f t="shared" si="9"/>
        <v>0</v>
      </c>
      <c r="X58" s="664"/>
      <c r="Y58" s="664"/>
      <c r="Z58" s="665"/>
      <c r="AB58" s="663">
        <v>0</v>
      </c>
      <c r="AC58" s="664"/>
      <c r="AD58" s="665"/>
      <c r="AF58" s="663">
        <f t="shared" si="10"/>
        <v>0</v>
      </c>
      <c r="AG58" s="664"/>
      <c r="AH58" s="665"/>
      <c r="AJ58" s="710">
        <v>10</v>
      </c>
      <c r="AK58" s="711"/>
      <c r="AL58" s="677">
        <f t="shared" si="11"/>
        <v>0</v>
      </c>
      <c r="AM58" s="678"/>
      <c r="AN58" s="679">
        <f t="shared" si="8"/>
        <v>0</v>
      </c>
      <c r="AO58" s="680"/>
      <c r="AP58" s="676"/>
      <c r="AQ58" s="461"/>
      <c r="AT58" s="696">
        <f t="shared" si="6"/>
        <v>0</v>
      </c>
      <c r="AU58" s="697"/>
      <c r="AV58" s="696">
        <f t="shared" si="12"/>
        <v>0</v>
      </c>
      <c r="AW58" s="697"/>
    </row>
    <row r="59" spans="3:49" s="51" customFormat="1" ht="20" customHeight="1" x14ac:dyDescent="0.15">
      <c r="C59" s="708">
        <v>97</v>
      </c>
      <c r="D59" s="709"/>
      <c r="E59" s="701" t="s">
        <v>374</v>
      </c>
      <c r="F59" s="701"/>
      <c r="G59" s="701"/>
      <c r="H59" s="701"/>
      <c r="I59" s="701"/>
      <c r="J59" s="701"/>
      <c r="K59" s="701"/>
      <c r="L59" s="701"/>
      <c r="M59" s="701"/>
      <c r="N59" s="309"/>
      <c r="O59" s="309" t="s">
        <v>116</v>
      </c>
      <c r="P59" s="310" t="s">
        <v>117</v>
      </c>
      <c r="Q59" s="687"/>
      <c r="R59" s="687"/>
      <c r="S59" s="311" t="s">
        <v>143</v>
      </c>
      <c r="T59" s="309"/>
      <c r="U59" s="309"/>
      <c r="V59" s="309"/>
      <c r="W59" s="664">
        <f t="shared" si="9"/>
        <v>0</v>
      </c>
      <c r="X59" s="664"/>
      <c r="Y59" s="664"/>
      <c r="Z59" s="665"/>
      <c r="AB59" s="663">
        <v>0</v>
      </c>
      <c r="AC59" s="664"/>
      <c r="AD59" s="665"/>
      <c r="AF59" s="663">
        <f t="shared" si="10"/>
        <v>0</v>
      </c>
      <c r="AG59" s="664"/>
      <c r="AH59" s="665"/>
      <c r="AJ59" s="710">
        <v>10</v>
      </c>
      <c r="AK59" s="711"/>
      <c r="AL59" s="677">
        <f t="shared" si="11"/>
        <v>0</v>
      </c>
      <c r="AM59" s="678"/>
      <c r="AN59" s="679">
        <f t="shared" si="8"/>
        <v>0</v>
      </c>
      <c r="AO59" s="680"/>
      <c r="AP59" s="676"/>
      <c r="AQ59" s="461"/>
      <c r="AT59" s="696">
        <f t="shared" si="6"/>
        <v>0</v>
      </c>
      <c r="AU59" s="697"/>
      <c r="AV59" s="696">
        <f t="shared" si="12"/>
        <v>0</v>
      </c>
      <c r="AW59" s="697"/>
    </row>
    <row r="60" spans="3:49" s="51" customFormat="1" ht="20" customHeight="1" x14ac:dyDescent="0.15">
      <c r="C60" s="708">
        <v>98</v>
      </c>
      <c r="D60" s="709"/>
      <c r="E60" s="700" t="s">
        <v>818</v>
      </c>
      <c r="F60" s="700"/>
      <c r="G60" s="700"/>
      <c r="H60" s="700"/>
      <c r="I60" s="700"/>
      <c r="J60" s="700"/>
      <c r="K60" s="700"/>
      <c r="L60" s="700"/>
      <c r="M60" s="700"/>
      <c r="N60" s="309"/>
      <c r="O60" s="309" t="s">
        <v>116</v>
      </c>
      <c r="P60" s="310" t="s">
        <v>117</v>
      </c>
      <c r="Q60" s="687"/>
      <c r="R60" s="687"/>
      <c r="S60" s="311" t="s">
        <v>143</v>
      </c>
      <c r="T60" s="309"/>
      <c r="U60" s="309"/>
      <c r="V60" s="309"/>
      <c r="W60" s="664">
        <f t="shared" si="9"/>
        <v>0</v>
      </c>
      <c r="X60" s="664"/>
      <c r="Y60" s="664"/>
      <c r="Z60" s="665"/>
      <c r="AB60" s="663">
        <v>0</v>
      </c>
      <c r="AC60" s="664"/>
      <c r="AD60" s="665"/>
      <c r="AF60" s="663">
        <f t="shared" si="10"/>
        <v>0</v>
      </c>
      <c r="AG60" s="664"/>
      <c r="AH60" s="665"/>
      <c r="AJ60" s="710">
        <v>10</v>
      </c>
      <c r="AK60" s="711"/>
      <c r="AL60" s="677">
        <f t="shared" si="11"/>
        <v>0</v>
      </c>
      <c r="AM60" s="678"/>
      <c r="AN60" s="679">
        <f t="shared" si="8"/>
        <v>0</v>
      </c>
      <c r="AO60" s="680"/>
      <c r="AP60" s="676"/>
      <c r="AQ60" s="461"/>
      <c r="AT60" s="696">
        <f t="shared" si="6"/>
        <v>0</v>
      </c>
      <c r="AU60" s="697"/>
      <c r="AV60" s="696">
        <f t="shared" si="12"/>
        <v>0</v>
      </c>
      <c r="AW60" s="697"/>
    </row>
    <row r="61" spans="3:49" s="51" customFormat="1" ht="20" customHeight="1" x14ac:dyDescent="0.15">
      <c r="C61" s="708">
        <v>99</v>
      </c>
      <c r="D61" s="709"/>
      <c r="E61" s="700" t="s">
        <v>352</v>
      </c>
      <c r="F61" s="700"/>
      <c r="G61" s="700"/>
      <c r="H61" s="700"/>
      <c r="I61" s="700"/>
      <c r="J61" s="700"/>
      <c r="K61" s="700"/>
      <c r="L61" s="700"/>
      <c r="M61" s="700"/>
      <c r="N61" s="309"/>
      <c r="O61" s="309" t="s">
        <v>116</v>
      </c>
      <c r="P61" s="310" t="s">
        <v>117</v>
      </c>
      <c r="Q61" s="687"/>
      <c r="R61" s="687"/>
      <c r="S61" s="311" t="s">
        <v>143</v>
      </c>
      <c r="T61" s="309"/>
      <c r="U61" s="309"/>
      <c r="V61" s="309"/>
      <c r="W61" s="664">
        <f t="shared" si="9"/>
        <v>0</v>
      </c>
      <c r="X61" s="664"/>
      <c r="Y61" s="664"/>
      <c r="Z61" s="665"/>
      <c r="AB61" s="663">
        <v>0</v>
      </c>
      <c r="AC61" s="664"/>
      <c r="AD61" s="665"/>
      <c r="AF61" s="663">
        <f t="shared" si="10"/>
        <v>0</v>
      </c>
      <c r="AG61" s="664"/>
      <c r="AH61" s="665"/>
      <c r="AJ61" s="710">
        <v>10</v>
      </c>
      <c r="AK61" s="711"/>
      <c r="AL61" s="677">
        <f t="shared" si="11"/>
        <v>0</v>
      </c>
      <c r="AM61" s="678"/>
      <c r="AN61" s="679">
        <f t="shared" si="8"/>
        <v>0</v>
      </c>
      <c r="AO61" s="680"/>
      <c r="AP61" s="676"/>
      <c r="AQ61" s="461"/>
      <c r="AT61" s="696">
        <f t="shared" si="6"/>
        <v>0</v>
      </c>
      <c r="AU61" s="697"/>
      <c r="AV61" s="696">
        <f t="shared" si="12"/>
        <v>0</v>
      </c>
      <c r="AW61" s="697"/>
    </row>
    <row r="62" spans="3:49" s="51" customFormat="1" ht="20" customHeight="1" x14ac:dyDescent="0.15">
      <c r="C62" s="708">
        <v>100</v>
      </c>
      <c r="D62" s="709"/>
      <c r="E62" s="700" t="s">
        <v>352</v>
      </c>
      <c r="F62" s="700"/>
      <c r="G62" s="700"/>
      <c r="H62" s="700"/>
      <c r="I62" s="700"/>
      <c r="J62" s="700"/>
      <c r="K62" s="700"/>
      <c r="L62" s="700"/>
      <c r="M62" s="700"/>
      <c r="N62" s="309"/>
      <c r="O62" s="309" t="s">
        <v>116</v>
      </c>
      <c r="P62" s="310" t="s">
        <v>117</v>
      </c>
      <c r="Q62" s="687"/>
      <c r="R62" s="687"/>
      <c r="S62" s="311" t="s">
        <v>143</v>
      </c>
      <c r="T62" s="309"/>
      <c r="U62" s="309"/>
      <c r="V62" s="309"/>
      <c r="W62" s="664">
        <f t="shared" si="9"/>
        <v>0</v>
      </c>
      <c r="X62" s="664"/>
      <c r="Y62" s="664"/>
      <c r="Z62" s="665"/>
      <c r="AB62" s="663">
        <v>0</v>
      </c>
      <c r="AC62" s="664"/>
      <c r="AD62" s="665"/>
      <c r="AF62" s="663">
        <f t="shared" si="10"/>
        <v>0</v>
      </c>
      <c r="AG62" s="664"/>
      <c r="AH62" s="665"/>
      <c r="AJ62" s="710">
        <v>10</v>
      </c>
      <c r="AK62" s="711"/>
      <c r="AL62" s="677">
        <f t="shared" si="11"/>
        <v>0</v>
      </c>
      <c r="AM62" s="678"/>
      <c r="AN62" s="679">
        <f t="shared" si="8"/>
        <v>0</v>
      </c>
      <c r="AO62" s="680"/>
      <c r="AP62" s="676"/>
      <c r="AQ62" s="461"/>
      <c r="AT62" s="696">
        <f t="shared" si="6"/>
        <v>0</v>
      </c>
      <c r="AU62" s="697"/>
      <c r="AV62" s="696">
        <f t="shared" si="12"/>
        <v>0</v>
      </c>
      <c r="AW62" s="697"/>
    </row>
    <row r="63" spans="3:49" s="322" customFormat="1" ht="20" customHeight="1" x14ac:dyDescent="0.2">
      <c r="C63" s="384"/>
      <c r="O63" s="654" t="s">
        <v>292</v>
      </c>
      <c r="P63" s="654"/>
      <c r="Q63" s="654"/>
      <c r="R63" s="654"/>
      <c r="S63" s="654"/>
      <c r="T63" s="654"/>
      <c r="U63" s="654"/>
      <c r="V63" s="655"/>
      <c r="W63" s="717">
        <f>SUM(W13:Z62)</f>
        <v>0</v>
      </c>
      <c r="X63" s="718"/>
      <c r="Y63" s="718"/>
      <c r="Z63" s="719"/>
      <c r="AB63" s="658">
        <f>SUM(AB13:AD62)</f>
        <v>0</v>
      </c>
      <c r="AC63" s="659"/>
      <c r="AD63" s="660"/>
      <c r="AF63" s="714">
        <f t="shared" si="10"/>
        <v>0</v>
      </c>
      <c r="AG63" s="715"/>
      <c r="AH63" s="716"/>
      <c r="AJ63" s="385"/>
      <c r="AK63" s="385"/>
      <c r="AM63" s="386"/>
      <c r="AN63" s="386"/>
      <c r="AO63" s="386"/>
    </row>
    <row r="64" spans="3:49" s="322" customFormat="1" ht="20" customHeight="1" x14ac:dyDescent="0.2">
      <c r="C64" s="384"/>
      <c r="O64" s="656" t="s">
        <v>89</v>
      </c>
      <c r="P64" s="656"/>
      <c r="Q64" s="656"/>
      <c r="R64" s="656"/>
      <c r="S64" s="656"/>
      <c r="T64" s="656"/>
      <c r="U64" s="656"/>
      <c r="V64" s="657"/>
      <c r="W64" s="717">
        <f>IFERROR(FringeRate_B*W63,0)</f>
        <v>0</v>
      </c>
      <c r="X64" s="718"/>
      <c r="Y64" s="718"/>
      <c r="Z64" s="719"/>
      <c r="AB64" s="658">
        <v>0</v>
      </c>
      <c r="AC64" s="659"/>
      <c r="AD64" s="660"/>
      <c r="AF64" s="714">
        <f t="shared" si="10"/>
        <v>0</v>
      </c>
      <c r="AG64" s="715"/>
      <c r="AH64" s="716"/>
    </row>
    <row r="65" spans="3:41" s="322" customFormat="1" ht="20" customHeight="1" x14ac:dyDescent="0.2">
      <c r="C65" s="384"/>
      <c r="O65" s="656" t="s">
        <v>119</v>
      </c>
      <c r="P65" s="656"/>
      <c r="Q65" s="656"/>
      <c r="R65" s="656"/>
      <c r="S65" s="656"/>
      <c r="T65" s="656"/>
      <c r="U65" s="656"/>
      <c r="V65" s="657"/>
      <c r="W65" s="717">
        <f>W64+W63</f>
        <v>0</v>
      </c>
      <c r="X65" s="718"/>
      <c r="Y65" s="718"/>
      <c r="Z65" s="719"/>
      <c r="AB65" s="658">
        <f>SUM(AB63:AD64)</f>
        <v>0</v>
      </c>
      <c r="AC65" s="659"/>
      <c r="AD65" s="660"/>
      <c r="AF65" s="714">
        <f t="shared" si="10"/>
        <v>0</v>
      </c>
      <c r="AG65" s="715"/>
      <c r="AH65" s="716"/>
    </row>
    <row r="66" spans="3:41" s="111" customFormat="1" ht="19.25" customHeight="1" x14ac:dyDescent="0.2">
      <c r="C66" s="202"/>
      <c r="Q66" s="203"/>
      <c r="R66" s="203"/>
      <c r="X66" s="199"/>
      <c r="Y66" s="199"/>
      <c r="Z66" s="199"/>
      <c r="AJ66" s="201"/>
      <c r="AK66" s="201"/>
      <c r="AM66" s="199"/>
      <c r="AN66" s="199"/>
      <c r="AO66" s="199"/>
    </row>
    <row r="67" spans="3:41" ht="16.25" customHeight="1" x14ac:dyDescent="0.2"/>
    <row r="68" spans="3:41" ht="16.25" customHeight="1" x14ac:dyDescent="0.2"/>
    <row r="69" spans="3:41" ht="16.25" customHeight="1" x14ac:dyDescent="0.2"/>
    <row r="70" spans="3:41" ht="16.25" customHeight="1" x14ac:dyDescent="0.2"/>
    <row r="71" spans="3:41" ht="16.25" customHeight="1" x14ac:dyDescent="0.2"/>
    <row r="72" spans="3:41" ht="16.25" customHeight="1" x14ac:dyDescent="0.2"/>
    <row r="73" spans="3:41" ht="16.25" customHeight="1" x14ac:dyDescent="0.2"/>
    <row r="74" spans="3:41" ht="16.25" customHeight="1" x14ac:dyDescent="0.2"/>
  </sheetData>
  <sheetProtection selectLockedCells="1"/>
  <mergeCells count="636">
    <mergeCell ref="AF11:AH12"/>
    <mergeCell ref="AF52:AH52"/>
    <mergeCell ref="AF53:AH53"/>
    <mergeCell ref="AF54:AH54"/>
    <mergeCell ref="AF55:AH55"/>
    <mergeCell ref="AF56:AH56"/>
    <mergeCell ref="AF57:AH57"/>
    <mergeCell ref="AF58:AH58"/>
    <mergeCell ref="AF59:AH59"/>
    <mergeCell ref="AF43:AH43"/>
    <mergeCell ref="AF44:AH44"/>
    <mergeCell ref="AF45:AH45"/>
    <mergeCell ref="AF46:AH46"/>
    <mergeCell ref="AF47:AH47"/>
    <mergeCell ref="AF48:AH48"/>
    <mergeCell ref="AF49:AH49"/>
    <mergeCell ref="AF50:AH50"/>
    <mergeCell ref="AF51:AH51"/>
    <mergeCell ref="AF34:AH34"/>
    <mergeCell ref="AF35:AH35"/>
    <mergeCell ref="AF36:AH36"/>
    <mergeCell ref="AF37:AH37"/>
    <mergeCell ref="AF38:AH38"/>
    <mergeCell ref="AF39:AH39"/>
    <mergeCell ref="W65:Z65"/>
    <mergeCell ref="AF16:AH16"/>
    <mergeCell ref="AF17:AH17"/>
    <mergeCell ref="AF18:AH18"/>
    <mergeCell ref="AF19:AH19"/>
    <mergeCell ref="AF20:AH20"/>
    <mergeCell ref="AF21:AH21"/>
    <mergeCell ref="AF22:AH22"/>
    <mergeCell ref="AF23:AH23"/>
    <mergeCell ref="AF24:AH24"/>
    <mergeCell ref="AF40:AH40"/>
    <mergeCell ref="AF41:AH41"/>
    <mergeCell ref="AF42:AH42"/>
    <mergeCell ref="AF25:AH25"/>
    <mergeCell ref="AF26:AH26"/>
    <mergeCell ref="AF27:AH27"/>
    <mergeCell ref="AF28:AH28"/>
    <mergeCell ref="AF29:AH29"/>
    <mergeCell ref="AF30:AH30"/>
    <mergeCell ref="AF31:AH31"/>
    <mergeCell ref="AF32:AH32"/>
    <mergeCell ref="AF33:AH33"/>
    <mergeCell ref="AF65:AH65"/>
    <mergeCell ref="AF60:AH60"/>
    <mergeCell ref="AF61:AH61"/>
    <mergeCell ref="AF62:AH62"/>
    <mergeCell ref="W61:Z61"/>
    <mergeCell ref="W62:Z62"/>
    <mergeCell ref="AF63:AH63"/>
    <mergeCell ref="AF64:AH64"/>
    <mergeCell ref="AL60:AM60"/>
    <mergeCell ref="AN60:AO60"/>
    <mergeCell ref="AP60:AQ60"/>
    <mergeCell ref="W63:Z63"/>
    <mergeCell ref="W64:Z64"/>
    <mergeCell ref="AL61:AM61"/>
    <mergeCell ref="AN61:AO61"/>
    <mergeCell ref="AP61:AQ61"/>
    <mergeCell ref="AL62:AM62"/>
    <mergeCell ref="AN62:AO62"/>
    <mergeCell ref="AP62:AQ62"/>
    <mergeCell ref="AJ61:AK61"/>
    <mergeCell ref="AJ62:AK62"/>
    <mergeCell ref="AJ60:AK60"/>
    <mergeCell ref="AB60:AD60"/>
    <mergeCell ref="AB61:AD61"/>
    <mergeCell ref="AB62:AD62"/>
    <mergeCell ref="AB63:AD63"/>
    <mergeCell ref="AJ11:AK11"/>
    <mergeCell ref="AJ12:AK12"/>
    <mergeCell ref="AJ13:AK13"/>
    <mergeCell ref="AJ14:AK14"/>
    <mergeCell ref="AJ15:AK15"/>
    <mergeCell ref="AL11:AM11"/>
    <mergeCell ref="AN11:AO11"/>
    <mergeCell ref="AP11:AQ11"/>
    <mergeCell ref="AR11:AS11"/>
    <mergeCell ref="AL12:AM12"/>
    <mergeCell ref="AN12:AO12"/>
    <mergeCell ref="AP12:AQ12"/>
    <mergeCell ref="AR12:AS12"/>
    <mergeCell ref="AL13:AM13"/>
    <mergeCell ref="AN13:AO13"/>
    <mergeCell ref="AP13:AQ13"/>
    <mergeCell ref="AR13:AS13"/>
    <mergeCell ref="AL14:AM14"/>
    <mergeCell ref="AN14:AO14"/>
    <mergeCell ref="AP14:AQ14"/>
    <mergeCell ref="AL15:AM15"/>
    <mergeCell ref="AN15:AO15"/>
    <mergeCell ref="AP15:AQ15"/>
    <mergeCell ref="AF13:AH13"/>
    <mergeCell ref="AF14:AH14"/>
    <mergeCell ref="AF15:AH15"/>
    <mergeCell ref="AJ58:AK58"/>
    <mergeCell ref="AL59:AM59"/>
    <mergeCell ref="AL53:AM53"/>
    <mergeCell ref="AL56:AM56"/>
    <mergeCell ref="AJ46:AK46"/>
    <mergeCell ref="AJ47:AK47"/>
    <mergeCell ref="AL44:AM44"/>
    <mergeCell ref="AL47:AM47"/>
    <mergeCell ref="AJ37:AK37"/>
    <mergeCell ref="AJ38:AK38"/>
    <mergeCell ref="AL34:AM34"/>
    <mergeCell ref="AL37:AM37"/>
    <mergeCell ref="AJ21:AK21"/>
    <mergeCell ref="AJ22:AK22"/>
    <mergeCell ref="AJ23:AK23"/>
    <mergeCell ref="AL19:AM19"/>
    <mergeCell ref="AL22:AM22"/>
    <mergeCell ref="AL45:AM45"/>
    <mergeCell ref="AJ41:AK41"/>
    <mergeCell ref="AJ42:AK42"/>
    <mergeCell ref="AJ43:AK43"/>
    <mergeCell ref="AN59:AO59"/>
    <mergeCell ref="AP59:AQ59"/>
    <mergeCell ref="AP16:AQ16"/>
    <mergeCell ref="AJ51:AK51"/>
    <mergeCell ref="AJ52:AK52"/>
    <mergeCell ref="AL48:AM48"/>
    <mergeCell ref="AN48:AO48"/>
    <mergeCell ref="AP48:AQ48"/>
    <mergeCell ref="AL49:AM49"/>
    <mergeCell ref="AN49:AO49"/>
    <mergeCell ref="AP49:AQ49"/>
    <mergeCell ref="AL50:AM50"/>
    <mergeCell ref="AN50:AO50"/>
    <mergeCell ref="AP50:AQ50"/>
    <mergeCell ref="AJ48:AK48"/>
    <mergeCell ref="AJ49:AK49"/>
    <mergeCell ref="AJ50:AK50"/>
    <mergeCell ref="AJ59:AK59"/>
    <mergeCell ref="AP58:AQ58"/>
    <mergeCell ref="AJ57:AK57"/>
    <mergeCell ref="AJ55:AK55"/>
    <mergeCell ref="AJ56:AK56"/>
    <mergeCell ref="AL57:AM57"/>
    <mergeCell ref="AN57:AO57"/>
    <mergeCell ref="AP57:AQ57"/>
    <mergeCell ref="AL58:AM58"/>
    <mergeCell ref="AN58:AO58"/>
    <mergeCell ref="AL51:AM51"/>
    <mergeCell ref="AN51:AO51"/>
    <mergeCell ref="AP51:AQ51"/>
    <mergeCell ref="AL52:AM52"/>
    <mergeCell ref="AN52:AO52"/>
    <mergeCell ref="AP52:AQ52"/>
    <mergeCell ref="AN53:AO53"/>
    <mergeCell ref="AP53:AQ53"/>
    <mergeCell ref="AL54:AM54"/>
    <mergeCell ref="AN54:AO54"/>
    <mergeCell ref="AP54:AQ54"/>
    <mergeCell ref="AL55:AM55"/>
    <mergeCell ref="AN55:AO55"/>
    <mergeCell ref="AP55:AQ55"/>
    <mergeCell ref="AN45:AO45"/>
    <mergeCell ref="AP45:AQ45"/>
    <mergeCell ref="AJ44:AK44"/>
    <mergeCell ref="AJ45:AK45"/>
    <mergeCell ref="AL46:AM46"/>
    <mergeCell ref="AN46:AO46"/>
    <mergeCell ref="AP46:AQ46"/>
    <mergeCell ref="AN56:AO56"/>
    <mergeCell ref="AP56:AQ56"/>
    <mergeCell ref="AJ53:AK53"/>
    <mergeCell ref="AJ54:AK54"/>
    <mergeCell ref="AN47:AO47"/>
    <mergeCell ref="AP47:AQ47"/>
    <mergeCell ref="AL43:AM43"/>
    <mergeCell ref="AN43:AO43"/>
    <mergeCell ref="AP43:AQ43"/>
    <mergeCell ref="AN44:AO44"/>
    <mergeCell ref="AP44:AQ44"/>
    <mergeCell ref="AP34:AQ34"/>
    <mergeCell ref="AL35:AM35"/>
    <mergeCell ref="AN35:AO35"/>
    <mergeCell ref="AP35:AQ35"/>
    <mergeCell ref="AL36:AM36"/>
    <mergeCell ref="AN36:AO36"/>
    <mergeCell ref="AP36:AQ36"/>
    <mergeCell ref="AL39:AM39"/>
    <mergeCell ref="AN39:AO39"/>
    <mergeCell ref="AP39:AQ39"/>
    <mergeCell ref="AL40:AM40"/>
    <mergeCell ref="AN40:AO40"/>
    <mergeCell ref="AP40:AQ40"/>
    <mergeCell ref="AL41:AM41"/>
    <mergeCell ref="AN41:AO41"/>
    <mergeCell ref="AP41:AQ41"/>
    <mergeCell ref="AJ35:AK35"/>
    <mergeCell ref="AJ36:AK36"/>
    <mergeCell ref="AP37:AQ37"/>
    <mergeCell ref="AL38:AM38"/>
    <mergeCell ref="AN38:AO38"/>
    <mergeCell ref="AP38:AQ38"/>
    <mergeCell ref="AJ32:AK32"/>
    <mergeCell ref="AJ33:AK33"/>
    <mergeCell ref="AL42:AM42"/>
    <mergeCell ref="AN42:AO42"/>
    <mergeCell ref="AP42:AQ42"/>
    <mergeCell ref="AJ39:AK39"/>
    <mergeCell ref="AJ40:AK40"/>
    <mergeCell ref="AJ29:AK29"/>
    <mergeCell ref="AJ30:AK30"/>
    <mergeCell ref="AJ31:AK31"/>
    <mergeCell ref="AL32:AM32"/>
    <mergeCell ref="AN32:AO32"/>
    <mergeCell ref="AP32:AQ32"/>
    <mergeCell ref="AL33:AM33"/>
    <mergeCell ref="AN33:AO33"/>
    <mergeCell ref="AN34:AO34"/>
    <mergeCell ref="AP33:AQ33"/>
    <mergeCell ref="AL29:AM29"/>
    <mergeCell ref="AN29:AO29"/>
    <mergeCell ref="AP29:AQ29"/>
    <mergeCell ref="AL30:AM30"/>
    <mergeCell ref="AN30:AO30"/>
    <mergeCell ref="AP30:AQ30"/>
    <mergeCell ref="AL31:AM31"/>
    <mergeCell ref="AN31:AO31"/>
    <mergeCell ref="AP31:AQ31"/>
    <mergeCell ref="AJ34:AK34"/>
    <mergeCell ref="AJ24:AK24"/>
    <mergeCell ref="AJ25:AK25"/>
    <mergeCell ref="AJ26:AK26"/>
    <mergeCell ref="AL27:AM27"/>
    <mergeCell ref="AN27:AO27"/>
    <mergeCell ref="AP27:AQ27"/>
    <mergeCell ref="AL28:AM28"/>
    <mergeCell ref="AN28:AO28"/>
    <mergeCell ref="AP28:AQ28"/>
    <mergeCell ref="AL24:AM24"/>
    <mergeCell ref="AN24:AO24"/>
    <mergeCell ref="AP24:AQ24"/>
    <mergeCell ref="AL25:AM25"/>
    <mergeCell ref="AN25:AO25"/>
    <mergeCell ref="AP25:AQ25"/>
    <mergeCell ref="AL26:AM26"/>
    <mergeCell ref="AN26:AO26"/>
    <mergeCell ref="AP26:AQ26"/>
    <mergeCell ref="AP22:AQ22"/>
    <mergeCell ref="AL23:AM23"/>
    <mergeCell ref="AN23:AO23"/>
    <mergeCell ref="AP23:AQ23"/>
    <mergeCell ref="AL17:AM17"/>
    <mergeCell ref="AN17:AO17"/>
    <mergeCell ref="AP17:AQ17"/>
    <mergeCell ref="AL18:AM18"/>
    <mergeCell ref="AN18:AO18"/>
    <mergeCell ref="AP18:AQ18"/>
    <mergeCell ref="AN19:AO19"/>
    <mergeCell ref="AP19:AQ19"/>
    <mergeCell ref="AL20:AM20"/>
    <mergeCell ref="AN20:AO20"/>
    <mergeCell ref="AP20:AQ20"/>
    <mergeCell ref="AL21:AM21"/>
    <mergeCell ref="AN21:AO21"/>
    <mergeCell ref="AP21:AQ21"/>
    <mergeCell ref="AJ16:AK16"/>
    <mergeCell ref="AJ17:AK17"/>
    <mergeCell ref="AJ18:AK18"/>
    <mergeCell ref="AL16:AM16"/>
    <mergeCell ref="AN16:AO16"/>
    <mergeCell ref="Q61:R61"/>
    <mergeCell ref="Q62:R62"/>
    <mergeCell ref="C61:D61"/>
    <mergeCell ref="C62:D62"/>
    <mergeCell ref="Q59:R59"/>
    <mergeCell ref="Q60:R60"/>
    <mergeCell ref="C59:D59"/>
    <mergeCell ref="C60:D60"/>
    <mergeCell ref="Q57:R57"/>
    <mergeCell ref="C57:D57"/>
    <mergeCell ref="C58:D58"/>
    <mergeCell ref="C55:D55"/>
    <mergeCell ref="C56:D56"/>
    <mergeCell ref="AN22:AO22"/>
    <mergeCell ref="AJ19:AK19"/>
    <mergeCell ref="AJ20:AK20"/>
    <mergeCell ref="AN37:AO37"/>
    <mergeCell ref="AJ27:AK27"/>
    <mergeCell ref="AJ28:AK28"/>
    <mergeCell ref="Q55:R55"/>
    <mergeCell ref="Q56:R56"/>
    <mergeCell ref="Q58:R58"/>
    <mergeCell ref="C53:D53"/>
    <mergeCell ref="C54:D54"/>
    <mergeCell ref="Q51:R51"/>
    <mergeCell ref="Q52:R52"/>
    <mergeCell ref="C51:D51"/>
    <mergeCell ref="C52:D52"/>
    <mergeCell ref="E55:M55"/>
    <mergeCell ref="E56:M56"/>
    <mergeCell ref="E57:M57"/>
    <mergeCell ref="E58:M58"/>
    <mergeCell ref="Q50:R50"/>
    <mergeCell ref="C49:D49"/>
    <mergeCell ref="C50:D50"/>
    <mergeCell ref="Q47:R47"/>
    <mergeCell ref="Q48:R48"/>
    <mergeCell ref="C47:D47"/>
    <mergeCell ref="C48:D48"/>
    <mergeCell ref="Q53:R53"/>
    <mergeCell ref="Q54:R54"/>
    <mergeCell ref="E52:M52"/>
    <mergeCell ref="E53:M53"/>
    <mergeCell ref="E54:M54"/>
    <mergeCell ref="E50:M50"/>
    <mergeCell ref="E51:M51"/>
    <mergeCell ref="Q45:R45"/>
    <mergeCell ref="Q46:R46"/>
    <mergeCell ref="C45:D45"/>
    <mergeCell ref="C46:D46"/>
    <mergeCell ref="Q43:R43"/>
    <mergeCell ref="Q44:R44"/>
    <mergeCell ref="C43:D43"/>
    <mergeCell ref="C44:D44"/>
    <mergeCell ref="Q49:R49"/>
    <mergeCell ref="E43:M43"/>
    <mergeCell ref="E44:M44"/>
    <mergeCell ref="E45:M45"/>
    <mergeCell ref="E46:M46"/>
    <mergeCell ref="E47:M47"/>
    <mergeCell ref="E48:M48"/>
    <mergeCell ref="E49:M49"/>
    <mergeCell ref="Q41:R41"/>
    <mergeCell ref="Q42:R42"/>
    <mergeCell ref="C41:D41"/>
    <mergeCell ref="C42:D42"/>
    <mergeCell ref="Q39:R39"/>
    <mergeCell ref="Q40:R40"/>
    <mergeCell ref="C39:D39"/>
    <mergeCell ref="C40:D40"/>
    <mergeCell ref="E39:M39"/>
    <mergeCell ref="E40:M40"/>
    <mergeCell ref="E41:M41"/>
    <mergeCell ref="E42:M42"/>
    <mergeCell ref="Q37:R37"/>
    <mergeCell ref="Q38:R38"/>
    <mergeCell ref="C37:D37"/>
    <mergeCell ref="C38:D38"/>
    <mergeCell ref="Q35:R35"/>
    <mergeCell ref="Q36:R36"/>
    <mergeCell ref="C35:D35"/>
    <mergeCell ref="C36:D36"/>
    <mergeCell ref="E35:M35"/>
    <mergeCell ref="E36:M36"/>
    <mergeCell ref="E37:M37"/>
    <mergeCell ref="E38:M38"/>
    <mergeCell ref="Q34:R34"/>
    <mergeCell ref="C33:D33"/>
    <mergeCell ref="C34:D34"/>
    <mergeCell ref="Q31:R31"/>
    <mergeCell ref="Q32:R32"/>
    <mergeCell ref="C31:D31"/>
    <mergeCell ref="C32:D32"/>
    <mergeCell ref="E33:M33"/>
    <mergeCell ref="E34:M34"/>
    <mergeCell ref="Q29:R29"/>
    <mergeCell ref="Q30:R30"/>
    <mergeCell ref="C29:D29"/>
    <mergeCell ref="C30:D30"/>
    <mergeCell ref="Q27:R27"/>
    <mergeCell ref="Q28:R28"/>
    <mergeCell ref="C27:D27"/>
    <mergeCell ref="C28:D28"/>
    <mergeCell ref="Q33:R33"/>
    <mergeCell ref="E27:M27"/>
    <mergeCell ref="E28:M28"/>
    <mergeCell ref="E29:M29"/>
    <mergeCell ref="E30:M30"/>
    <mergeCell ref="E31:M31"/>
    <mergeCell ref="E32:M32"/>
    <mergeCell ref="C22:D22"/>
    <mergeCell ref="Q19:R19"/>
    <mergeCell ref="Q20:R20"/>
    <mergeCell ref="C19:D19"/>
    <mergeCell ref="C20:D20"/>
    <mergeCell ref="Q25:R25"/>
    <mergeCell ref="Q26:R26"/>
    <mergeCell ref="C25:D25"/>
    <mergeCell ref="C26:D26"/>
    <mergeCell ref="Q23:R23"/>
    <mergeCell ref="Q24:R24"/>
    <mergeCell ref="C23:D23"/>
    <mergeCell ref="C24:D24"/>
    <mergeCell ref="E22:M22"/>
    <mergeCell ref="E23:M23"/>
    <mergeCell ref="E24:M24"/>
    <mergeCell ref="E25:M25"/>
    <mergeCell ref="E26:M26"/>
    <mergeCell ref="Q22:R22"/>
    <mergeCell ref="Q17:R17"/>
    <mergeCell ref="Q18:R18"/>
    <mergeCell ref="C18:D18"/>
    <mergeCell ref="Q16:R16"/>
    <mergeCell ref="Q21:R21"/>
    <mergeCell ref="E18:M18"/>
    <mergeCell ref="E19:M19"/>
    <mergeCell ref="E20:M20"/>
    <mergeCell ref="E21:M21"/>
    <mergeCell ref="C21:D21"/>
    <mergeCell ref="C16:D16"/>
    <mergeCell ref="C17:D17"/>
    <mergeCell ref="W13:Z13"/>
    <mergeCell ref="W14:Z14"/>
    <mergeCell ref="W15:Z15"/>
    <mergeCell ref="Q15:R15"/>
    <mergeCell ref="Q11:R12"/>
    <mergeCell ref="N11:O12"/>
    <mergeCell ref="W10:Z10"/>
    <mergeCell ref="C13:D13"/>
    <mergeCell ref="C14:D14"/>
    <mergeCell ref="C15:D15"/>
    <mergeCell ref="Q13:R13"/>
    <mergeCell ref="Q14:R14"/>
    <mergeCell ref="W34:Z34"/>
    <mergeCell ref="W35:Z35"/>
    <mergeCell ref="W16:Z16"/>
    <mergeCell ref="W17:Z17"/>
    <mergeCell ref="W18:Z18"/>
    <mergeCell ref="W19:Z19"/>
    <mergeCell ref="W20:Z20"/>
    <mergeCell ref="W21:Z21"/>
    <mergeCell ref="W22:Z22"/>
    <mergeCell ref="W23:Z23"/>
    <mergeCell ref="W24:Z24"/>
    <mergeCell ref="W25:Z25"/>
    <mergeCell ref="W26:Z26"/>
    <mergeCell ref="W27:Z27"/>
    <mergeCell ref="W28:Z28"/>
    <mergeCell ref="W29:Z29"/>
    <mergeCell ref="W30:Z30"/>
    <mergeCell ref="W31:Z31"/>
    <mergeCell ref="W32:Z32"/>
    <mergeCell ref="W33:Z33"/>
    <mergeCell ref="W53:Z53"/>
    <mergeCell ref="W54:Z54"/>
    <mergeCell ref="W55:Z55"/>
    <mergeCell ref="W56:Z56"/>
    <mergeCell ref="W57:Z57"/>
    <mergeCell ref="W58:Z58"/>
    <mergeCell ref="W59:Z59"/>
    <mergeCell ref="W60:Z60"/>
    <mergeCell ref="W36:Z36"/>
    <mergeCell ref="W37:Z37"/>
    <mergeCell ref="W38:Z38"/>
    <mergeCell ref="W39:Z39"/>
    <mergeCell ref="W40:Z40"/>
    <mergeCell ref="W41:Z41"/>
    <mergeCell ref="W42:Z42"/>
    <mergeCell ref="W43:Z43"/>
    <mergeCell ref="W44:Z44"/>
    <mergeCell ref="W45:Z45"/>
    <mergeCell ref="W46:Z46"/>
    <mergeCell ref="W47:Z47"/>
    <mergeCell ref="W48:Z48"/>
    <mergeCell ref="W49:Z49"/>
    <mergeCell ref="W50:Z50"/>
    <mergeCell ref="W51:Z51"/>
    <mergeCell ref="E59:M59"/>
    <mergeCell ref="E60:M60"/>
    <mergeCell ref="E61:M61"/>
    <mergeCell ref="E62:M62"/>
    <mergeCell ref="E13:M13"/>
    <mergeCell ref="E14:M14"/>
    <mergeCell ref="E15:M15"/>
    <mergeCell ref="E16:M16"/>
    <mergeCell ref="E17:M17"/>
    <mergeCell ref="W52:Z52"/>
    <mergeCell ref="E11:M12"/>
    <mergeCell ref="W11:Z12"/>
    <mergeCell ref="AB11:AD12"/>
    <mergeCell ref="AB13:AD13"/>
    <mergeCell ref="AB14:AD14"/>
    <mergeCell ref="AB15:AD15"/>
    <mergeCell ref="AB16:AD16"/>
    <mergeCell ref="AB17:AD17"/>
    <mergeCell ref="AB18:AD18"/>
    <mergeCell ref="AB19:AD19"/>
    <mergeCell ref="AB20:AD20"/>
    <mergeCell ref="AB21:AD21"/>
    <mergeCell ref="AB22:AD22"/>
    <mergeCell ref="AB23:AD23"/>
    <mergeCell ref="AB24:AD24"/>
    <mergeCell ref="AB25:AD25"/>
    <mergeCell ref="AB26:AD26"/>
    <mergeCell ref="AB27:AD27"/>
    <mergeCell ref="AB28:AD28"/>
    <mergeCell ref="AB29:AD29"/>
    <mergeCell ref="AB30:AD30"/>
    <mergeCell ref="AB31:AD31"/>
    <mergeCell ref="AB32:AD32"/>
    <mergeCell ref="AB33:AD33"/>
    <mergeCell ref="AB34:AD34"/>
    <mergeCell ref="AB35:AD35"/>
    <mergeCell ref="AB36:AD36"/>
    <mergeCell ref="AB37:AD37"/>
    <mergeCell ref="AB38:AD38"/>
    <mergeCell ref="AB39:AD39"/>
    <mergeCell ref="AB40:AD40"/>
    <mergeCell ref="AB41:AD41"/>
    <mergeCell ref="AB42:AD42"/>
    <mergeCell ref="AB43:AD43"/>
    <mergeCell ref="AB44:AD44"/>
    <mergeCell ref="AB45:AD45"/>
    <mergeCell ref="AB46:AD46"/>
    <mergeCell ref="AB47:AD47"/>
    <mergeCell ref="AB48:AD48"/>
    <mergeCell ref="AB49:AD49"/>
    <mergeCell ref="AB50:AD50"/>
    <mergeCell ref="AB64:AD64"/>
    <mergeCell ref="AB65:AD65"/>
    <mergeCell ref="AB51:AD51"/>
    <mergeCell ref="AB52:AD52"/>
    <mergeCell ref="AB53:AD53"/>
    <mergeCell ref="AB54:AD54"/>
    <mergeCell ref="AB55:AD55"/>
    <mergeCell ref="AB56:AD56"/>
    <mergeCell ref="AB57:AD57"/>
    <mergeCell ref="AB58:AD58"/>
    <mergeCell ref="AB59:AD59"/>
    <mergeCell ref="AT11:AU11"/>
    <mergeCell ref="AV11:AW11"/>
    <mergeCell ref="AT12:AU12"/>
    <mergeCell ref="AV12:AW12"/>
    <mergeCell ref="AT13:AU13"/>
    <mergeCell ref="AV13:AW13"/>
    <mergeCell ref="AT14:AU14"/>
    <mergeCell ref="AV14:AW14"/>
    <mergeCell ref="AT15:AU15"/>
    <mergeCell ref="AV15:AW15"/>
    <mergeCell ref="AT16:AU16"/>
    <mergeCell ref="AV16:AW16"/>
    <mergeCell ref="AT17:AU17"/>
    <mergeCell ref="AV17:AW17"/>
    <mergeCell ref="AT18:AU18"/>
    <mergeCell ref="AV18:AW18"/>
    <mergeCell ref="AT19:AU19"/>
    <mergeCell ref="AV19:AW19"/>
    <mergeCell ref="AT20:AU20"/>
    <mergeCell ref="AV20:AW20"/>
    <mergeCell ref="AT21:AU21"/>
    <mergeCell ref="AV21:AW21"/>
    <mergeCell ref="AT22:AU22"/>
    <mergeCell ref="AV22:AW22"/>
    <mergeCell ref="AT23:AU23"/>
    <mergeCell ref="AV23:AW23"/>
    <mergeCell ref="AT24:AU24"/>
    <mergeCell ref="AV24:AW24"/>
    <mergeCell ref="AT25:AU25"/>
    <mergeCell ref="AV25:AW25"/>
    <mergeCell ref="AT26:AU26"/>
    <mergeCell ref="AV26:AW26"/>
    <mergeCell ref="AT27:AU27"/>
    <mergeCell ref="AV27:AW27"/>
    <mergeCell ref="AT28:AU28"/>
    <mergeCell ref="AV28:AW28"/>
    <mergeCell ref="AT29:AU29"/>
    <mergeCell ref="AV29:AW29"/>
    <mergeCell ref="AT30:AU30"/>
    <mergeCell ref="AV30:AW30"/>
    <mergeCell ref="AT31:AU31"/>
    <mergeCell ref="AV31:AW31"/>
    <mergeCell ref="AT32:AU32"/>
    <mergeCell ref="AV32:AW32"/>
    <mergeCell ref="AT33:AU33"/>
    <mergeCell ref="AV33:AW33"/>
    <mergeCell ref="AT34:AU34"/>
    <mergeCell ref="AV34:AW34"/>
    <mergeCell ref="AT35:AU35"/>
    <mergeCell ref="AV35:AW35"/>
    <mergeCell ref="AT36:AU36"/>
    <mergeCell ref="AV36:AW36"/>
    <mergeCell ref="AT37:AU37"/>
    <mergeCell ref="AV37:AW37"/>
    <mergeCell ref="AT38:AU38"/>
    <mergeCell ref="AV38:AW38"/>
    <mergeCell ref="AT39:AU39"/>
    <mergeCell ref="AV39:AW39"/>
    <mergeCell ref="AT40:AU40"/>
    <mergeCell ref="AV40:AW40"/>
    <mergeCell ref="AT41:AU41"/>
    <mergeCell ref="AV41:AW41"/>
    <mergeCell ref="AT42:AU42"/>
    <mergeCell ref="AV42:AW42"/>
    <mergeCell ref="AT43:AU43"/>
    <mergeCell ref="AV43:AW43"/>
    <mergeCell ref="AT44:AU44"/>
    <mergeCell ref="AV44:AW44"/>
    <mergeCell ref="AT45:AU45"/>
    <mergeCell ref="AV45:AW45"/>
    <mergeCell ref="AV53:AW53"/>
    <mergeCell ref="AT54:AU54"/>
    <mergeCell ref="AV54:AW54"/>
    <mergeCell ref="AT55:AU55"/>
    <mergeCell ref="AV55:AW55"/>
    <mergeCell ref="AT46:AU46"/>
    <mergeCell ref="AV46:AW46"/>
    <mergeCell ref="AT47:AU47"/>
    <mergeCell ref="AV47:AW47"/>
    <mergeCell ref="AT48:AU48"/>
    <mergeCell ref="AV48:AW48"/>
    <mergeCell ref="AT49:AU49"/>
    <mergeCell ref="AV49:AW49"/>
    <mergeCell ref="AT50:AU50"/>
    <mergeCell ref="AV50:AW50"/>
    <mergeCell ref="AJ10:AO10"/>
    <mergeCell ref="AR10:AW10"/>
    <mergeCell ref="O63:V63"/>
    <mergeCell ref="O64:V64"/>
    <mergeCell ref="O65:V65"/>
    <mergeCell ref="AT61:AU61"/>
    <mergeCell ref="AV61:AW61"/>
    <mergeCell ref="AT62:AU62"/>
    <mergeCell ref="AV62:AW62"/>
    <mergeCell ref="AT56:AU56"/>
    <mergeCell ref="AV56:AW56"/>
    <mergeCell ref="AT57:AU57"/>
    <mergeCell ref="AV57:AW57"/>
    <mergeCell ref="AT58:AU58"/>
    <mergeCell ref="AV58:AW58"/>
    <mergeCell ref="AT59:AU59"/>
    <mergeCell ref="AV59:AW59"/>
    <mergeCell ref="AT60:AU60"/>
    <mergeCell ref="AV60:AW60"/>
    <mergeCell ref="AT51:AU51"/>
    <mergeCell ref="AV51:AW51"/>
    <mergeCell ref="AT52:AU52"/>
    <mergeCell ref="AV52:AW52"/>
    <mergeCell ref="AT53:AU53"/>
  </mergeCells>
  <pageMargins left="0.73" right="0.69" top="0.75" bottom="0.75" header="0.3" footer="0.3"/>
  <pageSetup scale="67" orientation="portrait" horizontalDpi="1200" verticalDpi="1200" r:id="rId1"/>
  <drawing r:id="rId2"/>
  <legacyDrawingHF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pageSetUpPr fitToPage="1"/>
  </sheetPr>
  <dimension ref="A1:BY88"/>
  <sheetViews>
    <sheetView tabSelected="1" topLeftCell="A50" zoomScale="110" zoomScaleNormal="110" zoomScaleSheetLayoutView="90" workbookViewId="0">
      <selection activeCell="N42" sqref="N42:Y42"/>
    </sheetView>
  </sheetViews>
  <sheetFormatPr baseColWidth="10" defaultColWidth="4.6640625" defaultRowHeight="17" x14ac:dyDescent="0.2"/>
  <cols>
    <col min="1" max="2" width="4.6640625" style="7"/>
    <col min="3" max="3" width="4.6640625" style="31"/>
    <col min="4" max="13" width="4.6640625" style="7"/>
    <col min="14" max="16" width="4.6640625" style="7" customWidth="1"/>
    <col min="17" max="18" width="4.6640625" style="63" customWidth="1"/>
    <col min="19" max="23" width="4.6640625" style="7" customWidth="1"/>
    <col min="24" max="26" width="4.6640625" style="24" customWidth="1"/>
    <col min="27" max="27" width="4.6640625" style="7" customWidth="1"/>
    <col min="28" max="30" width="4.6640625" style="24"/>
    <col min="31" max="31" width="4.6640625" style="7"/>
    <col min="32" max="34" width="4.6640625" style="24"/>
    <col min="35" max="16384" width="4.6640625" style="7"/>
  </cols>
  <sheetData>
    <row r="1" spans="2:77" ht="16.5" customHeight="1" x14ac:dyDescent="0.2">
      <c r="B1"/>
      <c r="C1"/>
      <c r="D1"/>
      <c r="E1"/>
      <c r="F1"/>
      <c r="G1"/>
      <c r="H1"/>
      <c r="I1"/>
      <c r="J1"/>
      <c r="K1"/>
      <c r="L1"/>
      <c r="P1" s="63"/>
      <c r="R1" s="7"/>
      <c r="AB1" s="7"/>
      <c r="AC1" s="7"/>
      <c r="AD1" s="7"/>
      <c r="AF1" s="7"/>
      <c r="AG1" s="7"/>
      <c r="AH1" s="7"/>
      <c r="BY1" s="7" t="s">
        <v>407</v>
      </c>
    </row>
    <row r="2" spans="2:77" ht="6.5" customHeight="1" x14ac:dyDescent="0.2">
      <c r="B2"/>
      <c r="C2"/>
      <c r="D2"/>
      <c r="E2"/>
      <c r="F2"/>
      <c r="G2"/>
      <c r="H2"/>
      <c r="I2"/>
      <c r="J2"/>
      <c r="K2"/>
      <c r="L2"/>
      <c r="M2"/>
      <c r="P2" s="63"/>
      <c r="R2" s="7"/>
      <c r="AB2" s="7"/>
      <c r="AC2" s="7"/>
      <c r="AD2" s="7"/>
      <c r="AF2" s="7"/>
      <c r="AG2" s="7"/>
      <c r="AH2" s="7"/>
    </row>
    <row r="3" spans="2:77" ht="16.5" customHeight="1" x14ac:dyDescent="0.2">
      <c r="B3"/>
      <c r="C3"/>
      <c r="D3"/>
      <c r="E3"/>
      <c r="F3"/>
      <c r="G3"/>
      <c r="H3"/>
      <c r="I3"/>
      <c r="J3"/>
      <c r="K3"/>
      <c r="L3"/>
      <c r="M3"/>
      <c r="P3" s="63"/>
      <c r="Q3" s="7"/>
      <c r="R3" s="7"/>
      <c r="AB3" s="7"/>
      <c r="AC3" s="7"/>
      <c r="AD3" s="7"/>
      <c r="AF3" s="7"/>
      <c r="AG3" s="7"/>
      <c r="AH3" s="7"/>
    </row>
    <row r="4" spans="2:77" ht="6.5" customHeight="1" x14ac:dyDescent="0.2">
      <c r="B4"/>
      <c r="C4"/>
      <c r="D4"/>
      <c r="E4"/>
      <c r="F4"/>
      <c r="G4"/>
      <c r="H4"/>
      <c r="I4"/>
      <c r="J4"/>
      <c r="K4"/>
      <c r="L4"/>
      <c r="P4" s="63"/>
      <c r="Q4" s="7"/>
      <c r="R4" s="7"/>
      <c r="AB4" s="7"/>
      <c r="AC4" s="7"/>
      <c r="AD4" s="7"/>
      <c r="AF4" s="7"/>
      <c r="AG4" s="7"/>
      <c r="AH4" s="7"/>
    </row>
    <row r="5" spans="2:77" ht="16.5" customHeight="1" x14ac:dyDescent="0.2">
      <c r="B5"/>
      <c r="C5"/>
      <c r="D5"/>
      <c r="E5"/>
      <c r="F5"/>
      <c r="G5"/>
      <c r="H5"/>
      <c r="I5"/>
      <c r="J5"/>
      <c r="K5"/>
      <c r="L5"/>
      <c r="M5"/>
      <c r="P5" s="63"/>
      <c r="R5" s="7"/>
      <c r="AB5" s="7"/>
      <c r="AC5" s="7"/>
      <c r="AD5" s="7"/>
      <c r="AF5" s="7"/>
      <c r="AG5" s="7"/>
      <c r="AH5" s="7"/>
    </row>
    <row r="6" spans="2:77" ht="16.25" customHeight="1" x14ac:dyDescent="0.2">
      <c r="C6"/>
      <c r="D6"/>
      <c r="E6"/>
    </row>
    <row r="7" spans="2:77" ht="16.25" customHeight="1" x14ac:dyDescent="0.2"/>
    <row r="8" spans="2:77" s="323" customFormat="1" ht="20" customHeight="1" x14ac:dyDescent="0.2">
      <c r="C8" s="4" t="s">
        <v>261</v>
      </c>
      <c r="D8" s="5" t="s">
        <v>271</v>
      </c>
      <c r="E8" s="5"/>
      <c r="F8" s="349"/>
      <c r="G8" s="349"/>
      <c r="H8" s="349"/>
      <c r="I8" s="349"/>
      <c r="J8" s="349"/>
      <c r="K8" s="349"/>
      <c r="L8" s="349"/>
      <c r="M8" s="349"/>
      <c r="N8" s="349"/>
      <c r="O8" s="349"/>
      <c r="P8" s="349"/>
      <c r="Q8" s="356"/>
      <c r="R8" s="356"/>
      <c r="S8" s="349"/>
      <c r="T8" s="349"/>
      <c r="U8" s="349"/>
      <c r="V8" s="349"/>
      <c r="W8" s="706"/>
      <c r="X8" s="706"/>
      <c r="Y8" s="706"/>
      <c r="Z8" s="707"/>
      <c r="AB8" s="357"/>
      <c r="AC8" s="354"/>
      <c r="AD8" s="355"/>
      <c r="AF8" s="357"/>
      <c r="AG8" s="354"/>
      <c r="AH8" s="355"/>
    </row>
    <row r="9" spans="2:77" s="110" customFormat="1" ht="16.25" customHeight="1" x14ac:dyDescent="0.15">
      <c r="C9" s="152"/>
      <c r="D9" s="116"/>
      <c r="E9" s="120" t="s">
        <v>384</v>
      </c>
      <c r="F9" s="134"/>
      <c r="G9" s="134"/>
      <c r="H9" s="134"/>
      <c r="I9" s="134"/>
      <c r="J9" s="134"/>
      <c r="K9" s="134"/>
      <c r="L9" s="134"/>
      <c r="M9" s="134"/>
      <c r="N9" s="726" t="s">
        <v>375</v>
      </c>
      <c r="O9" s="726"/>
      <c r="P9" s="134"/>
      <c r="Q9" s="727" t="s">
        <v>220</v>
      </c>
      <c r="R9" s="727"/>
      <c r="S9" s="134"/>
      <c r="T9" s="126" t="s">
        <v>400</v>
      </c>
      <c r="U9" s="134"/>
      <c r="V9" s="134"/>
      <c r="W9" s="724" t="s">
        <v>370</v>
      </c>
      <c r="X9" s="724"/>
      <c r="Y9" s="724"/>
      <c r="Z9" s="725"/>
      <c r="AB9" s="723" t="s">
        <v>363</v>
      </c>
      <c r="AC9" s="724"/>
      <c r="AD9" s="725"/>
      <c r="AF9" s="723" t="s">
        <v>447</v>
      </c>
      <c r="AG9" s="724"/>
      <c r="AH9" s="725"/>
    </row>
    <row r="10" spans="2:77" s="51" customFormat="1" ht="18.25" customHeight="1" x14ac:dyDescent="0.15">
      <c r="C10" s="708">
        <v>101</v>
      </c>
      <c r="D10" s="709"/>
      <c r="E10" s="700" t="s">
        <v>11</v>
      </c>
      <c r="F10" s="700"/>
      <c r="G10" s="700"/>
      <c r="H10" s="700"/>
      <c r="I10" s="700"/>
      <c r="J10" s="700"/>
      <c r="K10" s="700"/>
      <c r="L10" s="700"/>
      <c r="M10" s="700"/>
      <c r="N10" s="309"/>
      <c r="O10" s="309" t="s">
        <v>140</v>
      </c>
      <c r="P10" s="310" t="s">
        <v>117</v>
      </c>
      <c r="Q10" s="735"/>
      <c r="R10" s="735"/>
      <c r="S10" s="311" t="s">
        <v>143</v>
      </c>
      <c r="T10" s="309"/>
      <c r="U10" s="279"/>
      <c r="V10" s="309"/>
      <c r="W10" s="729">
        <f t="shared" ref="W10:W22" si="0">N10*Q10*(IF(ISNUMBER(T10),T10,IF(ISNUMBER(N10),1,0)))</f>
        <v>0</v>
      </c>
      <c r="X10" s="729"/>
      <c r="Y10" s="729"/>
      <c r="Z10" s="730"/>
      <c r="AB10" s="663">
        <v>0</v>
      </c>
      <c r="AC10" s="664"/>
      <c r="AD10" s="665"/>
      <c r="AF10" s="663">
        <f t="shared" ref="AF10:AF23" si="1">AB10-W10</f>
        <v>0</v>
      </c>
      <c r="AG10" s="664"/>
      <c r="AH10" s="665"/>
    </row>
    <row r="11" spans="2:77" s="51" customFormat="1" ht="18.25" customHeight="1" x14ac:dyDescent="0.15">
      <c r="C11" s="708">
        <v>102</v>
      </c>
      <c r="D11" s="709"/>
      <c r="E11" s="700" t="s">
        <v>15</v>
      </c>
      <c r="F11" s="700"/>
      <c r="G11" s="700"/>
      <c r="H11" s="700"/>
      <c r="I11" s="700"/>
      <c r="J11" s="700"/>
      <c r="K11" s="700"/>
      <c r="L11" s="700"/>
      <c r="M11" s="700"/>
      <c r="N11" s="309"/>
      <c r="O11" s="309" t="s">
        <v>140</v>
      </c>
      <c r="P11" s="310" t="s">
        <v>117</v>
      </c>
      <c r="Q11" s="728"/>
      <c r="R11" s="728"/>
      <c r="S11" s="311" t="s">
        <v>143</v>
      </c>
      <c r="T11" s="309"/>
      <c r="U11" s="279"/>
      <c r="V11" s="309"/>
      <c r="W11" s="729">
        <f t="shared" si="0"/>
        <v>0</v>
      </c>
      <c r="X11" s="729"/>
      <c r="Y11" s="729"/>
      <c r="Z11" s="730"/>
      <c r="AB11" s="663">
        <v>0</v>
      </c>
      <c r="AC11" s="664"/>
      <c r="AD11" s="665"/>
      <c r="AF11" s="663">
        <f t="shared" si="1"/>
        <v>0</v>
      </c>
      <c r="AG11" s="664"/>
      <c r="AH11" s="665"/>
    </row>
    <row r="12" spans="2:77" s="51" customFormat="1" ht="18.25" customHeight="1" x14ac:dyDescent="0.15">
      <c r="C12" s="708">
        <v>103</v>
      </c>
      <c r="D12" s="709"/>
      <c r="E12" s="700" t="s">
        <v>112</v>
      </c>
      <c r="F12" s="700"/>
      <c r="G12" s="700"/>
      <c r="H12" s="700"/>
      <c r="I12" s="700"/>
      <c r="J12" s="700"/>
      <c r="K12" s="700"/>
      <c r="L12" s="700"/>
      <c r="M12" s="700"/>
      <c r="N12" s="309"/>
      <c r="O12" s="309" t="s">
        <v>140</v>
      </c>
      <c r="P12" s="310" t="s">
        <v>117</v>
      </c>
      <c r="Q12" s="728"/>
      <c r="R12" s="728"/>
      <c r="S12" s="311" t="s">
        <v>143</v>
      </c>
      <c r="T12" s="309"/>
      <c r="U12" s="279"/>
      <c r="V12" s="309"/>
      <c r="W12" s="729">
        <f t="shared" si="0"/>
        <v>0</v>
      </c>
      <c r="X12" s="729"/>
      <c r="Y12" s="729"/>
      <c r="Z12" s="730"/>
      <c r="AB12" s="663">
        <v>0</v>
      </c>
      <c r="AC12" s="664"/>
      <c r="AD12" s="665"/>
      <c r="AF12" s="663">
        <f t="shared" si="1"/>
        <v>0</v>
      </c>
      <c r="AG12" s="664"/>
      <c r="AH12" s="665"/>
    </row>
    <row r="13" spans="2:77" s="51" customFormat="1" ht="18.25" customHeight="1" x14ac:dyDescent="0.15">
      <c r="C13" s="708">
        <v>104</v>
      </c>
      <c r="D13" s="709"/>
      <c r="E13" s="700" t="s">
        <v>16</v>
      </c>
      <c r="F13" s="700"/>
      <c r="G13" s="700"/>
      <c r="H13" s="700"/>
      <c r="I13" s="700"/>
      <c r="J13" s="700"/>
      <c r="K13" s="700"/>
      <c r="L13" s="700"/>
      <c r="M13" s="700"/>
      <c r="N13" s="309"/>
      <c r="O13" s="309" t="s">
        <v>140</v>
      </c>
      <c r="P13" s="310" t="s">
        <v>117</v>
      </c>
      <c r="Q13" s="728"/>
      <c r="R13" s="728"/>
      <c r="S13" s="311" t="s">
        <v>143</v>
      </c>
      <c r="T13" s="309"/>
      <c r="U13" s="279"/>
      <c r="V13" s="309"/>
      <c r="W13" s="729">
        <f t="shared" si="0"/>
        <v>0</v>
      </c>
      <c r="X13" s="729"/>
      <c r="Y13" s="729"/>
      <c r="Z13" s="730"/>
      <c r="AB13" s="663">
        <v>0</v>
      </c>
      <c r="AC13" s="664"/>
      <c r="AD13" s="665"/>
      <c r="AF13" s="663">
        <f t="shared" si="1"/>
        <v>0</v>
      </c>
      <c r="AG13" s="664"/>
      <c r="AH13" s="665"/>
    </row>
    <row r="14" spans="2:77" s="51" customFormat="1" ht="18.25" customHeight="1" x14ac:dyDescent="0.15">
      <c r="C14" s="708">
        <v>105</v>
      </c>
      <c r="D14" s="709"/>
      <c r="E14" s="700" t="s">
        <v>99</v>
      </c>
      <c r="F14" s="700"/>
      <c r="G14" s="700"/>
      <c r="H14" s="700"/>
      <c r="I14" s="700"/>
      <c r="J14" s="700"/>
      <c r="K14" s="700"/>
      <c r="L14" s="700"/>
      <c r="M14" s="700"/>
      <c r="N14" s="309"/>
      <c r="O14" s="309" t="s">
        <v>451</v>
      </c>
      <c r="P14" s="310" t="s">
        <v>117</v>
      </c>
      <c r="Q14" s="728"/>
      <c r="R14" s="728"/>
      <c r="S14" s="311" t="s">
        <v>143</v>
      </c>
      <c r="T14" s="309"/>
      <c r="U14" s="279"/>
      <c r="V14" s="309"/>
      <c r="W14" s="729">
        <f t="shared" si="0"/>
        <v>0</v>
      </c>
      <c r="X14" s="729"/>
      <c r="Y14" s="729"/>
      <c r="Z14" s="730"/>
      <c r="AB14" s="663">
        <v>0</v>
      </c>
      <c r="AC14" s="664"/>
      <c r="AD14" s="665"/>
      <c r="AF14" s="663">
        <f t="shared" si="1"/>
        <v>0</v>
      </c>
      <c r="AG14" s="664"/>
      <c r="AH14" s="665"/>
    </row>
    <row r="15" spans="2:77" s="51" customFormat="1" ht="18.25" customHeight="1" x14ac:dyDescent="0.15">
      <c r="C15" s="708">
        <v>106</v>
      </c>
      <c r="D15" s="709"/>
      <c r="E15" s="700" t="s">
        <v>98</v>
      </c>
      <c r="F15" s="700"/>
      <c r="G15" s="700"/>
      <c r="H15" s="700"/>
      <c r="I15" s="700"/>
      <c r="J15" s="700"/>
      <c r="K15" s="700"/>
      <c r="L15" s="700"/>
      <c r="M15" s="700"/>
      <c r="N15" s="309"/>
      <c r="O15" s="309" t="s">
        <v>140</v>
      </c>
      <c r="P15" s="310" t="s">
        <v>117</v>
      </c>
      <c r="Q15" s="728"/>
      <c r="R15" s="728"/>
      <c r="S15" s="311" t="s">
        <v>143</v>
      </c>
      <c r="T15" s="309"/>
      <c r="U15" s="279"/>
      <c r="V15" s="309"/>
      <c r="W15" s="729">
        <f t="shared" si="0"/>
        <v>0</v>
      </c>
      <c r="X15" s="729"/>
      <c r="Y15" s="729"/>
      <c r="Z15" s="730"/>
      <c r="AB15" s="663">
        <v>0</v>
      </c>
      <c r="AC15" s="664"/>
      <c r="AD15" s="665"/>
      <c r="AF15" s="663">
        <f t="shared" si="1"/>
        <v>0</v>
      </c>
      <c r="AG15" s="664"/>
      <c r="AH15" s="665"/>
    </row>
    <row r="16" spans="2:77" s="51" customFormat="1" ht="18.25" customHeight="1" x14ac:dyDescent="0.15">
      <c r="C16" s="708">
        <v>107</v>
      </c>
      <c r="D16" s="709"/>
      <c r="E16" s="700" t="s">
        <v>18</v>
      </c>
      <c r="F16" s="700"/>
      <c r="G16" s="700"/>
      <c r="H16" s="700"/>
      <c r="I16" s="700"/>
      <c r="J16" s="700"/>
      <c r="K16" s="700"/>
      <c r="L16" s="700"/>
      <c r="M16" s="700"/>
      <c r="N16" s="309"/>
      <c r="O16" s="309" t="s">
        <v>140</v>
      </c>
      <c r="P16" s="310" t="s">
        <v>117</v>
      </c>
      <c r="Q16" s="728"/>
      <c r="R16" s="728"/>
      <c r="S16" s="311" t="s">
        <v>143</v>
      </c>
      <c r="T16" s="309"/>
      <c r="U16" s="279"/>
      <c r="V16" s="309"/>
      <c r="W16" s="729">
        <f t="shared" si="0"/>
        <v>0</v>
      </c>
      <c r="X16" s="729"/>
      <c r="Y16" s="729"/>
      <c r="Z16" s="730"/>
      <c r="AB16" s="663">
        <v>0</v>
      </c>
      <c r="AC16" s="664"/>
      <c r="AD16" s="665"/>
      <c r="AF16" s="663">
        <f t="shared" si="1"/>
        <v>0</v>
      </c>
      <c r="AG16" s="664"/>
      <c r="AH16" s="665"/>
    </row>
    <row r="17" spans="3:34" s="51" customFormat="1" ht="18.25" customHeight="1" x14ac:dyDescent="0.15">
      <c r="C17" s="708">
        <v>108</v>
      </c>
      <c r="D17" s="709"/>
      <c r="E17" s="700" t="s">
        <v>20</v>
      </c>
      <c r="F17" s="700"/>
      <c r="G17" s="700"/>
      <c r="H17" s="700"/>
      <c r="I17" s="312" t="s">
        <v>802</v>
      </c>
      <c r="J17" s="311"/>
      <c r="K17" s="700" t="s">
        <v>803</v>
      </c>
      <c r="L17" s="700"/>
      <c r="M17" s="700"/>
      <c r="N17" s="313"/>
      <c r="O17" s="313" t="s">
        <v>116</v>
      </c>
      <c r="P17" s="314" t="s">
        <v>117</v>
      </c>
      <c r="Q17" s="731">
        <v>400</v>
      </c>
      <c r="R17" s="731"/>
      <c r="S17" s="315" t="s">
        <v>143</v>
      </c>
      <c r="T17" s="313"/>
      <c r="U17" s="279"/>
      <c r="V17" s="309"/>
      <c r="W17" s="729">
        <f>(J17+N17+IF(ISNUMBER(T17),T17,0))*Q17</f>
        <v>0</v>
      </c>
      <c r="X17" s="729"/>
      <c r="Y17" s="729"/>
      <c r="Z17" s="730"/>
      <c r="AB17" s="663">
        <v>0</v>
      </c>
      <c r="AC17" s="664"/>
      <c r="AD17" s="665"/>
      <c r="AF17" s="663">
        <f t="shared" si="1"/>
        <v>0</v>
      </c>
      <c r="AG17" s="664"/>
      <c r="AH17" s="665"/>
    </row>
    <row r="18" spans="3:34" s="51" customFormat="1" ht="18.25" customHeight="1" x14ac:dyDescent="0.15">
      <c r="C18" s="708">
        <v>109</v>
      </c>
      <c r="D18" s="709"/>
      <c r="E18" s="700" t="s">
        <v>21</v>
      </c>
      <c r="F18" s="700"/>
      <c r="G18" s="700"/>
      <c r="H18" s="700"/>
      <c r="I18" s="312" t="s">
        <v>802</v>
      </c>
      <c r="J18" s="311"/>
      <c r="K18" s="700" t="s">
        <v>803</v>
      </c>
      <c r="L18" s="700"/>
      <c r="M18" s="700"/>
      <c r="N18" s="313"/>
      <c r="O18" s="313" t="s">
        <v>116</v>
      </c>
      <c r="P18" s="314" t="s">
        <v>117</v>
      </c>
      <c r="Q18" s="731">
        <v>1100</v>
      </c>
      <c r="R18" s="731"/>
      <c r="S18" s="315" t="s">
        <v>143</v>
      </c>
      <c r="T18" s="313"/>
      <c r="U18" s="279"/>
      <c r="V18" s="309"/>
      <c r="W18" s="729">
        <f>(H18+J18+M18+N18)*Q18*(IF(ISNUMBER(T18),T18,IF(ISNUMBER(N18),1,0)))</f>
        <v>0</v>
      </c>
      <c r="X18" s="729"/>
      <c r="Y18" s="729"/>
      <c r="Z18" s="730"/>
      <c r="AB18" s="663">
        <v>0</v>
      </c>
      <c r="AC18" s="664"/>
      <c r="AD18" s="665"/>
      <c r="AF18" s="663">
        <f t="shared" si="1"/>
        <v>0</v>
      </c>
      <c r="AG18" s="664"/>
      <c r="AH18" s="665"/>
    </row>
    <row r="19" spans="3:34" s="51" customFormat="1" ht="18.25" customHeight="1" x14ac:dyDescent="0.15">
      <c r="C19" s="708">
        <v>110</v>
      </c>
      <c r="D19" s="709"/>
      <c r="E19" s="700" t="s">
        <v>100</v>
      </c>
      <c r="F19" s="700"/>
      <c r="G19" s="700"/>
      <c r="H19" s="700"/>
      <c r="I19" s="700"/>
      <c r="J19" s="700"/>
      <c r="K19" s="700"/>
      <c r="L19" s="700"/>
      <c r="M19" s="700"/>
      <c r="N19" s="313"/>
      <c r="O19" s="313" t="s">
        <v>140</v>
      </c>
      <c r="P19" s="314" t="s">
        <v>117</v>
      </c>
      <c r="Q19" s="731"/>
      <c r="R19" s="731"/>
      <c r="S19" s="315" t="s">
        <v>143</v>
      </c>
      <c r="T19" s="313"/>
      <c r="U19" s="279"/>
      <c r="V19" s="309"/>
      <c r="W19" s="729">
        <f t="shared" si="0"/>
        <v>0</v>
      </c>
      <c r="X19" s="729"/>
      <c r="Y19" s="729"/>
      <c r="Z19" s="730"/>
      <c r="AB19" s="663">
        <v>0</v>
      </c>
      <c r="AC19" s="664"/>
      <c r="AD19" s="665"/>
      <c r="AF19" s="663">
        <f t="shared" si="1"/>
        <v>0</v>
      </c>
      <c r="AG19" s="664"/>
      <c r="AH19" s="665"/>
    </row>
    <row r="20" spans="3:34" s="51" customFormat="1" ht="18.25" customHeight="1" x14ac:dyDescent="0.15">
      <c r="C20" s="708">
        <v>111</v>
      </c>
      <c r="D20" s="709"/>
      <c r="E20" s="700" t="s">
        <v>19</v>
      </c>
      <c r="F20" s="700"/>
      <c r="G20" s="700"/>
      <c r="H20" s="700"/>
      <c r="I20" s="700"/>
      <c r="J20" s="700"/>
      <c r="K20" s="700"/>
      <c r="L20" s="700"/>
      <c r="M20" s="700"/>
      <c r="N20" s="309"/>
      <c r="O20" s="309" t="s">
        <v>140</v>
      </c>
      <c r="P20" s="310" t="s">
        <v>117</v>
      </c>
      <c r="Q20" s="728"/>
      <c r="R20" s="728"/>
      <c r="S20" s="311" t="s">
        <v>143</v>
      </c>
      <c r="T20" s="309"/>
      <c r="U20" s="279"/>
      <c r="V20" s="309"/>
      <c r="W20" s="729">
        <f t="shared" si="0"/>
        <v>0</v>
      </c>
      <c r="X20" s="729"/>
      <c r="Y20" s="729"/>
      <c r="Z20" s="730"/>
      <c r="AB20" s="663">
        <v>0</v>
      </c>
      <c r="AC20" s="664"/>
      <c r="AD20" s="665"/>
      <c r="AF20" s="663">
        <f t="shared" si="1"/>
        <v>0</v>
      </c>
      <c r="AG20" s="664"/>
      <c r="AH20" s="665"/>
    </row>
    <row r="21" spans="3:34" s="51" customFormat="1" ht="18.25" customHeight="1" x14ac:dyDescent="0.15">
      <c r="C21" s="708">
        <v>112</v>
      </c>
      <c r="D21" s="709"/>
      <c r="E21" s="700" t="s">
        <v>22</v>
      </c>
      <c r="F21" s="700"/>
      <c r="G21" s="700"/>
      <c r="H21" s="700"/>
      <c r="I21" s="700"/>
      <c r="J21" s="700"/>
      <c r="K21" s="700"/>
      <c r="L21" s="700"/>
      <c r="M21" s="700"/>
      <c r="N21" s="309"/>
      <c r="O21" s="309" t="s">
        <v>140</v>
      </c>
      <c r="P21" s="310" t="s">
        <v>117</v>
      </c>
      <c r="Q21" s="728"/>
      <c r="R21" s="728"/>
      <c r="S21" s="311" t="s">
        <v>143</v>
      </c>
      <c r="T21" s="309"/>
      <c r="U21" s="279"/>
      <c r="V21" s="309"/>
      <c r="W21" s="729">
        <f t="shared" si="0"/>
        <v>0</v>
      </c>
      <c r="X21" s="729"/>
      <c r="Y21" s="729"/>
      <c r="Z21" s="730"/>
      <c r="AB21" s="663">
        <v>0</v>
      </c>
      <c r="AC21" s="664"/>
      <c r="AD21" s="665"/>
      <c r="AF21" s="663">
        <f t="shared" si="1"/>
        <v>0</v>
      </c>
      <c r="AG21" s="664"/>
      <c r="AH21" s="665"/>
    </row>
    <row r="22" spans="3:34" s="51" customFormat="1" ht="18.25" customHeight="1" x14ac:dyDescent="0.15">
      <c r="C22" s="708">
        <v>113</v>
      </c>
      <c r="D22" s="709"/>
      <c r="E22" s="700" t="s">
        <v>17</v>
      </c>
      <c r="F22" s="700"/>
      <c r="G22" s="700"/>
      <c r="H22" s="700"/>
      <c r="I22" s="700"/>
      <c r="J22" s="700"/>
      <c r="K22" s="700"/>
      <c r="L22" s="700"/>
      <c r="M22" s="700"/>
      <c r="N22" s="309"/>
      <c r="O22" s="309" t="s">
        <v>140</v>
      </c>
      <c r="P22" s="310" t="s">
        <v>117</v>
      </c>
      <c r="Q22" s="728"/>
      <c r="R22" s="728"/>
      <c r="S22" s="311" t="s">
        <v>143</v>
      </c>
      <c r="T22" s="309"/>
      <c r="U22" s="279"/>
      <c r="V22" s="309"/>
      <c r="W22" s="729">
        <f t="shared" si="0"/>
        <v>0</v>
      </c>
      <c r="X22" s="729"/>
      <c r="Y22" s="729"/>
      <c r="Z22" s="730"/>
      <c r="AB22" s="663">
        <v>0</v>
      </c>
      <c r="AC22" s="664"/>
      <c r="AD22" s="665"/>
      <c r="AF22" s="663">
        <f t="shared" si="1"/>
        <v>0</v>
      </c>
      <c r="AG22" s="664"/>
      <c r="AH22" s="665"/>
    </row>
    <row r="23" spans="3:34" s="322" customFormat="1" ht="18.25" customHeight="1" x14ac:dyDescent="0.2">
      <c r="C23" s="388"/>
      <c r="D23" s="389"/>
      <c r="E23" s="389"/>
      <c r="F23" s="389"/>
      <c r="G23" s="389"/>
      <c r="H23" s="389"/>
      <c r="I23" s="389"/>
      <c r="J23" s="389"/>
      <c r="K23" s="389"/>
      <c r="L23" s="389"/>
      <c r="M23" s="389"/>
      <c r="N23" s="389"/>
      <c r="O23" s="654" t="s">
        <v>127</v>
      </c>
      <c r="P23" s="654"/>
      <c r="Q23" s="654"/>
      <c r="R23" s="654"/>
      <c r="S23" s="654"/>
      <c r="T23" s="654"/>
      <c r="U23" s="654"/>
      <c r="V23" s="655"/>
      <c r="W23" s="732">
        <f>SUM(W10:Z22)</f>
        <v>0</v>
      </c>
      <c r="X23" s="733"/>
      <c r="Y23" s="733"/>
      <c r="Z23" s="734"/>
      <c r="AB23" s="720">
        <f>SUM(AB10:AD22)</f>
        <v>0</v>
      </c>
      <c r="AC23" s="721"/>
      <c r="AD23" s="722"/>
      <c r="AF23" s="714">
        <f t="shared" si="1"/>
        <v>0</v>
      </c>
      <c r="AG23" s="715"/>
      <c r="AH23" s="716"/>
    </row>
    <row r="24" spans="3:34" ht="16.25" customHeight="1" x14ac:dyDescent="0.2">
      <c r="C24" s="32"/>
      <c r="D24" s="10"/>
      <c r="E24" s="10"/>
      <c r="F24" s="11"/>
      <c r="G24" s="11"/>
      <c r="H24" s="11"/>
      <c r="I24" s="11"/>
      <c r="J24" s="11"/>
      <c r="K24" s="11"/>
      <c r="L24" s="11"/>
      <c r="M24" s="11"/>
      <c r="N24" s="10"/>
      <c r="O24" s="10"/>
      <c r="P24" s="10"/>
      <c r="Q24" s="64"/>
      <c r="R24" s="64"/>
      <c r="S24" s="10"/>
      <c r="T24" s="10"/>
      <c r="U24" s="10"/>
      <c r="V24" s="11"/>
      <c r="W24" s="10"/>
      <c r="X24" s="26"/>
      <c r="Y24" s="26"/>
      <c r="Z24" s="26"/>
      <c r="AB24" s="26"/>
      <c r="AC24" s="26"/>
      <c r="AD24" s="48"/>
      <c r="AF24" s="26"/>
      <c r="AG24" s="26"/>
      <c r="AH24" s="48"/>
    </row>
    <row r="25" spans="3:34" s="323" customFormat="1" ht="20" customHeight="1" x14ac:dyDescent="0.2">
      <c r="C25" s="4" t="s">
        <v>262</v>
      </c>
      <c r="D25" s="5" t="s">
        <v>272</v>
      </c>
      <c r="E25" s="5"/>
      <c r="F25" s="349"/>
      <c r="G25" s="349"/>
      <c r="H25" s="349"/>
      <c r="I25" s="349"/>
      <c r="J25" s="349"/>
      <c r="K25" s="349"/>
      <c r="L25" s="349"/>
      <c r="M25" s="349"/>
      <c r="N25" s="349"/>
      <c r="O25" s="349"/>
      <c r="P25" s="349"/>
      <c r="Q25" s="356"/>
      <c r="R25" s="356"/>
      <c r="S25" s="349"/>
      <c r="T25" s="349"/>
      <c r="U25" s="349"/>
      <c r="V25" s="349"/>
      <c r="W25" s="706"/>
      <c r="X25" s="706"/>
      <c r="Y25" s="706"/>
      <c r="Z25" s="707"/>
      <c r="AB25" s="357"/>
      <c r="AC25" s="354"/>
      <c r="AD25" s="355"/>
      <c r="AF25" s="357"/>
      <c r="AG25" s="354"/>
      <c r="AH25" s="355"/>
    </row>
    <row r="26" spans="3:34" s="110" customFormat="1" ht="16.25" customHeight="1" x14ac:dyDescent="0.15">
      <c r="C26" s="152"/>
      <c r="D26" s="153"/>
      <c r="E26" s="120" t="s">
        <v>384</v>
      </c>
      <c r="F26" s="130"/>
      <c r="G26" s="130"/>
      <c r="H26" s="130"/>
      <c r="I26" s="130"/>
      <c r="J26" s="130"/>
      <c r="K26" s="130"/>
      <c r="L26" s="130"/>
      <c r="M26" s="130"/>
      <c r="N26" s="154" t="s">
        <v>400</v>
      </c>
      <c r="O26" s="126"/>
      <c r="P26" s="134"/>
      <c r="Q26" s="727" t="s">
        <v>220</v>
      </c>
      <c r="R26" s="727"/>
      <c r="S26" s="134"/>
      <c r="T26" s="178" t="s">
        <v>375</v>
      </c>
      <c r="U26" s="134"/>
      <c r="V26" s="130"/>
      <c r="W26" s="134"/>
      <c r="X26" s="155" t="s">
        <v>370</v>
      </c>
      <c r="Y26" s="155"/>
      <c r="Z26" s="156"/>
      <c r="AB26" s="723" t="s">
        <v>363</v>
      </c>
      <c r="AC26" s="724"/>
      <c r="AD26" s="725"/>
      <c r="AF26" s="723" t="s">
        <v>447</v>
      </c>
      <c r="AG26" s="724"/>
      <c r="AH26" s="725"/>
    </row>
    <row r="27" spans="3:34" s="51" customFormat="1" ht="18.25" customHeight="1" x14ac:dyDescent="0.15">
      <c r="C27" s="708">
        <v>114</v>
      </c>
      <c r="D27" s="709"/>
      <c r="E27" s="700" t="s">
        <v>23</v>
      </c>
      <c r="F27" s="700"/>
      <c r="G27" s="700"/>
      <c r="H27" s="700"/>
      <c r="I27" s="700"/>
      <c r="J27" s="700"/>
      <c r="K27" s="700"/>
      <c r="L27" s="700"/>
      <c r="M27" s="700"/>
      <c r="N27" s="309"/>
      <c r="O27" s="309" t="s">
        <v>140</v>
      </c>
      <c r="P27" s="310" t="s">
        <v>117</v>
      </c>
      <c r="Q27" s="728"/>
      <c r="R27" s="728"/>
      <c r="S27" s="311" t="s">
        <v>143</v>
      </c>
      <c r="T27" s="309"/>
      <c r="U27" s="279"/>
      <c r="V27" s="309"/>
      <c r="W27" s="729">
        <f t="shared" ref="W27:W52" si="2">N27*Q27*(IF(ISNUMBER(T27),T27,IF(ISNUMBER(N27),1,0)))</f>
        <v>0</v>
      </c>
      <c r="X27" s="729"/>
      <c r="Y27" s="729"/>
      <c r="Z27" s="730"/>
      <c r="AB27" s="663">
        <v>0</v>
      </c>
      <c r="AC27" s="664"/>
      <c r="AD27" s="665"/>
      <c r="AF27" s="663">
        <f t="shared" ref="AF27:AF53" si="3">AB27-W27</f>
        <v>0</v>
      </c>
      <c r="AG27" s="664"/>
      <c r="AH27" s="665"/>
    </row>
    <row r="28" spans="3:34" s="51" customFormat="1" ht="18.25" customHeight="1" x14ac:dyDescent="0.15">
      <c r="C28" s="708">
        <v>115</v>
      </c>
      <c r="D28" s="709"/>
      <c r="E28" s="700" t="s">
        <v>24</v>
      </c>
      <c r="F28" s="700"/>
      <c r="G28" s="700"/>
      <c r="H28" s="700"/>
      <c r="I28" s="700"/>
      <c r="J28" s="700"/>
      <c r="K28" s="700"/>
      <c r="L28" s="700"/>
      <c r="M28" s="700"/>
      <c r="N28" s="309"/>
      <c r="O28" s="309" t="s">
        <v>140</v>
      </c>
      <c r="P28" s="310" t="s">
        <v>117</v>
      </c>
      <c r="Q28" s="728"/>
      <c r="R28" s="728"/>
      <c r="S28" s="311" t="s">
        <v>143</v>
      </c>
      <c r="T28" s="309"/>
      <c r="U28" s="279"/>
      <c r="V28" s="309"/>
      <c r="W28" s="729">
        <f t="shared" si="2"/>
        <v>0</v>
      </c>
      <c r="X28" s="729"/>
      <c r="Y28" s="729"/>
      <c r="Z28" s="730"/>
      <c r="AB28" s="663">
        <v>0</v>
      </c>
      <c r="AC28" s="664"/>
      <c r="AD28" s="665"/>
      <c r="AF28" s="663">
        <f t="shared" si="3"/>
        <v>0</v>
      </c>
      <c r="AG28" s="664"/>
      <c r="AH28" s="665"/>
    </row>
    <row r="29" spans="3:34" s="51" customFormat="1" ht="18.25" customHeight="1" x14ac:dyDescent="0.15">
      <c r="C29" s="708">
        <v>116</v>
      </c>
      <c r="D29" s="709"/>
      <c r="E29" s="700" t="s">
        <v>114</v>
      </c>
      <c r="F29" s="700"/>
      <c r="G29" s="700"/>
      <c r="H29" s="700"/>
      <c r="I29" s="700"/>
      <c r="J29" s="700"/>
      <c r="K29" s="700"/>
      <c r="L29" s="700"/>
      <c r="M29" s="700"/>
      <c r="N29" s="309"/>
      <c r="O29" s="309" t="s">
        <v>140</v>
      </c>
      <c r="P29" s="310" t="s">
        <v>117</v>
      </c>
      <c r="Q29" s="728"/>
      <c r="R29" s="728"/>
      <c r="S29" s="311" t="s">
        <v>143</v>
      </c>
      <c r="T29" s="309"/>
      <c r="U29" s="279"/>
      <c r="V29" s="309"/>
      <c r="W29" s="729">
        <f t="shared" si="2"/>
        <v>0</v>
      </c>
      <c r="X29" s="729"/>
      <c r="Y29" s="729"/>
      <c r="Z29" s="730"/>
      <c r="AB29" s="663">
        <v>0</v>
      </c>
      <c r="AC29" s="664"/>
      <c r="AD29" s="665"/>
      <c r="AF29" s="663">
        <f t="shared" si="3"/>
        <v>0</v>
      </c>
      <c r="AG29" s="664"/>
      <c r="AH29" s="665"/>
    </row>
    <row r="30" spans="3:34" s="51" customFormat="1" ht="18.25" customHeight="1" x14ac:dyDescent="0.15">
      <c r="C30" s="708">
        <v>117</v>
      </c>
      <c r="D30" s="709"/>
      <c r="E30" s="700" t="s">
        <v>34</v>
      </c>
      <c r="F30" s="700"/>
      <c r="G30" s="700"/>
      <c r="H30" s="700"/>
      <c r="I30" s="700"/>
      <c r="J30" s="700"/>
      <c r="K30" s="700"/>
      <c r="L30" s="700"/>
      <c r="M30" s="700"/>
      <c r="N30" s="309"/>
      <c r="O30" s="309" t="s">
        <v>140</v>
      </c>
      <c r="P30" s="310" t="s">
        <v>117</v>
      </c>
      <c r="Q30" s="728">
        <v>22</v>
      </c>
      <c r="R30" s="728"/>
      <c r="S30" s="311" t="s">
        <v>143</v>
      </c>
      <c r="T30" s="309"/>
      <c r="U30" s="279"/>
      <c r="V30" s="309"/>
      <c r="W30" s="729">
        <f t="shared" si="2"/>
        <v>0</v>
      </c>
      <c r="X30" s="729"/>
      <c r="Y30" s="729"/>
      <c r="Z30" s="730"/>
      <c r="AB30" s="663">
        <v>0</v>
      </c>
      <c r="AC30" s="664"/>
      <c r="AD30" s="665"/>
      <c r="AF30" s="663">
        <f t="shared" si="3"/>
        <v>0</v>
      </c>
      <c r="AG30" s="664"/>
      <c r="AH30" s="665"/>
    </row>
    <row r="31" spans="3:34" s="51" customFormat="1" ht="18.25" customHeight="1" x14ac:dyDescent="0.15">
      <c r="C31" s="708">
        <v>118</v>
      </c>
      <c r="D31" s="709"/>
      <c r="E31" s="700" t="s">
        <v>25</v>
      </c>
      <c r="F31" s="700"/>
      <c r="G31" s="700"/>
      <c r="H31" s="700"/>
      <c r="I31" s="700"/>
      <c r="J31" s="700"/>
      <c r="K31" s="700"/>
      <c r="L31" s="700"/>
      <c r="M31" s="700"/>
      <c r="N31" s="309"/>
      <c r="O31" s="309" t="s">
        <v>140</v>
      </c>
      <c r="P31" s="310" t="s">
        <v>117</v>
      </c>
      <c r="Q31" s="728"/>
      <c r="R31" s="728"/>
      <c r="S31" s="311" t="s">
        <v>143</v>
      </c>
      <c r="T31" s="309"/>
      <c r="U31" s="279"/>
      <c r="V31" s="309"/>
      <c r="W31" s="729">
        <f t="shared" si="2"/>
        <v>0</v>
      </c>
      <c r="X31" s="729"/>
      <c r="Y31" s="729"/>
      <c r="Z31" s="730"/>
      <c r="AB31" s="663">
        <v>0</v>
      </c>
      <c r="AC31" s="664"/>
      <c r="AD31" s="665"/>
      <c r="AF31" s="663">
        <f t="shared" si="3"/>
        <v>0</v>
      </c>
      <c r="AG31" s="664"/>
      <c r="AH31" s="665"/>
    </row>
    <row r="32" spans="3:34" s="51" customFormat="1" ht="18.25" customHeight="1" x14ac:dyDescent="0.15">
      <c r="C32" s="708">
        <v>119</v>
      </c>
      <c r="D32" s="709"/>
      <c r="E32" s="700" t="s">
        <v>27</v>
      </c>
      <c r="F32" s="700"/>
      <c r="G32" s="700"/>
      <c r="H32" s="700"/>
      <c r="I32" s="700"/>
      <c r="J32" s="700"/>
      <c r="K32" s="700"/>
      <c r="L32" s="700"/>
      <c r="M32" s="700"/>
      <c r="N32" s="309"/>
      <c r="O32" s="309" t="s">
        <v>140</v>
      </c>
      <c r="P32" s="310" t="s">
        <v>117</v>
      </c>
      <c r="Q32" s="728"/>
      <c r="R32" s="728"/>
      <c r="S32" s="311" t="s">
        <v>143</v>
      </c>
      <c r="T32" s="309"/>
      <c r="U32" s="279"/>
      <c r="V32" s="309"/>
      <c r="W32" s="729">
        <f t="shared" si="2"/>
        <v>0</v>
      </c>
      <c r="X32" s="729"/>
      <c r="Y32" s="729"/>
      <c r="Z32" s="730"/>
      <c r="AB32" s="663">
        <v>0</v>
      </c>
      <c r="AC32" s="664"/>
      <c r="AD32" s="665"/>
      <c r="AF32" s="663">
        <f t="shared" si="3"/>
        <v>0</v>
      </c>
      <c r="AG32" s="664"/>
      <c r="AH32" s="665"/>
    </row>
    <row r="33" spans="3:34" s="51" customFormat="1" ht="18.25" customHeight="1" x14ac:dyDescent="0.15">
      <c r="C33" s="708">
        <v>120</v>
      </c>
      <c r="D33" s="709"/>
      <c r="E33" s="700" t="s">
        <v>28</v>
      </c>
      <c r="F33" s="700"/>
      <c r="G33" s="700"/>
      <c r="H33" s="700"/>
      <c r="I33" s="700"/>
      <c r="J33" s="700"/>
      <c r="K33" s="700"/>
      <c r="L33" s="700"/>
      <c r="M33" s="700"/>
      <c r="N33" s="309"/>
      <c r="O33" s="309" t="s">
        <v>140</v>
      </c>
      <c r="P33" s="310" t="s">
        <v>117</v>
      </c>
      <c r="Q33" s="728"/>
      <c r="R33" s="728"/>
      <c r="S33" s="311" t="s">
        <v>143</v>
      </c>
      <c r="T33" s="309"/>
      <c r="U33" s="279"/>
      <c r="V33" s="309"/>
      <c r="W33" s="729">
        <f t="shared" si="2"/>
        <v>0</v>
      </c>
      <c r="X33" s="729"/>
      <c r="Y33" s="729"/>
      <c r="Z33" s="730"/>
      <c r="AB33" s="663">
        <v>0</v>
      </c>
      <c r="AC33" s="664"/>
      <c r="AD33" s="665"/>
      <c r="AF33" s="663">
        <f t="shared" si="3"/>
        <v>0</v>
      </c>
      <c r="AG33" s="664"/>
      <c r="AH33" s="665"/>
    </row>
    <row r="34" spans="3:34" s="51" customFormat="1" ht="18.25" customHeight="1" x14ac:dyDescent="0.15">
      <c r="C34" s="708">
        <v>121</v>
      </c>
      <c r="D34" s="709"/>
      <c r="E34" s="700" t="s">
        <v>101</v>
      </c>
      <c r="F34" s="700"/>
      <c r="G34" s="700"/>
      <c r="H34" s="700"/>
      <c r="I34" s="700"/>
      <c r="J34" s="700"/>
      <c r="K34" s="700"/>
      <c r="L34" s="700"/>
      <c r="M34" s="700"/>
      <c r="N34" s="309"/>
      <c r="O34" s="309" t="s">
        <v>140</v>
      </c>
      <c r="P34" s="310" t="s">
        <v>117</v>
      </c>
      <c r="Q34" s="728"/>
      <c r="R34" s="728"/>
      <c r="S34" s="311" t="s">
        <v>143</v>
      </c>
      <c r="T34" s="309"/>
      <c r="U34" s="279"/>
      <c r="V34" s="309"/>
      <c r="W34" s="729">
        <f t="shared" si="2"/>
        <v>0</v>
      </c>
      <c r="X34" s="729"/>
      <c r="Y34" s="729"/>
      <c r="Z34" s="730"/>
      <c r="AB34" s="663">
        <v>0</v>
      </c>
      <c r="AC34" s="664"/>
      <c r="AD34" s="665"/>
      <c r="AF34" s="663">
        <f t="shared" si="3"/>
        <v>0</v>
      </c>
      <c r="AG34" s="664"/>
      <c r="AH34" s="665"/>
    </row>
    <row r="35" spans="3:34" s="51" customFormat="1" ht="18.25" customHeight="1" x14ac:dyDescent="0.15">
      <c r="C35" s="708">
        <v>122</v>
      </c>
      <c r="D35" s="709"/>
      <c r="E35" s="700" t="s">
        <v>102</v>
      </c>
      <c r="F35" s="700"/>
      <c r="G35" s="700"/>
      <c r="H35" s="700"/>
      <c r="I35" s="700"/>
      <c r="J35" s="700"/>
      <c r="K35" s="700"/>
      <c r="L35" s="700"/>
      <c r="M35" s="700"/>
      <c r="N35" s="309"/>
      <c r="O35" s="309" t="s">
        <v>140</v>
      </c>
      <c r="P35" s="310" t="s">
        <v>117</v>
      </c>
      <c r="Q35" s="728"/>
      <c r="R35" s="728"/>
      <c r="S35" s="311" t="s">
        <v>143</v>
      </c>
      <c r="T35" s="309"/>
      <c r="U35" s="279"/>
      <c r="V35" s="309"/>
      <c r="W35" s="729">
        <f t="shared" si="2"/>
        <v>0</v>
      </c>
      <c r="X35" s="729"/>
      <c r="Y35" s="729"/>
      <c r="Z35" s="730"/>
      <c r="AB35" s="663">
        <v>0</v>
      </c>
      <c r="AC35" s="664"/>
      <c r="AD35" s="665"/>
      <c r="AF35" s="663">
        <f t="shared" si="3"/>
        <v>0</v>
      </c>
      <c r="AG35" s="664"/>
      <c r="AH35" s="665"/>
    </row>
    <row r="36" spans="3:34" s="51" customFormat="1" ht="18.25" customHeight="1" x14ac:dyDescent="0.15">
      <c r="C36" s="708">
        <v>123</v>
      </c>
      <c r="D36" s="709"/>
      <c r="E36" s="700" t="s">
        <v>816</v>
      </c>
      <c r="F36" s="700"/>
      <c r="G36" s="700"/>
      <c r="H36" s="700"/>
      <c r="I36" s="700"/>
      <c r="J36" s="700"/>
      <c r="K36" s="700"/>
      <c r="L36" s="700"/>
      <c r="M36" s="700"/>
      <c r="N36" s="309"/>
      <c r="O36" s="309" t="s">
        <v>140</v>
      </c>
      <c r="P36" s="310" t="s">
        <v>117</v>
      </c>
      <c r="Q36" s="728"/>
      <c r="R36" s="728"/>
      <c r="S36" s="311" t="s">
        <v>143</v>
      </c>
      <c r="T36" s="309"/>
      <c r="U36" s="279"/>
      <c r="V36" s="309"/>
      <c r="W36" s="729">
        <f t="shared" si="2"/>
        <v>0</v>
      </c>
      <c r="X36" s="729"/>
      <c r="Y36" s="729"/>
      <c r="Z36" s="730"/>
      <c r="AB36" s="663">
        <v>0</v>
      </c>
      <c r="AC36" s="664"/>
      <c r="AD36" s="665"/>
      <c r="AF36" s="663">
        <f t="shared" si="3"/>
        <v>0</v>
      </c>
      <c r="AG36" s="664"/>
      <c r="AH36" s="665"/>
    </row>
    <row r="37" spans="3:34" s="51" customFormat="1" ht="18.25" customHeight="1" x14ac:dyDescent="0.15">
      <c r="C37" s="708">
        <v>124</v>
      </c>
      <c r="D37" s="709"/>
      <c r="E37" s="700" t="s">
        <v>26</v>
      </c>
      <c r="F37" s="700"/>
      <c r="G37" s="700"/>
      <c r="H37" s="700"/>
      <c r="I37" s="700"/>
      <c r="J37" s="700"/>
      <c r="K37" s="700"/>
      <c r="L37" s="700"/>
      <c r="M37" s="700"/>
      <c r="N37" s="309"/>
      <c r="O37" s="309" t="s">
        <v>140</v>
      </c>
      <c r="P37" s="310" t="s">
        <v>117</v>
      </c>
      <c r="Q37" s="728"/>
      <c r="R37" s="728"/>
      <c r="S37" s="311" t="s">
        <v>143</v>
      </c>
      <c r="T37" s="309"/>
      <c r="U37" s="279"/>
      <c r="V37" s="309"/>
      <c r="W37" s="729">
        <f t="shared" si="2"/>
        <v>0</v>
      </c>
      <c r="X37" s="729"/>
      <c r="Y37" s="729"/>
      <c r="Z37" s="730"/>
      <c r="AB37" s="663">
        <v>0</v>
      </c>
      <c r="AC37" s="664"/>
      <c r="AD37" s="665"/>
      <c r="AF37" s="663">
        <f t="shared" si="3"/>
        <v>0</v>
      </c>
      <c r="AG37" s="664"/>
      <c r="AH37" s="665"/>
    </row>
    <row r="38" spans="3:34" s="51" customFormat="1" ht="18.25" customHeight="1" x14ac:dyDescent="0.15">
      <c r="C38" s="708">
        <v>125</v>
      </c>
      <c r="D38" s="709"/>
      <c r="E38" s="700" t="s">
        <v>804</v>
      </c>
      <c r="F38" s="700"/>
      <c r="G38" s="700"/>
      <c r="H38" s="700"/>
      <c r="I38" s="700"/>
      <c r="J38" s="700"/>
      <c r="K38" s="700"/>
      <c r="L38" s="700"/>
      <c r="M38" s="700"/>
      <c r="N38" s="309"/>
      <c r="O38" s="309" t="s">
        <v>140</v>
      </c>
      <c r="P38" s="310" t="s">
        <v>117</v>
      </c>
      <c r="Q38" s="728"/>
      <c r="R38" s="728"/>
      <c r="S38" s="311" t="s">
        <v>143</v>
      </c>
      <c r="T38" s="309"/>
      <c r="U38" s="279"/>
      <c r="V38" s="309"/>
      <c r="W38" s="729">
        <f t="shared" si="2"/>
        <v>0</v>
      </c>
      <c r="X38" s="729"/>
      <c r="Y38" s="729"/>
      <c r="Z38" s="730"/>
      <c r="AB38" s="663">
        <v>0</v>
      </c>
      <c r="AC38" s="664"/>
      <c r="AD38" s="665"/>
      <c r="AF38" s="663">
        <f t="shared" si="3"/>
        <v>0</v>
      </c>
      <c r="AG38" s="664"/>
      <c r="AH38" s="665"/>
    </row>
    <row r="39" spans="3:34" s="51" customFormat="1" ht="18.25" customHeight="1" x14ac:dyDescent="0.15">
      <c r="C39" s="708">
        <v>126</v>
      </c>
      <c r="D39" s="709"/>
      <c r="E39" s="700" t="s">
        <v>104</v>
      </c>
      <c r="F39" s="700"/>
      <c r="G39" s="700"/>
      <c r="H39" s="700"/>
      <c r="I39" s="700"/>
      <c r="J39" s="700"/>
      <c r="K39" s="700"/>
      <c r="L39" s="700"/>
      <c r="M39" s="700"/>
      <c r="N39" s="309"/>
      <c r="O39" s="309" t="s">
        <v>140</v>
      </c>
      <c r="P39" s="310" t="s">
        <v>117</v>
      </c>
      <c r="Q39" s="728"/>
      <c r="R39" s="728"/>
      <c r="S39" s="311" t="s">
        <v>143</v>
      </c>
      <c r="T39" s="309"/>
      <c r="U39" s="279"/>
      <c r="V39" s="309"/>
      <c r="W39" s="729">
        <f t="shared" si="2"/>
        <v>0</v>
      </c>
      <c r="X39" s="729"/>
      <c r="Y39" s="729"/>
      <c r="Z39" s="730"/>
      <c r="AB39" s="663">
        <v>0</v>
      </c>
      <c r="AC39" s="664"/>
      <c r="AD39" s="665"/>
      <c r="AF39" s="663">
        <f t="shared" si="3"/>
        <v>0</v>
      </c>
      <c r="AG39" s="664"/>
      <c r="AH39" s="665"/>
    </row>
    <row r="40" spans="3:34" s="51" customFormat="1" ht="18.25" customHeight="1" x14ac:dyDescent="0.15">
      <c r="C40" s="708">
        <v>127</v>
      </c>
      <c r="D40" s="709"/>
      <c r="E40" s="700" t="s">
        <v>103</v>
      </c>
      <c r="F40" s="700"/>
      <c r="G40" s="700"/>
      <c r="H40" s="700"/>
      <c r="I40" s="700"/>
      <c r="J40" s="700"/>
      <c r="K40" s="700"/>
      <c r="L40" s="700"/>
      <c r="M40" s="700"/>
      <c r="N40" s="309"/>
      <c r="O40" s="309" t="s">
        <v>140</v>
      </c>
      <c r="P40" s="310" t="s">
        <v>117</v>
      </c>
      <c r="Q40" s="728"/>
      <c r="R40" s="728"/>
      <c r="S40" s="311" t="s">
        <v>143</v>
      </c>
      <c r="T40" s="309"/>
      <c r="U40" s="279"/>
      <c r="V40" s="309"/>
      <c r="W40" s="729">
        <f t="shared" si="2"/>
        <v>0</v>
      </c>
      <c r="X40" s="729"/>
      <c r="Y40" s="729"/>
      <c r="Z40" s="730"/>
      <c r="AB40" s="663">
        <v>0</v>
      </c>
      <c r="AC40" s="664"/>
      <c r="AD40" s="665"/>
      <c r="AF40" s="663">
        <f t="shared" si="3"/>
        <v>0</v>
      </c>
      <c r="AG40" s="664"/>
      <c r="AH40" s="665"/>
    </row>
    <row r="41" spans="3:34" s="51" customFormat="1" ht="18.25" customHeight="1" x14ac:dyDescent="0.15">
      <c r="C41" s="708">
        <v>128</v>
      </c>
      <c r="D41" s="709"/>
      <c r="E41" s="700" t="s">
        <v>29</v>
      </c>
      <c r="F41" s="700"/>
      <c r="G41" s="700"/>
      <c r="H41" s="700"/>
      <c r="I41" s="700"/>
      <c r="J41" s="700"/>
      <c r="K41" s="700"/>
      <c r="L41" s="700"/>
      <c r="M41" s="700"/>
      <c r="N41" s="309"/>
      <c r="O41" s="309" t="s">
        <v>140</v>
      </c>
      <c r="P41" s="310" t="s">
        <v>117</v>
      </c>
      <c r="Q41" s="728"/>
      <c r="R41" s="728"/>
      <c r="S41" s="311" t="s">
        <v>143</v>
      </c>
      <c r="T41" s="309"/>
      <c r="U41" s="279"/>
      <c r="V41" s="309"/>
      <c r="W41" s="729">
        <f t="shared" si="2"/>
        <v>0</v>
      </c>
      <c r="X41" s="729"/>
      <c r="Y41" s="729"/>
      <c r="Z41" s="730"/>
      <c r="AB41" s="663">
        <v>0</v>
      </c>
      <c r="AC41" s="664"/>
      <c r="AD41" s="665"/>
      <c r="AF41" s="663">
        <f t="shared" si="3"/>
        <v>0</v>
      </c>
      <c r="AG41" s="664"/>
      <c r="AH41" s="665"/>
    </row>
    <row r="42" spans="3:34" s="51" customFormat="1" ht="18.25" customHeight="1" x14ac:dyDescent="0.15">
      <c r="C42" s="708">
        <v>129</v>
      </c>
      <c r="D42" s="709"/>
      <c r="E42" s="700" t="s">
        <v>14</v>
      </c>
      <c r="F42" s="700"/>
      <c r="G42" s="700"/>
      <c r="H42" s="700"/>
      <c r="I42" s="700"/>
      <c r="J42" s="700"/>
      <c r="K42" s="700"/>
      <c r="L42" s="700"/>
      <c r="M42" s="700"/>
      <c r="N42" s="309"/>
      <c r="O42" s="309" t="s">
        <v>140</v>
      </c>
      <c r="P42" s="310" t="s">
        <v>117</v>
      </c>
      <c r="Q42" s="728"/>
      <c r="R42" s="728"/>
      <c r="S42" s="311" t="s">
        <v>143</v>
      </c>
      <c r="T42" s="309"/>
      <c r="U42" s="279"/>
      <c r="V42" s="309"/>
      <c r="W42" s="729">
        <f t="shared" si="2"/>
        <v>0</v>
      </c>
      <c r="X42" s="729"/>
      <c r="Y42" s="729"/>
      <c r="Z42" s="730"/>
      <c r="AB42" s="663">
        <v>0</v>
      </c>
      <c r="AC42" s="664"/>
      <c r="AD42" s="665"/>
      <c r="AF42" s="663">
        <f t="shared" si="3"/>
        <v>0</v>
      </c>
      <c r="AG42" s="664"/>
      <c r="AH42" s="665"/>
    </row>
    <row r="43" spans="3:34" s="51" customFormat="1" ht="18.25" customHeight="1" x14ac:dyDescent="0.15">
      <c r="C43" s="708">
        <v>130</v>
      </c>
      <c r="D43" s="709"/>
      <c r="E43" s="700" t="s">
        <v>112</v>
      </c>
      <c r="F43" s="700"/>
      <c r="G43" s="700"/>
      <c r="H43" s="700"/>
      <c r="I43" s="700"/>
      <c r="J43" s="700"/>
      <c r="K43" s="700"/>
      <c r="L43" s="700"/>
      <c r="M43" s="700"/>
      <c r="N43" s="309"/>
      <c r="O43" s="309" t="s">
        <v>140</v>
      </c>
      <c r="P43" s="310" t="s">
        <v>117</v>
      </c>
      <c r="Q43" s="728"/>
      <c r="R43" s="728"/>
      <c r="S43" s="311" t="s">
        <v>143</v>
      </c>
      <c r="T43" s="309"/>
      <c r="U43" s="279"/>
      <c r="V43" s="309"/>
      <c r="W43" s="729">
        <f t="shared" si="2"/>
        <v>0</v>
      </c>
      <c r="X43" s="729"/>
      <c r="Y43" s="729"/>
      <c r="Z43" s="730"/>
      <c r="AB43" s="663">
        <v>0</v>
      </c>
      <c r="AC43" s="664"/>
      <c r="AD43" s="665"/>
      <c r="AF43" s="663">
        <f t="shared" si="3"/>
        <v>0</v>
      </c>
      <c r="AG43" s="664"/>
      <c r="AH43" s="665"/>
    </row>
    <row r="44" spans="3:34" s="51" customFormat="1" ht="18.25" customHeight="1" x14ac:dyDescent="0.15">
      <c r="C44" s="708">
        <v>131</v>
      </c>
      <c r="D44" s="709"/>
      <c r="E44" s="700" t="s">
        <v>15</v>
      </c>
      <c r="F44" s="700"/>
      <c r="G44" s="700"/>
      <c r="H44" s="700"/>
      <c r="I44" s="700"/>
      <c r="J44" s="700"/>
      <c r="K44" s="700"/>
      <c r="L44" s="700"/>
      <c r="M44" s="700"/>
      <c r="N44" s="309"/>
      <c r="O44" s="309" t="s">
        <v>140</v>
      </c>
      <c r="P44" s="310" t="s">
        <v>117</v>
      </c>
      <c r="Q44" s="728"/>
      <c r="R44" s="728"/>
      <c r="S44" s="311" t="s">
        <v>143</v>
      </c>
      <c r="T44" s="309"/>
      <c r="U44" s="279"/>
      <c r="V44" s="309"/>
      <c r="W44" s="729">
        <f t="shared" si="2"/>
        <v>0</v>
      </c>
      <c r="X44" s="729"/>
      <c r="Y44" s="729"/>
      <c r="Z44" s="730"/>
      <c r="AB44" s="663">
        <v>0</v>
      </c>
      <c r="AC44" s="664"/>
      <c r="AD44" s="665"/>
      <c r="AF44" s="663">
        <f t="shared" si="3"/>
        <v>0</v>
      </c>
      <c r="AG44" s="664"/>
      <c r="AH44" s="665"/>
    </row>
    <row r="45" spans="3:34" s="51" customFormat="1" ht="18.25" customHeight="1" x14ac:dyDescent="0.15">
      <c r="C45" s="708">
        <v>132</v>
      </c>
      <c r="D45" s="709"/>
      <c r="E45" s="700" t="s">
        <v>30</v>
      </c>
      <c r="F45" s="700"/>
      <c r="G45" s="700"/>
      <c r="H45" s="700"/>
      <c r="I45" s="700"/>
      <c r="J45" s="700"/>
      <c r="K45" s="700"/>
      <c r="L45" s="700"/>
      <c r="M45" s="700"/>
      <c r="N45" s="309"/>
      <c r="O45" s="309" t="s">
        <v>140</v>
      </c>
      <c r="P45" s="310" t="s">
        <v>117</v>
      </c>
      <c r="Q45" s="728"/>
      <c r="R45" s="728"/>
      <c r="S45" s="311" t="s">
        <v>143</v>
      </c>
      <c r="T45" s="309"/>
      <c r="U45" s="279"/>
      <c r="V45" s="309"/>
      <c r="W45" s="729">
        <f t="shared" si="2"/>
        <v>0</v>
      </c>
      <c r="X45" s="729"/>
      <c r="Y45" s="729"/>
      <c r="Z45" s="730"/>
      <c r="AB45" s="663">
        <v>0</v>
      </c>
      <c r="AC45" s="664"/>
      <c r="AD45" s="665"/>
      <c r="AF45" s="663">
        <f t="shared" si="3"/>
        <v>0</v>
      </c>
      <c r="AG45" s="664"/>
      <c r="AH45" s="665"/>
    </row>
    <row r="46" spans="3:34" s="51" customFormat="1" ht="18.25" customHeight="1" x14ac:dyDescent="0.15">
      <c r="C46" s="708">
        <v>133</v>
      </c>
      <c r="D46" s="709"/>
      <c r="E46" s="700" t="s">
        <v>31</v>
      </c>
      <c r="F46" s="700"/>
      <c r="G46" s="700"/>
      <c r="H46" s="700"/>
      <c r="I46" s="700"/>
      <c r="J46" s="700"/>
      <c r="K46" s="700"/>
      <c r="L46" s="700"/>
      <c r="M46" s="700"/>
      <c r="N46" s="309"/>
      <c r="O46" s="309" t="s">
        <v>385</v>
      </c>
      <c r="P46" s="310" t="s">
        <v>117</v>
      </c>
      <c r="Q46" s="728"/>
      <c r="R46" s="728"/>
      <c r="S46" s="311" t="s">
        <v>143</v>
      </c>
      <c r="T46" s="309"/>
      <c r="U46" s="279"/>
      <c r="V46" s="309"/>
      <c r="W46" s="729">
        <f t="shared" si="2"/>
        <v>0</v>
      </c>
      <c r="X46" s="729"/>
      <c r="Y46" s="729"/>
      <c r="Z46" s="730"/>
      <c r="AB46" s="663">
        <v>0</v>
      </c>
      <c r="AC46" s="664"/>
      <c r="AD46" s="665"/>
      <c r="AF46" s="663">
        <f t="shared" si="3"/>
        <v>0</v>
      </c>
      <c r="AG46" s="664"/>
      <c r="AH46" s="665"/>
    </row>
    <row r="47" spans="3:34" s="51" customFormat="1" ht="18.25" customHeight="1" x14ac:dyDescent="0.15">
      <c r="C47" s="708">
        <v>134</v>
      </c>
      <c r="D47" s="709"/>
      <c r="E47" s="700" t="s">
        <v>32</v>
      </c>
      <c r="F47" s="700"/>
      <c r="G47" s="700"/>
      <c r="H47" s="700"/>
      <c r="I47" s="700"/>
      <c r="J47" s="700"/>
      <c r="K47" s="700"/>
      <c r="L47" s="700"/>
      <c r="M47" s="700"/>
      <c r="N47" s="309"/>
      <c r="O47" s="309" t="s">
        <v>385</v>
      </c>
      <c r="P47" s="310" t="s">
        <v>117</v>
      </c>
      <c r="Q47" s="728"/>
      <c r="R47" s="728"/>
      <c r="S47" s="311" t="s">
        <v>143</v>
      </c>
      <c r="T47" s="309"/>
      <c r="U47" s="279"/>
      <c r="V47" s="309"/>
      <c r="W47" s="729">
        <f t="shared" si="2"/>
        <v>0</v>
      </c>
      <c r="X47" s="729"/>
      <c r="Y47" s="729"/>
      <c r="Z47" s="730"/>
      <c r="AB47" s="663">
        <v>0</v>
      </c>
      <c r="AC47" s="664"/>
      <c r="AD47" s="665"/>
      <c r="AF47" s="663">
        <f t="shared" si="3"/>
        <v>0</v>
      </c>
      <c r="AG47" s="664"/>
      <c r="AH47" s="665"/>
    </row>
    <row r="48" spans="3:34" s="51" customFormat="1" ht="18.25" customHeight="1" x14ac:dyDescent="0.15">
      <c r="C48" s="708">
        <v>135</v>
      </c>
      <c r="D48" s="709"/>
      <c r="E48" s="700" t="s">
        <v>33</v>
      </c>
      <c r="F48" s="700"/>
      <c r="G48" s="700"/>
      <c r="H48" s="700"/>
      <c r="I48" s="700"/>
      <c r="J48" s="700"/>
      <c r="K48" s="700"/>
      <c r="L48" s="700"/>
      <c r="M48" s="700"/>
      <c r="N48" s="309"/>
      <c r="O48" s="309" t="s">
        <v>385</v>
      </c>
      <c r="P48" s="310" t="s">
        <v>117</v>
      </c>
      <c r="Q48" s="728"/>
      <c r="R48" s="728"/>
      <c r="S48" s="311" t="s">
        <v>143</v>
      </c>
      <c r="T48" s="309"/>
      <c r="U48" s="279"/>
      <c r="V48" s="309"/>
      <c r="W48" s="729">
        <f t="shared" si="2"/>
        <v>0</v>
      </c>
      <c r="X48" s="729"/>
      <c r="Y48" s="729"/>
      <c r="Z48" s="730"/>
      <c r="AB48" s="663">
        <v>0</v>
      </c>
      <c r="AC48" s="664"/>
      <c r="AD48" s="665"/>
      <c r="AF48" s="663">
        <f t="shared" si="3"/>
        <v>0</v>
      </c>
      <c r="AG48" s="664"/>
      <c r="AH48" s="665"/>
    </row>
    <row r="49" spans="3:34" s="51" customFormat="1" ht="18.25" customHeight="1" x14ac:dyDescent="0.15">
      <c r="C49" s="708">
        <v>136</v>
      </c>
      <c r="D49" s="709"/>
      <c r="E49" s="700" t="s">
        <v>817</v>
      </c>
      <c r="F49" s="700"/>
      <c r="G49" s="700"/>
      <c r="H49" s="700"/>
      <c r="I49" s="700"/>
      <c r="J49" s="700"/>
      <c r="K49" s="700"/>
      <c r="L49" s="700"/>
      <c r="M49" s="700"/>
      <c r="N49" s="309"/>
      <c r="O49" s="309" t="s">
        <v>140</v>
      </c>
      <c r="P49" s="310" t="s">
        <v>117</v>
      </c>
      <c r="Q49" s="728"/>
      <c r="R49" s="728"/>
      <c r="S49" s="311" t="s">
        <v>143</v>
      </c>
      <c r="T49" s="309"/>
      <c r="U49" s="279"/>
      <c r="V49" s="309"/>
      <c r="W49" s="729">
        <f t="shared" si="2"/>
        <v>0</v>
      </c>
      <c r="X49" s="729"/>
      <c r="Y49" s="729"/>
      <c r="Z49" s="730"/>
      <c r="AB49" s="663">
        <v>0</v>
      </c>
      <c r="AC49" s="664"/>
      <c r="AD49" s="665"/>
      <c r="AF49" s="663">
        <f t="shared" si="3"/>
        <v>0</v>
      </c>
      <c r="AG49" s="664"/>
      <c r="AH49" s="665"/>
    </row>
    <row r="50" spans="3:34" s="51" customFormat="1" ht="18.25" customHeight="1" x14ac:dyDescent="0.15">
      <c r="C50" s="708">
        <v>137</v>
      </c>
      <c r="D50" s="709"/>
      <c r="E50" s="700" t="s">
        <v>35</v>
      </c>
      <c r="F50" s="700"/>
      <c r="G50" s="700"/>
      <c r="H50" s="700"/>
      <c r="I50" s="700"/>
      <c r="J50" s="700"/>
      <c r="K50" s="700"/>
      <c r="L50" s="700"/>
      <c r="M50" s="700"/>
      <c r="N50" s="309"/>
      <c r="O50" s="309" t="s">
        <v>140</v>
      </c>
      <c r="P50" s="310" t="s">
        <v>117</v>
      </c>
      <c r="Q50" s="728"/>
      <c r="R50" s="728"/>
      <c r="S50" s="311" t="s">
        <v>143</v>
      </c>
      <c r="T50" s="309"/>
      <c r="U50" s="279"/>
      <c r="V50" s="309"/>
      <c r="W50" s="729">
        <f t="shared" si="2"/>
        <v>0</v>
      </c>
      <c r="X50" s="729"/>
      <c r="Y50" s="729"/>
      <c r="Z50" s="730"/>
      <c r="AB50" s="663">
        <v>0</v>
      </c>
      <c r="AC50" s="664"/>
      <c r="AD50" s="665"/>
      <c r="AF50" s="663">
        <f t="shared" si="3"/>
        <v>0</v>
      </c>
      <c r="AG50" s="664"/>
      <c r="AH50" s="665"/>
    </row>
    <row r="51" spans="3:34" s="51" customFormat="1" ht="18.25" customHeight="1" x14ac:dyDescent="0.15">
      <c r="C51" s="708">
        <v>138</v>
      </c>
      <c r="D51" s="709"/>
      <c r="E51" s="700" t="s">
        <v>105</v>
      </c>
      <c r="F51" s="700"/>
      <c r="G51" s="700"/>
      <c r="H51" s="700"/>
      <c r="I51" s="700"/>
      <c r="J51" s="700"/>
      <c r="K51" s="700"/>
      <c r="L51" s="700"/>
      <c r="M51" s="700"/>
      <c r="N51" s="309"/>
      <c r="O51" s="309" t="s">
        <v>140</v>
      </c>
      <c r="P51" s="310" t="s">
        <v>117</v>
      </c>
      <c r="Q51" s="728"/>
      <c r="R51" s="728"/>
      <c r="S51" s="311" t="s">
        <v>143</v>
      </c>
      <c r="T51" s="309"/>
      <c r="U51" s="279"/>
      <c r="V51" s="309"/>
      <c r="W51" s="729">
        <f t="shared" si="2"/>
        <v>0</v>
      </c>
      <c r="X51" s="729"/>
      <c r="Y51" s="729"/>
      <c r="Z51" s="730"/>
      <c r="AB51" s="663">
        <v>0</v>
      </c>
      <c r="AC51" s="664"/>
      <c r="AD51" s="665"/>
      <c r="AF51" s="663">
        <f t="shared" si="3"/>
        <v>0</v>
      </c>
      <c r="AG51" s="664"/>
      <c r="AH51" s="665"/>
    </row>
    <row r="52" spans="3:34" s="51" customFormat="1" ht="18.25" customHeight="1" x14ac:dyDescent="0.15">
      <c r="C52" s="708">
        <v>139</v>
      </c>
      <c r="D52" s="709"/>
      <c r="E52" s="700" t="s">
        <v>226</v>
      </c>
      <c r="F52" s="700"/>
      <c r="G52" s="700"/>
      <c r="H52" s="700"/>
      <c r="I52" s="700"/>
      <c r="J52" s="700"/>
      <c r="K52" s="700"/>
      <c r="L52" s="700"/>
      <c r="M52" s="700"/>
      <c r="N52" s="309"/>
      <c r="O52" s="309" t="s">
        <v>451</v>
      </c>
      <c r="P52" s="310" t="s">
        <v>117</v>
      </c>
      <c r="Q52" s="728"/>
      <c r="R52" s="728"/>
      <c r="S52" s="311" t="s">
        <v>143</v>
      </c>
      <c r="T52" s="309"/>
      <c r="U52" s="279"/>
      <c r="V52" s="309"/>
      <c r="W52" s="729">
        <f t="shared" si="2"/>
        <v>0</v>
      </c>
      <c r="X52" s="729"/>
      <c r="Y52" s="729"/>
      <c r="Z52" s="730"/>
      <c r="AB52" s="663">
        <v>0</v>
      </c>
      <c r="AC52" s="664"/>
      <c r="AD52" s="665"/>
      <c r="AF52" s="663">
        <f t="shared" si="3"/>
        <v>0</v>
      </c>
      <c r="AG52" s="664"/>
      <c r="AH52" s="665"/>
    </row>
    <row r="53" spans="3:34" s="322" customFormat="1" ht="18.25" customHeight="1" x14ac:dyDescent="0.2">
      <c r="C53" s="388"/>
      <c r="D53" s="389"/>
      <c r="E53" s="389"/>
      <c r="F53" s="389"/>
      <c r="G53" s="389"/>
      <c r="H53" s="389"/>
      <c r="I53" s="389"/>
      <c r="J53" s="389"/>
      <c r="K53" s="389"/>
      <c r="L53" s="389"/>
      <c r="M53" s="389"/>
      <c r="N53" s="389"/>
      <c r="O53" s="654" t="s">
        <v>128</v>
      </c>
      <c r="P53" s="654"/>
      <c r="Q53" s="654"/>
      <c r="R53" s="654"/>
      <c r="S53" s="654"/>
      <c r="T53" s="654"/>
      <c r="U53" s="654"/>
      <c r="V53" s="655"/>
      <c r="W53" s="732">
        <f>SUM(W27:Z52)</f>
        <v>0</v>
      </c>
      <c r="X53" s="733"/>
      <c r="Y53" s="733"/>
      <c r="Z53" s="734"/>
      <c r="AB53" s="720">
        <f>SUM(AB27:AD52)</f>
        <v>0</v>
      </c>
      <c r="AC53" s="721"/>
      <c r="AD53" s="722"/>
      <c r="AF53" s="714">
        <f t="shared" si="3"/>
        <v>0</v>
      </c>
      <c r="AG53" s="715"/>
      <c r="AH53" s="716"/>
    </row>
    <row r="54" spans="3:34" ht="16.25" customHeight="1" x14ac:dyDescent="0.2">
      <c r="C54" s="41"/>
      <c r="D54" s="1"/>
      <c r="E54" s="1"/>
      <c r="F54" s="1"/>
      <c r="G54" s="1"/>
      <c r="H54" s="1"/>
      <c r="I54" s="1"/>
      <c r="J54" s="1"/>
      <c r="K54" s="1"/>
      <c r="L54" s="1"/>
      <c r="M54" s="1"/>
      <c r="N54" s="1"/>
      <c r="O54" s="1"/>
      <c r="P54" s="12"/>
      <c r="Q54" s="65"/>
      <c r="R54" s="65"/>
      <c r="S54" s="13"/>
      <c r="T54" s="1"/>
      <c r="U54" s="1"/>
      <c r="V54" s="1"/>
      <c r="W54" s="1"/>
      <c r="X54" s="78"/>
      <c r="Y54" s="78"/>
      <c r="Z54" s="78"/>
      <c r="AB54" s="77"/>
      <c r="AC54" s="77"/>
      <c r="AD54" s="77"/>
      <c r="AF54" s="77"/>
      <c r="AG54" s="77"/>
      <c r="AH54" s="77"/>
    </row>
    <row r="55" spans="3:34" s="323" customFormat="1" ht="20" customHeight="1" x14ac:dyDescent="0.2">
      <c r="C55" s="4" t="s">
        <v>249</v>
      </c>
      <c r="D55" s="5" t="s">
        <v>273</v>
      </c>
      <c r="E55" s="5"/>
      <c r="F55" s="349"/>
      <c r="G55" s="349"/>
      <c r="H55" s="349"/>
      <c r="I55" s="349"/>
      <c r="J55" s="349"/>
      <c r="K55" s="349"/>
      <c r="L55" s="349"/>
      <c r="M55" s="349"/>
      <c r="N55" s="349"/>
      <c r="O55" s="349"/>
      <c r="P55" s="349"/>
      <c r="Q55" s="356"/>
      <c r="R55" s="356"/>
      <c r="S55" s="349"/>
      <c r="T55" s="349"/>
      <c r="U55" s="349"/>
      <c r="V55" s="349"/>
      <c r="W55" s="706"/>
      <c r="X55" s="706"/>
      <c r="Y55" s="706"/>
      <c r="Z55" s="707"/>
      <c r="AB55" s="357"/>
      <c r="AC55" s="354"/>
      <c r="AD55" s="355"/>
      <c r="AF55" s="357"/>
      <c r="AG55" s="354"/>
      <c r="AH55" s="355"/>
    </row>
    <row r="56" spans="3:34" s="110" customFormat="1" ht="16.25" customHeight="1" x14ac:dyDescent="0.15">
      <c r="C56" s="152"/>
      <c r="D56" s="153"/>
      <c r="E56" s="120" t="s">
        <v>384</v>
      </c>
      <c r="F56" s="130"/>
      <c r="G56" s="130"/>
      <c r="H56" s="130"/>
      <c r="I56" s="130"/>
      <c r="J56" s="130"/>
      <c r="K56" s="130"/>
      <c r="L56" s="130"/>
      <c r="M56" s="130"/>
      <c r="N56" s="726" t="s">
        <v>400</v>
      </c>
      <c r="O56" s="726"/>
      <c r="P56" s="134"/>
      <c r="Q56" s="727" t="s">
        <v>220</v>
      </c>
      <c r="R56" s="727"/>
      <c r="S56" s="134"/>
      <c r="T56" s="126" t="s">
        <v>375</v>
      </c>
      <c r="U56" s="134"/>
      <c r="V56" s="130"/>
      <c r="W56" s="134"/>
      <c r="X56" s="157" t="s">
        <v>370</v>
      </c>
      <c r="Y56" s="157"/>
      <c r="Z56" s="158"/>
      <c r="AB56" s="736" t="s">
        <v>363</v>
      </c>
      <c r="AC56" s="737"/>
      <c r="AD56" s="738"/>
      <c r="AF56" s="736" t="s">
        <v>447</v>
      </c>
      <c r="AG56" s="737"/>
      <c r="AH56" s="738"/>
    </row>
    <row r="57" spans="3:34" s="51" customFormat="1" ht="18.25" customHeight="1" x14ac:dyDescent="0.15">
      <c r="C57" s="708">
        <v>140</v>
      </c>
      <c r="D57" s="709"/>
      <c r="E57" s="700" t="s">
        <v>106</v>
      </c>
      <c r="F57" s="700"/>
      <c r="G57" s="700"/>
      <c r="H57" s="700"/>
      <c r="I57" s="700"/>
      <c r="J57" s="700"/>
      <c r="K57" s="700"/>
      <c r="L57" s="700"/>
      <c r="M57" s="700"/>
      <c r="N57" s="309"/>
      <c r="O57" s="309" t="s">
        <v>140</v>
      </c>
      <c r="P57" s="310" t="s">
        <v>117</v>
      </c>
      <c r="Q57" s="728">
        <v>333</v>
      </c>
      <c r="R57" s="728"/>
      <c r="S57" s="311" t="s">
        <v>143</v>
      </c>
      <c r="T57" s="309"/>
      <c r="U57" s="279"/>
      <c r="V57" s="309"/>
      <c r="W57" s="729">
        <f t="shared" ref="W57:W67" si="4">N57*Q57*(IF(ISNUMBER(T57),T57,IF(ISNUMBER(N57),1,0)))</f>
        <v>0</v>
      </c>
      <c r="X57" s="729"/>
      <c r="Y57" s="729"/>
      <c r="Z57" s="730"/>
      <c r="AB57" s="663">
        <v>0</v>
      </c>
      <c r="AC57" s="664"/>
      <c r="AD57" s="665"/>
      <c r="AF57" s="663">
        <f t="shared" ref="AF57:AF68" si="5">AB57-W57</f>
        <v>0</v>
      </c>
      <c r="AG57" s="664"/>
      <c r="AH57" s="665"/>
    </row>
    <row r="58" spans="3:34" s="51" customFormat="1" ht="18.25" customHeight="1" x14ac:dyDescent="0.15">
      <c r="C58" s="708">
        <v>141</v>
      </c>
      <c r="D58" s="709"/>
      <c r="E58" s="700" t="s">
        <v>107</v>
      </c>
      <c r="F58" s="700"/>
      <c r="G58" s="700"/>
      <c r="H58" s="700"/>
      <c r="I58" s="700"/>
      <c r="J58" s="700"/>
      <c r="K58" s="700"/>
      <c r="L58" s="700"/>
      <c r="M58" s="700"/>
      <c r="N58" s="309"/>
      <c r="O58" s="309" t="s">
        <v>140</v>
      </c>
      <c r="P58" s="310" t="s">
        <v>117</v>
      </c>
      <c r="Q58" s="728"/>
      <c r="R58" s="728"/>
      <c r="S58" s="311" t="s">
        <v>143</v>
      </c>
      <c r="T58" s="309"/>
      <c r="U58" s="279"/>
      <c r="V58" s="309"/>
      <c r="W58" s="729">
        <f t="shared" si="4"/>
        <v>0</v>
      </c>
      <c r="X58" s="729"/>
      <c r="Y58" s="729"/>
      <c r="Z58" s="730"/>
      <c r="AB58" s="663">
        <v>0</v>
      </c>
      <c r="AC58" s="664"/>
      <c r="AD58" s="665"/>
      <c r="AF58" s="663">
        <f t="shared" si="5"/>
        <v>0</v>
      </c>
      <c r="AG58" s="664"/>
      <c r="AH58" s="665"/>
    </row>
    <row r="59" spans="3:34" s="51" customFormat="1" ht="18.25" customHeight="1" x14ac:dyDescent="0.15">
      <c r="C59" s="708">
        <v>142</v>
      </c>
      <c r="D59" s="709"/>
      <c r="E59" s="700" t="s">
        <v>120</v>
      </c>
      <c r="F59" s="700"/>
      <c r="G59" s="700"/>
      <c r="H59" s="700"/>
      <c r="I59" s="700"/>
      <c r="J59" s="700"/>
      <c r="K59" s="700"/>
      <c r="L59" s="700"/>
      <c r="M59" s="700"/>
      <c r="N59" s="309"/>
      <c r="O59" s="309" t="s">
        <v>140</v>
      </c>
      <c r="P59" s="310" t="s">
        <v>117</v>
      </c>
      <c r="Q59" s="728"/>
      <c r="R59" s="728"/>
      <c r="S59" s="311" t="s">
        <v>143</v>
      </c>
      <c r="T59" s="309"/>
      <c r="U59" s="279"/>
      <c r="V59" s="309"/>
      <c r="W59" s="729">
        <f t="shared" si="4"/>
        <v>0</v>
      </c>
      <c r="X59" s="729"/>
      <c r="Y59" s="729"/>
      <c r="Z59" s="730"/>
      <c r="AB59" s="663">
        <v>0</v>
      </c>
      <c r="AC59" s="664"/>
      <c r="AD59" s="665"/>
      <c r="AF59" s="663">
        <f t="shared" si="5"/>
        <v>0</v>
      </c>
      <c r="AG59" s="664"/>
      <c r="AH59" s="665"/>
    </row>
    <row r="60" spans="3:34" s="51" customFormat="1" ht="18.25" customHeight="1" x14ac:dyDescent="0.15">
      <c r="C60" s="708">
        <v>143</v>
      </c>
      <c r="D60" s="709"/>
      <c r="E60" s="700" t="s">
        <v>108</v>
      </c>
      <c r="F60" s="700"/>
      <c r="G60" s="700"/>
      <c r="H60" s="700"/>
      <c r="I60" s="700"/>
      <c r="J60" s="700"/>
      <c r="K60" s="700"/>
      <c r="L60" s="700"/>
      <c r="M60" s="700"/>
      <c r="N60" s="309"/>
      <c r="O60" s="309" t="s">
        <v>140</v>
      </c>
      <c r="P60" s="310" t="s">
        <v>117</v>
      </c>
      <c r="Q60" s="728"/>
      <c r="R60" s="728"/>
      <c r="S60" s="311" t="s">
        <v>143</v>
      </c>
      <c r="T60" s="309"/>
      <c r="U60" s="279"/>
      <c r="V60" s="309"/>
      <c r="W60" s="729">
        <f t="shared" si="4"/>
        <v>0</v>
      </c>
      <c r="X60" s="729"/>
      <c r="Y60" s="729"/>
      <c r="Z60" s="730"/>
      <c r="AB60" s="663">
        <v>0</v>
      </c>
      <c r="AC60" s="664"/>
      <c r="AD60" s="665"/>
      <c r="AF60" s="663">
        <f t="shared" si="5"/>
        <v>0</v>
      </c>
      <c r="AG60" s="664"/>
      <c r="AH60" s="665"/>
    </row>
    <row r="61" spans="3:34" s="51" customFormat="1" ht="18.25" customHeight="1" x14ac:dyDescent="0.15">
      <c r="C61" s="708">
        <v>144</v>
      </c>
      <c r="D61" s="709"/>
      <c r="E61" s="700" t="s">
        <v>109</v>
      </c>
      <c r="F61" s="700"/>
      <c r="G61" s="700"/>
      <c r="H61" s="700"/>
      <c r="I61" s="700"/>
      <c r="J61" s="700"/>
      <c r="K61" s="700"/>
      <c r="L61" s="700"/>
      <c r="M61" s="700"/>
      <c r="N61" s="309"/>
      <c r="O61" s="309" t="s">
        <v>140</v>
      </c>
      <c r="P61" s="310" t="s">
        <v>117</v>
      </c>
      <c r="Q61" s="728"/>
      <c r="R61" s="728"/>
      <c r="S61" s="311" t="s">
        <v>143</v>
      </c>
      <c r="T61" s="309"/>
      <c r="U61" s="279"/>
      <c r="V61" s="309"/>
      <c r="W61" s="729">
        <f t="shared" si="4"/>
        <v>0</v>
      </c>
      <c r="X61" s="729"/>
      <c r="Y61" s="729"/>
      <c r="Z61" s="730"/>
      <c r="AB61" s="663">
        <v>0</v>
      </c>
      <c r="AC61" s="664"/>
      <c r="AD61" s="665"/>
      <c r="AF61" s="663">
        <f t="shared" si="5"/>
        <v>0</v>
      </c>
      <c r="AG61" s="664"/>
      <c r="AH61" s="665"/>
    </row>
    <row r="62" spans="3:34" s="51" customFormat="1" ht="18.25" customHeight="1" x14ac:dyDescent="0.15">
      <c r="C62" s="708">
        <v>145</v>
      </c>
      <c r="D62" s="709"/>
      <c r="E62" s="700" t="s">
        <v>121</v>
      </c>
      <c r="F62" s="700"/>
      <c r="G62" s="700"/>
      <c r="H62" s="700"/>
      <c r="I62" s="700"/>
      <c r="J62" s="700"/>
      <c r="K62" s="700"/>
      <c r="L62" s="700"/>
      <c r="M62" s="700"/>
      <c r="N62" s="309"/>
      <c r="O62" s="309" t="s">
        <v>140</v>
      </c>
      <c r="P62" s="310" t="s">
        <v>117</v>
      </c>
      <c r="Q62" s="728"/>
      <c r="R62" s="728"/>
      <c r="S62" s="311" t="s">
        <v>143</v>
      </c>
      <c r="T62" s="309"/>
      <c r="U62" s="279"/>
      <c r="V62" s="309"/>
      <c r="W62" s="729">
        <f t="shared" si="4"/>
        <v>0</v>
      </c>
      <c r="X62" s="729"/>
      <c r="Y62" s="729"/>
      <c r="Z62" s="730"/>
      <c r="AB62" s="663">
        <v>0</v>
      </c>
      <c r="AC62" s="664"/>
      <c r="AD62" s="665"/>
      <c r="AF62" s="663">
        <f t="shared" si="5"/>
        <v>0</v>
      </c>
      <c r="AG62" s="664"/>
      <c r="AH62" s="665"/>
    </row>
    <row r="63" spans="3:34" s="51" customFormat="1" ht="18.25" customHeight="1" x14ac:dyDescent="0.15">
      <c r="C63" s="708">
        <v>146</v>
      </c>
      <c r="D63" s="709"/>
      <c r="E63" s="700" t="s">
        <v>36</v>
      </c>
      <c r="F63" s="700"/>
      <c r="G63" s="700"/>
      <c r="H63" s="700"/>
      <c r="I63" s="700"/>
      <c r="J63" s="700"/>
      <c r="K63" s="700"/>
      <c r="L63" s="700"/>
      <c r="M63" s="700"/>
      <c r="N63" s="309"/>
      <c r="O63" s="309" t="s">
        <v>140</v>
      </c>
      <c r="P63" s="310" t="s">
        <v>117</v>
      </c>
      <c r="Q63" s="728"/>
      <c r="R63" s="728"/>
      <c r="S63" s="311" t="s">
        <v>143</v>
      </c>
      <c r="T63" s="309"/>
      <c r="U63" s="279"/>
      <c r="V63" s="309"/>
      <c r="W63" s="729">
        <f t="shared" si="4"/>
        <v>0</v>
      </c>
      <c r="X63" s="729"/>
      <c r="Y63" s="729"/>
      <c r="Z63" s="730"/>
      <c r="AB63" s="663">
        <v>0</v>
      </c>
      <c r="AC63" s="664"/>
      <c r="AD63" s="665"/>
      <c r="AF63" s="663">
        <f t="shared" si="5"/>
        <v>0</v>
      </c>
      <c r="AG63" s="664"/>
      <c r="AH63" s="665"/>
    </row>
    <row r="64" spans="3:34" s="51" customFormat="1" ht="18.25" customHeight="1" x14ac:dyDescent="0.15">
      <c r="C64" s="708">
        <v>147</v>
      </c>
      <c r="D64" s="709"/>
      <c r="E64" s="700" t="s">
        <v>225</v>
      </c>
      <c r="F64" s="700"/>
      <c r="G64" s="700"/>
      <c r="H64" s="700"/>
      <c r="I64" s="700"/>
      <c r="J64" s="700"/>
      <c r="K64" s="700"/>
      <c r="L64" s="700"/>
      <c r="M64" s="700"/>
      <c r="N64" s="309"/>
      <c r="O64" s="309" t="s">
        <v>140</v>
      </c>
      <c r="P64" s="310" t="s">
        <v>117</v>
      </c>
      <c r="Q64" s="728"/>
      <c r="R64" s="728"/>
      <c r="S64" s="311" t="s">
        <v>143</v>
      </c>
      <c r="T64" s="309"/>
      <c r="U64" s="279"/>
      <c r="V64" s="309"/>
      <c r="W64" s="729">
        <f t="shared" si="4"/>
        <v>0</v>
      </c>
      <c r="X64" s="729"/>
      <c r="Y64" s="729"/>
      <c r="Z64" s="730"/>
      <c r="AB64" s="663">
        <v>0</v>
      </c>
      <c r="AC64" s="664"/>
      <c r="AD64" s="665"/>
      <c r="AF64" s="663">
        <f t="shared" si="5"/>
        <v>0</v>
      </c>
      <c r="AG64" s="664"/>
      <c r="AH64" s="665"/>
    </row>
    <row r="65" spans="1:34" s="51" customFormat="1" ht="18.25" customHeight="1" x14ac:dyDescent="0.15">
      <c r="C65" s="708">
        <v>148</v>
      </c>
      <c r="D65" s="709"/>
      <c r="E65" s="700" t="s">
        <v>361</v>
      </c>
      <c r="F65" s="700"/>
      <c r="G65" s="700"/>
      <c r="H65" s="700"/>
      <c r="I65" s="700"/>
      <c r="J65" s="700"/>
      <c r="K65" s="700"/>
      <c r="L65" s="700"/>
      <c r="M65" s="700"/>
      <c r="N65" s="309"/>
      <c r="O65" s="309" t="s">
        <v>140</v>
      </c>
      <c r="P65" s="310" t="s">
        <v>117</v>
      </c>
      <c r="Q65" s="728"/>
      <c r="R65" s="728"/>
      <c r="S65" s="311" t="s">
        <v>143</v>
      </c>
      <c r="T65" s="309"/>
      <c r="U65" s="279"/>
      <c r="V65" s="309"/>
      <c r="W65" s="729">
        <f t="shared" si="4"/>
        <v>0</v>
      </c>
      <c r="X65" s="729"/>
      <c r="Y65" s="729"/>
      <c r="Z65" s="730"/>
      <c r="AB65" s="663">
        <v>0</v>
      </c>
      <c r="AC65" s="664"/>
      <c r="AD65" s="665"/>
      <c r="AF65" s="663">
        <f t="shared" si="5"/>
        <v>0</v>
      </c>
      <c r="AG65" s="664"/>
      <c r="AH65" s="665"/>
    </row>
    <row r="66" spans="1:34" s="51" customFormat="1" ht="18.25" customHeight="1" x14ac:dyDescent="0.15">
      <c r="C66" s="708">
        <v>149</v>
      </c>
      <c r="D66" s="709"/>
      <c r="E66" s="700" t="s">
        <v>230</v>
      </c>
      <c r="F66" s="700"/>
      <c r="G66" s="700"/>
      <c r="H66" s="700"/>
      <c r="I66" s="700"/>
      <c r="J66" s="700"/>
      <c r="K66" s="700"/>
      <c r="L66" s="700"/>
      <c r="M66" s="700"/>
      <c r="N66" s="309"/>
      <c r="O66" s="309" t="s">
        <v>140</v>
      </c>
      <c r="P66" s="310" t="s">
        <v>117</v>
      </c>
      <c r="Q66" s="728"/>
      <c r="R66" s="728"/>
      <c r="S66" s="311" t="s">
        <v>143</v>
      </c>
      <c r="T66" s="309"/>
      <c r="U66" s="279"/>
      <c r="V66" s="309"/>
      <c r="W66" s="729">
        <f t="shared" si="4"/>
        <v>0</v>
      </c>
      <c r="X66" s="729"/>
      <c r="Y66" s="729"/>
      <c r="Z66" s="730"/>
      <c r="AB66" s="663">
        <v>0</v>
      </c>
      <c r="AC66" s="664"/>
      <c r="AD66" s="665"/>
      <c r="AF66" s="663">
        <f t="shared" si="5"/>
        <v>0</v>
      </c>
      <c r="AG66" s="664"/>
      <c r="AH66" s="665"/>
    </row>
    <row r="67" spans="1:34" s="51" customFormat="1" ht="18.25" customHeight="1" x14ac:dyDescent="0.15">
      <c r="C67" s="708">
        <v>150</v>
      </c>
      <c r="D67" s="709"/>
      <c r="E67" s="700" t="s">
        <v>58</v>
      </c>
      <c r="F67" s="700"/>
      <c r="G67" s="700"/>
      <c r="H67" s="700"/>
      <c r="I67" s="700"/>
      <c r="J67" s="700"/>
      <c r="K67" s="700"/>
      <c r="L67" s="700"/>
      <c r="M67" s="700"/>
      <c r="N67" s="309"/>
      <c r="O67" s="309" t="s">
        <v>140</v>
      </c>
      <c r="P67" s="310" t="s">
        <v>117</v>
      </c>
      <c r="Q67" s="728"/>
      <c r="R67" s="728"/>
      <c r="S67" s="311" t="s">
        <v>143</v>
      </c>
      <c r="T67" s="309"/>
      <c r="U67" s="279"/>
      <c r="V67" s="309"/>
      <c r="W67" s="729">
        <f t="shared" si="4"/>
        <v>0</v>
      </c>
      <c r="X67" s="729"/>
      <c r="Y67" s="729"/>
      <c r="Z67" s="730"/>
      <c r="AB67" s="663">
        <v>0</v>
      </c>
      <c r="AC67" s="664"/>
      <c r="AD67" s="665"/>
      <c r="AF67" s="663">
        <f t="shared" si="5"/>
        <v>0</v>
      </c>
      <c r="AG67" s="664"/>
      <c r="AH67" s="665"/>
    </row>
    <row r="68" spans="1:34" s="322" customFormat="1" ht="18.25" customHeight="1" x14ac:dyDescent="0.2">
      <c r="C68" s="388"/>
      <c r="D68" s="389"/>
      <c r="E68" s="389"/>
      <c r="F68" s="389"/>
      <c r="G68" s="389"/>
      <c r="H68" s="389"/>
      <c r="I68" s="389"/>
      <c r="J68" s="389"/>
      <c r="K68" s="389"/>
      <c r="L68" s="389"/>
      <c r="M68" s="389"/>
      <c r="N68" s="389"/>
      <c r="O68" s="654" t="s">
        <v>129</v>
      </c>
      <c r="P68" s="654"/>
      <c r="Q68" s="654"/>
      <c r="R68" s="654"/>
      <c r="S68" s="654"/>
      <c r="T68" s="654"/>
      <c r="U68" s="654"/>
      <c r="V68" s="655"/>
      <c r="W68" s="732">
        <f>SUM(W57:Z67)</f>
        <v>0</v>
      </c>
      <c r="X68" s="733"/>
      <c r="Y68" s="733"/>
      <c r="Z68" s="734"/>
      <c r="AB68" s="720">
        <f>SUM(AB57:AD67)</f>
        <v>0</v>
      </c>
      <c r="AC68" s="721"/>
      <c r="AD68" s="722"/>
      <c r="AF68" s="714">
        <f t="shared" si="5"/>
        <v>0</v>
      </c>
      <c r="AG68" s="715"/>
      <c r="AH68" s="716"/>
    </row>
    <row r="69" spans="1:34" s="111" customFormat="1" ht="16.25" customHeight="1" x14ac:dyDescent="0.2">
      <c r="C69" s="197"/>
      <c r="Q69" s="198"/>
      <c r="R69" s="198"/>
      <c r="X69" s="199"/>
      <c r="Y69" s="199"/>
      <c r="Z69" s="199"/>
      <c r="AB69" s="199"/>
      <c r="AC69" s="199"/>
      <c r="AD69" s="199"/>
      <c r="AF69" s="199"/>
      <c r="AG69" s="199"/>
      <c r="AH69" s="199"/>
    </row>
    <row r="70" spans="1:34" ht="16.25" customHeight="1" x14ac:dyDescent="0.2">
      <c r="A70"/>
      <c r="B70"/>
      <c r="C70" s="27"/>
      <c r="D70"/>
      <c r="E70"/>
      <c r="F70"/>
      <c r="G70"/>
      <c r="H70"/>
      <c r="I70"/>
      <c r="J70"/>
      <c r="K70"/>
      <c r="L70"/>
      <c r="M70"/>
      <c r="N70"/>
      <c r="O70"/>
      <c r="P70"/>
      <c r="Q70" s="66"/>
      <c r="R70" s="66"/>
      <c r="S70"/>
      <c r="T70"/>
      <c r="U70"/>
      <c r="V70"/>
      <c r="W70"/>
      <c r="X70" s="23"/>
      <c r="Y70" s="23"/>
      <c r="Z70" s="23"/>
      <c r="AB70" s="23"/>
      <c r="AC70" s="23"/>
      <c r="AD70" s="23"/>
      <c r="AF70" s="23"/>
      <c r="AG70" s="23"/>
      <c r="AH70" s="23"/>
    </row>
    <row r="71" spans="1:34" ht="16.25" customHeight="1" x14ac:dyDescent="0.2">
      <c r="A71"/>
      <c r="B71"/>
      <c r="C71" s="27"/>
      <c r="D71"/>
      <c r="E71"/>
      <c r="F71"/>
      <c r="G71"/>
      <c r="H71"/>
      <c r="I71"/>
      <c r="J71"/>
      <c r="K71"/>
      <c r="L71"/>
      <c r="M71"/>
      <c r="N71"/>
      <c r="O71"/>
      <c r="P71"/>
      <c r="Q71" s="66"/>
      <c r="R71" s="66"/>
      <c r="S71"/>
      <c r="T71"/>
      <c r="U71"/>
      <c r="V71"/>
      <c r="W71"/>
      <c r="X71" s="23"/>
      <c r="Y71" s="23"/>
      <c r="Z71" s="23"/>
      <c r="AB71" s="23"/>
      <c r="AC71" s="23"/>
      <c r="AD71" s="23"/>
      <c r="AF71" s="23"/>
      <c r="AG71" s="23"/>
      <c r="AH71" s="23"/>
    </row>
    <row r="72" spans="1:34" x14ac:dyDescent="0.2">
      <c r="A72"/>
      <c r="B72"/>
      <c r="C72" s="27"/>
      <c r="D72"/>
      <c r="E72"/>
      <c r="F72"/>
      <c r="G72"/>
      <c r="H72"/>
      <c r="I72"/>
      <c r="J72"/>
      <c r="K72"/>
      <c r="L72"/>
      <c r="M72"/>
      <c r="N72"/>
      <c r="O72"/>
      <c r="P72"/>
      <c r="Q72" s="66"/>
      <c r="R72" s="66"/>
      <c r="S72"/>
      <c r="T72"/>
      <c r="U72"/>
      <c r="V72"/>
      <c r="W72"/>
      <c r="X72" s="23"/>
      <c r="Y72" s="23"/>
      <c r="Z72" s="23"/>
      <c r="AB72" s="23"/>
      <c r="AC72" s="23"/>
      <c r="AD72" s="23"/>
      <c r="AF72" s="23"/>
      <c r="AG72" s="23"/>
      <c r="AH72" s="23"/>
    </row>
    <row r="73" spans="1:34" x14ac:dyDescent="0.2">
      <c r="A73"/>
      <c r="B73"/>
      <c r="C73" s="27"/>
      <c r="D73"/>
      <c r="E73"/>
      <c r="F73"/>
      <c r="G73"/>
      <c r="H73"/>
      <c r="I73"/>
      <c r="J73"/>
      <c r="K73"/>
      <c r="L73"/>
      <c r="M73"/>
      <c r="N73"/>
      <c r="O73"/>
      <c r="P73"/>
      <c r="Q73" s="66"/>
      <c r="R73" s="66"/>
      <c r="S73"/>
      <c r="T73"/>
      <c r="U73"/>
      <c r="V73"/>
      <c r="W73"/>
      <c r="X73" s="23"/>
      <c r="Y73" s="23"/>
      <c r="Z73" s="23"/>
      <c r="AB73" s="23"/>
      <c r="AC73" s="23"/>
      <c r="AD73" s="23"/>
      <c r="AF73" s="23"/>
      <c r="AG73" s="23"/>
      <c r="AH73" s="23"/>
    </row>
    <row r="74" spans="1:34" x14ac:dyDescent="0.2">
      <c r="A74"/>
      <c r="B74"/>
      <c r="C74" s="27"/>
      <c r="D74"/>
      <c r="E74"/>
      <c r="F74"/>
      <c r="G74"/>
      <c r="H74"/>
      <c r="I74"/>
      <c r="J74"/>
      <c r="K74"/>
      <c r="L74"/>
      <c r="M74"/>
      <c r="N74"/>
      <c r="O74"/>
      <c r="P74"/>
      <c r="Q74" s="66"/>
      <c r="R74" s="66"/>
      <c r="S74"/>
      <c r="T74"/>
      <c r="U74"/>
      <c r="V74"/>
      <c r="W74"/>
      <c r="X74" s="23"/>
      <c r="Y74" s="23"/>
      <c r="Z74" s="23"/>
      <c r="AB74" s="23"/>
      <c r="AC74" s="23"/>
      <c r="AD74" s="23"/>
      <c r="AF74" s="23"/>
      <c r="AG74" s="23"/>
      <c r="AH74" s="23"/>
    </row>
    <row r="75" spans="1:34" x14ac:dyDescent="0.2">
      <c r="A75"/>
      <c r="B75"/>
      <c r="C75" s="27"/>
      <c r="D75"/>
      <c r="E75"/>
      <c r="F75"/>
      <c r="G75"/>
      <c r="H75"/>
      <c r="I75"/>
      <c r="J75"/>
      <c r="K75"/>
      <c r="L75"/>
      <c r="M75"/>
      <c r="N75"/>
      <c r="O75"/>
      <c r="P75"/>
      <c r="Q75" s="66"/>
      <c r="R75" s="66"/>
      <c r="S75"/>
      <c r="T75"/>
      <c r="U75"/>
      <c r="V75"/>
      <c r="W75"/>
      <c r="X75" s="23"/>
      <c r="Y75" s="23"/>
      <c r="Z75" s="23"/>
      <c r="AB75" s="23"/>
      <c r="AC75" s="23"/>
      <c r="AD75" s="23"/>
      <c r="AF75" s="23"/>
      <c r="AG75" s="23"/>
      <c r="AH75" s="23"/>
    </row>
    <row r="76" spans="1:34" x14ac:dyDescent="0.2">
      <c r="A76"/>
      <c r="B76"/>
      <c r="C76" s="27"/>
      <c r="D76"/>
      <c r="E76"/>
      <c r="F76"/>
      <c r="G76"/>
      <c r="H76"/>
      <c r="I76"/>
      <c r="J76"/>
      <c r="K76"/>
      <c r="L76"/>
      <c r="M76"/>
      <c r="N76"/>
      <c r="O76"/>
      <c r="P76"/>
      <c r="Q76" s="66"/>
      <c r="R76" s="66"/>
      <c r="S76"/>
      <c r="T76"/>
      <c r="U76"/>
      <c r="V76"/>
      <c r="W76"/>
      <c r="X76" s="23"/>
      <c r="Y76" s="23"/>
      <c r="Z76" s="23"/>
      <c r="AB76" s="23"/>
      <c r="AC76" s="23"/>
      <c r="AD76" s="23"/>
      <c r="AF76" s="23"/>
      <c r="AG76" s="23"/>
      <c r="AH76" s="23"/>
    </row>
    <row r="77" spans="1:34" x14ac:dyDescent="0.2">
      <c r="A77"/>
      <c r="B77"/>
      <c r="C77" s="27"/>
      <c r="D77"/>
      <c r="E77"/>
      <c r="F77"/>
      <c r="G77"/>
      <c r="H77"/>
      <c r="I77"/>
      <c r="J77"/>
      <c r="K77"/>
      <c r="L77"/>
      <c r="M77"/>
      <c r="N77"/>
      <c r="O77"/>
      <c r="P77"/>
      <c r="Q77" s="66"/>
      <c r="R77" s="66"/>
      <c r="S77"/>
      <c r="T77"/>
      <c r="U77"/>
      <c r="V77"/>
      <c r="W77"/>
      <c r="X77" s="23"/>
      <c r="Y77" s="23"/>
      <c r="Z77" s="23"/>
      <c r="AB77" s="23"/>
      <c r="AC77" s="23"/>
      <c r="AD77" s="23"/>
      <c r="AF77" s="23"/>
      <c r="AG77" s="23"/>
      <c r="AH77" s="23"/>
    </row>
    <row r="78" spans="1:34" x14ac:dyDescent="0.2">
      <c r="A78"/>
      <c r="B78"/>
      <c r="C78" s="27"/>
      <c r="D78"/>
      <c r="E78"/>
      <c r="F78"/>
      <c r="G78"/>
      <c r="H78"/>
      <c r="I78"/>
      <c r="J78"/>
      <c r="K78"/>
      <c r="L78"/>
      <c r="M78"/>
      <c r="N78"/>
      <c r="O78"/>
      <c r="P78"/>
      <c r="Q78" s="66"/>
      <c r="R78" s="66"/>
      <c r="S78"/>
      <c r="T78"/>
      <c r="U78"/>
      <c r="V78"/>
      <c r="W78"/>
      <c r="X78" s="23"/>
      <c r="Y78" s="23"/>
      <c r="Z78" s="23"/>
      <c r="AB78" s="23"/>
      <c r="AC78" s="23"/>
      <c r="AD78" s="23"/>
      <c r="AF78" s="23"/>
      <c r="AG78" s="23"/>
      <c r="AH78" s="23"/>
    </row>
    <row r="79" spans="1:34" x14ac:dyDescent="0.2">
      <c r="A79"/>
      <c r="B79"/>
      <c r="C79" s="27"/>
      <c r="D79"/>
      <c r="E79"/>
      <c r="F79"/>
      <c r="G79"/>
      <c r="H79"/>
      <c r="I79"/>
      <c r="J79"/>
      <c r="K79"/>
      <c r="L79"/>
      <c r="M79"/>
      <c r="N79"/>
      <c r="O79"/>
      <c r="P79"/>
      <c r="Q79" s="66"/>
      <c r="R79" s="66"/>
      <c r="S79"/>
      <c r="T79"/>
      <c r="U79"/>
      <c r="V79"/>
      <c r="W79"/>
      <c r="X79" s="23"/>
      <c r="Y79" s="23"/>
      <c r="Z79" s="23"/>
      <c r="AB79" s="23"/>
      <c r="AC79" s="23"/>
      <c r="AD79" s="23"/>
      <c r="AF79" s="23"/>
      <c r="AG79" s="23"/>
      <c r="AH79" s="23"/>
    </row>
    <row r="80" spans="1:34" x14ac:dyDescent="0.2">
      <c r="A80"/>
      <c r="B80"/>
      <c r="C80" s="27"/>
      <c r="D80"/>
      <c r="E80"/>
      <c r="F80"/>
      <c r="G80"/>
      <c r="H80"/>
      <c r="I80"/>
      <c r="J80"/>
      <c r="K80"/>
      <c r="L80"/>
      <c r="M80"/>
      <c r="N80"/>
      <c r="O80"/>
      <c r="P80"/>
      <c r="Q80" s="66"/>
      <c r="R80" s="66"/>
      <c r="S80"/>
      <c r="T80"/>
      <c r="U80"/>
      <c r="V80"/>
      <c r="W80"/>
      <c r="X80" s="23"/>
      <c r="Y80" s="23"/>
      <c r="Z80" s="23"/>
      <c r="AB80" s="23"/>
      <c r="AC80" s="23"/>
      <c r="AD80" s="23"/>
      <c r="AF80" s="23"/>
      <c r="AG80" s="23"/>
      <c r="AH80" s="23"/>
    </row>
    <row r="81" spans="1:34" x14ac:dyDescent="0.2">
      <c r="A81"/>
      <c r="B81"/>
      <c r="C81" s="27"/>
      <c r="D81"/>
      <c r="E81"/>
      <c r="F81"/>
      <c r="G81"/>
      <c r="H81"/>
      <c r="I81"/>
      <c r="J81"/>
      <c r="K81"/>
      <c r="L81"/>
      <c r="M81"/>
      <c r="N81"/>
      <c r="O81"/>
      <c r="P81"/>
      <c r="Q81" s="66"/>
      <c r="R81" s="66"/>
      <c r="S81"/>
      <c r="T81"/>
      <c r="U81"/>
      <c r="V81"/>
      <c r="W81"/>
      <c r="X81" s="23"/>
      <c r="Y81" s="23"/>
      <c r="Z81" s="23"/>
      <c r="AB81" s="23"/>
      <c r="AC81" s="23"/>
      <c r="AD81" s="23"/>
      <c r="AF81" s="23"/>
      <c r="AG81" s="23"/>
      <c r="AH81" s="23"/>
    </row>
    <row r="82" spans="1:34" x14ac:dyDescent="0.2">
      <c r="A82"/>
      <c r="B82"/>
      <c r="C82" s="27"/>
      <c r="D82"/>
      <c r="E82"/>
      <c r="F82"/>
      <c r="G82"/>
      <c r="H82"/>
      <c r="I82"/>
      <c r="J82"/>
      <c r="K82"/>
      <c r="L82"/>
      <c r="M82"/>
      <c r="N82"/>
      <c r="O82"/>
      <c r="P82"/>
      <c r="Q82" s="66"/>
      <c r="R82" s="66"/>
      <c r="S82"/>
      <c r="T82"/>
      <c r="U82"/>
      <c r="V82"/>
      <c r="W82"/>
      <c r="X82" s="23"/>
      <c r="Y82" s="23"/>
      <c r="Z82" s="23"/>
      <c r="AB82" s="23"/>
      <c r="AC82" s="23"/>
      <c r="AD82" s="23"/>
      <c r="AF82" s="23"/>
      <c r="AG82" s="23"/>
      <c r="AH82" s="23"/>
    </row>
    <row r="83" spans="1:34" x14ac:dyDescent="0.2">
      <c r="A83"/>
      <c r="B83"/>
      <c r="C83" s="27"/>
      <c r="D83"/>
      <c r="E83"/>
      <c r="F83"/>
      <c r="G83"/>
      <c r="H83"/>
      <c r="I83"/>
      <c r="J83"/>
      <c r="K83"/>
      <c r="L83"/>
      <c r="M83"/>
      <c r="N83"/>
      <c r="O83"/>
      <c r="P83"/>
      <c r="Q83" s="66"/>
      <c r="R83" s="66"/>
      <c r="S83"/>
      <c r="T83"/>
      <c r="U83"/>
      <c r="V83"/>
      <c r="W83"/>
      <c r="X83" s="23"/>
      <c r="Y83" s="23"/>
      <c r="Z83" s="23"/>
      <c r="AB83" s="23"/>
      <c r="AC83" s="23"/>
      <c r="AD83" s="23"/>
      <c r="AF83" s="23"/>
      <c r="AG83" s="23"/>
      <c r="AH83" s="23"/>
    </row>
    <row r="84" spans="1:34" x14ac:dyDescent="0.2">
      <c r="A84"/>
      <c r="B84"/>
      <c r="C84" s="27"/>
      <c r="D84"/>
      <c r="E84"/>
      <c r="F84"/>
      <c r="G84"/>
      <c r="H84"/>
      <c r="I84"/>
      <c r="J84"/>
      <c r="K84"/>
      <c r="L84"/>
      <c r="M84"/>
      <c r="N84"/>
      <c r="O84"/>
      <c r="P84"/>
      <c r="Q84" s="66"/>
      <c r="R84" s="66"/>
      <c r="S84"/>
      <c r="T84"/>
      <c r="U84"/>
      <c r="V84"/>
      <c r="W84"/>
      <c r="X84" s="23"/>
      <c r="Y84" s="23"/>
      <c r="Z84" s="23"/>
      <c r="AB84" s="23"/>
      <c r="AC84" s="23"/>
      <c r="AD84" s="23"/>
      <c r="AF84" s="23"/>
      <c r="AG84" s="23"/>
      <c r="AH84" s="23"/>
    </row>
    <row r="85" spans="1:34" x14ac:dyDescent="0.2">
      <c r="A85"/>
      <c r="B85"/>
      <c r="C85" s="27"/>
      <c r="D85"/>
      <c r="E85"/>
      <c r="F85"/>
      <c r="G85"/>
      <c r="H85"/>
      <c r="I85"/>
      <c r="J85"/>
      <c r="K85"/>
      <c r="L85"/>
      <c r="M85"/>
      <c r="N85"/>
      <c r="O85"/>
      <c r="P85"/>
      <c r="Q85" s="66"/>
      <c r="R85" s="66"/>
      <c r="S85"/>
      <c r="T85"/>
      <c r="U85"/>
      <c r="V85"/>
      <c r="W85"/>
      <c r="X85" s="23"/>
      <c r="Y85" s="23"/>
      <c r="Z85" s="23"/>
      <c r="AB85" s="23"/>
      <c r="AC85" s="23"/>
      <c r="AD85" s="23"/>
      <c r="AF85" s="23"/>
      <c r="AG85" s="23"/>
      <c r="AH85" s="23"/>
    </row>
    <row r="86" spans="1:34" x14ac:dyDescent="0.2">
      <c r="A86"/>
      <c r="B86"/>
      <c r="C86" s="27"/>
      <c r="D86"/>
      <c r="E86"/>
      <c r="F86"/>
      <c r="G86"/>
      <c r="H86"/>
      <c r="I86"/>
      <c r="J86"/>
      <c r="K86"/>
      <c r="L86"/>
      <c r="M86"/>
      <c r="N86"/>
      <c r="O86"/>
      <c r="P86"/>
      <c r="Q86" s="66"/>
      <c r="R86" s="66"/>
      <c r="S86"/>
      <c r="T86"/>
      <c r="U86"/>
      <c r="V86"/>
      <c r="W86"/>
      <c r="X86" s="23"/>
      <c r="Y86" s="23"/>
      <c r="Z86" s="23"/>
      <c r="AB86" s="23"/>
      <c r="AC86" s="23"/>
      <c r="AD86" s="23"/>
      <c r="AF86" s="23"/>
      <c r="AG86" s="23"/>
      <c r="AH86" s="23"/>
    </row>
    <row r="87" spans="1:34" x14ac:dyDescent="0.2">
      <c r="A87"/>
      <c r="B87"/>
      <c r="C87" s="27"/>
      <c r="D87"/>
      <c r="E87"/>
      <c r="F87"/>
      <c r="G87"/>
      <c r="H87"/>
      <c r="I87"/>
      <c r="J87"/>
      <c r="K87"/>
      <c r="L87"/>
      <c r="M87"/>
      <c r="N87"/>
      <c r="O87"/>
      <c r="P87"/>
      <c r="Q87" s="66"/>
      <c r="R87" s="66"/>
      <c r="S87"/>
      <c r="T87"/>
      <c r="U87"/>
      <c r="V87"/>
      <c r="W87"/>
      <c r="X87" s="23"/>
      <c r="Y87" s="23"/>
      <c r="Z87" s="23"/>
      <c r="AB87" s="23"/>
      <c r="AC87" s="23"/>
      <c r="AD87" s="23"/>
      <c r="AF87" s="23"/>
      <c r="AG87" s="23"/>
      <c r="AH87" s="23"/>
    </row>
    <row r="88" spans="1:34" x14ac:dyDescent="0.2">
      <c r="A88"/>
      <c r="B88"/>
      <c r="C88" s="27"/>
      <c r="D88"/>
      <c r="E88"/>
      <c r="F88"/>
      <c r="G88"/>
      <c r="H88"/>
      <c r="I88"/>
      <c r="J88"/>
      <c r="K88"/>
      <c r="L88"/>
      <c r="M88"/>
      <c r="N88"/>
      <c r="O88"/>
      <c r="P88"/>
      <c r="Q88" s="66"/>
      <c r="R88" s="66"/>
      <c r="S88"/>
      <c r="T88"/>
      <c r="U88"/>
      <c r="V88"/>
      <c r="W88"/>
      <c r="X88" s="23"/>
      <c r="Y88" s="23"/>
      <c r="Z88" s="23"/>
      <c r="AB88" s="23"/>
      <c r="AC88" s="23"/>
      <c r="AD88" s="23"/>
      <c r="AF88" s="23"/>
      <c r="AG88" s="23"/>
      <c r="AH88" s="23"/>
    </row>
  </sheetData>
  <sheetProtection selectLockedCells="1"/>
  <mergeCells count="329">
    <mergeCell ref="AB47:AD47"/>
    <mergeCell ref="AB48:AD48"/>
    <mergeCell ref="AB49:AD49"/>
    <mergeCell ref="AB50:AD50"/>
    <mergeCell ref="AB51:AD51"/>
    <mergeCell ref="AF61:AH61"/>
    <mergeCell ref="AF62:AH62"/>
    <mergeCell ref="AF63:AH63"/>
    <mergeCell ref="AF64:AH64"/>
    <mergeCell ref="AB52:AD52"/>
    <mergeCell ref="AB53:AD53"/>
    <mergeCell ref="AB56:AD56"/>
    <mergeCell ref="AB57:AD57"/>
    <mergeCell ref="AF48:AH48"/>
    <mergeCell ref="AF44:AH44"/>
    <mergeCell ref="AF45:AH45"/>
    <mergeCell ref="AF46:AH46"/>
    <mergeCell ref="AF47:AH47"/>
    <mergeCell ref="AF35:AH35"/>
    <mergeCell ref="AF36:AH36"/>
    <mergeCell ref="AF37:AH37"/>
    <mergeCell ref="AF38:AH38"/>
    <mergeCell ref="AF39:AH39"/>
    <mergeCell ref="AF66:AH66"/>
    <mergeCell ref="AF67:AH67"/>
    <mergeCell ref="AF68:AH68"/>
    <mergeCell ref="AF9:AH9"/>
    <mergeCell ref="AF26:AH26"/>
    <mergeCell ref="AF56:AH56"/>
    <mergeCell ref="AF49:AH49"/>
    <mergeCell ref="AF50:AH50"/>
    <mergeCell ref="AF51:AH51"/>
    <mergeCell ref="AF52:AH52"/>
    <mergeCell ref="AF53:AH53"/>
    <mergeCell ref="AF57:AH57"/>
    <mergeCell ref="AF58:AH58"/>
    <mergeCell ref="AF59:AH59"/>
    <mergeCell ref="AF60:AH60"/>
    <mergeCell ref="AF40:AH40"/>
    <mergeCell ref="AF41:AH41"/>
    <mergeCell ref="AF42:AH42"/>
    <mergeCell ref="AF43:AH43"/>
    <mergeCell ref="AF31:AH31"/>
    <mergeCell ref="AF32:AH32"/>
    <mergeCell ref="AF33:AH33"/>
    <mergeCell ref="AF34:AH34"/>
    <mergeCell ref="AF65:AH65"/>
    <mergeCell ref="W67:Z67"/>
    <mergeCell ref="W68:Z68"/>
    <mergeCell ref="AF10:AH10"/>
    <mergeCell ref="AF11:AH11"/>
    <mergeCell ref="AF12:AH12"/>
    <mergeCell ref="AF13:AH13"/>
    <mergeCell ref="AF14:AH14"/>
    <mergeCell ref="AF15:AH15"/>
    <mergeCell ref="AF16:AH16"/>
    <mergeCell ref="AF17:AH17"/>
    <mergeCell ref="AF18:AH18"/>
    <mergeCell ref="AF19:AH19"/>
    <mergeCell ref="AF20:AH20"/>
    <mergeCell ref="AF21:AH21"/>
    <mergeCell ref="AF22:AH22"/>
    <mergeCell ref="AF23:AH23"/>
    <mergeCell ref="AF27:AH27"/>
    <mergeCell ref="AF28:AH28"/>
    <mergeCell ref="AF29:AH29"/>
    <mergeCell ref="AF30:AH30"/>
    <mergeCell ref="W66:Z66"/>
    <mergeCell ref="W51:Z51"/>
    <mergeCell ref="W52:Z52"/>
    <mergeCell ref="W53:Z53"/>
    <mergeCell ref="C65:D65"/>
    <mergeCell ref="C66:D66"/>
    <mergeCell ref="C67:D67"/>
    <mergeCell ref="C57:D57"/>
    <mergeCell ref="C58:D58"/>
    <mergeCell ref="C59:D59"/>
    <mergeCell ref="C60:D60"/>
    <mergeCell ref="C61:D61"/>
    <mergeCell ref="C41:D41"/>
    <mergeCell ref="C42:D42"/>
    <mergeCell ref="C43:D43"/>
    <mergeCell ref="C44:D44"/>
    <mergeCell ref="C64:D64"/>
    <mergeCell ref="C52:D52"/>
    <mergeCell ref="C63:D63"/>
    <mergeCell ref="C62:D62"/>
    <mergeCell ref="C49:D49"/>
    <mergeCell ref="C50:D50"/>
    <mergeCell ref="C51:D51"/>
    <mergeCell ref="C45:D45"/>
    <mergeCell ref="C46:D46"/>
    <mergeCell ref="C47:D47"/>
    <mergeCell ref="C48:D48"/>
    <mergeCell ref="C21:D21"/>
    <mergeCell ref="C17:D17"/>
    <mergeCell ref="C18:D18"/>
    <mergeCell ref="C20:D20"/>
    <mergeCell ref="C34:D34"/>
    <mergeCell ref="C35:D35"/>
    <mergeCell ref="C36:D36"/>
    <mergeCell ref="C39:D39"/>
    <mergeCell ref="C40:D40"/>
    <mergeCell ref="C37:D37"/>
    <mergeCell ref="C38:D38"/>
    <mergeCell ref="W50:Z50"/>
    <mergeCell ref="W40:Z40"/>
    <mergeCell ref="W41:Z41"/>
    <mergeCell ref="W42:Z42"/>
    <mergeCell ref="W43:Z43"/>
    <mergeCell ref="W44:Z44"/>
    <mergeCell ref="W45:Z45"/>
    <mergeCell ref="W46:Z46"/>
    <mergeCell ref="W47:Z47"/>
    <mergeCell ref="W48:Z48"/>
    <mergeCell ref="Q22:R22"/>
    <mergeCell ref="C15:D15"/>
    <mergeCell ref="C10:D10"/>
    <mergeCell ref="C11:D11"/>
    <mergeCell ref="C12:D12"/>
    <mergeCell ref="C13:D13"/>
    <mergeCell ref="C14:D14"/>
    <mergeCell ref="C32:D32"/>
    <mergeCell ref="W49:Z49"/>
    <mergeCell ref="W10:Z10"/>
    <mergeCell ref="W11:Z11"/>
    <mergeCell ref="W12:Z12"/>
    <mergeCell ref="W36:Z36"/>
    <mergeCell ref="Q10:R10"/>
    <mergeCell ref="Q11:R11"/>
    <mergeCell ref="C33:D33"/>
    <mergeCell ref="C16:D16"/>
    <mergeCell ref="C27:D27"/>
    <mergeCell ref="C28:D28"/>
    <mergeCell ref="C29:D29"/>
    <mergeCell ref="C30:D30"/>
    <mergeCell ref="C31:D31"/>
    <mergeCell ref="C22:D22"/>
    <mergeCell ref="C19:D19"/>
    <mergeCell ref="W32:Z32"/>
    <mergeCell ref="W19:Z19"/>
    <mergeCell ref="W20:Z20"/>
    <mergeCell ref="W21:Z21"/>
    <mergeCell ref="W22:Z22"/>
    <mergeCell ref="W23:Z23"/>
    <mergeCell ref="W27:Z27"/>
    <mergeCell ref="W28:Z28"/>
    <mergeCell ref="W29:Z29"/>
    <mergeCell ref="W30:Z30"/>
    <mergeCell ref="W37:Z37"/>
    <mergeCell ref="W38:Z38"/>
    <mergeCell ref="W39:Z39"/>
    <mergeCell ref="Q26:R26"/>
    <mergeCell ref="W33:Z33"/>
    <mergeCell ref="W34:Z34"/>
    <mergeCell ref="W35:Z35"/>
    <mergeCell ref="Q12:R12"/>
    <mergeCell ref="Q13:R13"/>
    <mergeCell ref="Q14:R14"/>
    <mergeCell ref="Q15:R15"/>
    <mergeCell ref="Q16:R16"/>
    <mergeCell ref="Q17:R17"/>
    <mergeCell ref="Q18:R18"/>
    <mergeCell ref="Q19:R19"/>
    <mergeCell ref="Q20:R20"/>
    <mergeCell ref="Q21:R21"/>
    <mergeCell ref="W13:Z13"/>
    <mergeCell ref="W14:Z14"/>
    <mergeCell ref="W15:Z15"/>
    <mergeCell ref="W16:Z16"/>
    <mergeCell ref="W17:Z17"/>
    <mergeCell ref="W18:Z18"/>
    <mergeCell ref="W31:Z31"/>
    <mergeCell ref="Q63:R63"/>
    <mergeCell ref="Q58:R58"/>
    <mergeCell ref="Q50:R50"/>
    <mergeCell ref="Q45:R45"/>
    <mergeCell ref="Q46:R46"/>
    <mergeCell ref="Q47:R47"/>
    <mergeCell ref="E41:M41"/>
    <mergeCell ref="E42:M42"/>
    <mergeCell ref="N56:O56"/>
    <mergeCell ref="E51:M51"/>
    <mergeCell ref="E52:M52"/>
    <mergeCell ref="Q61:R61"/>
    <mergeCell ref="Q62:R62"/>
    <mergeCell ref="Q67:R67"/>
    <mergeCell ref="Q59:R59"/>
    <mergeCell ref="Q60:R60"/>
    <mergeCell ref="Q51:R51"/>
    <mergeCell ref="Q52:R52"/>
    <mergeCell ref="Q57:R57"/>
    <mergeCell ref="Q27:R27"/>
    <mergeCell ref="Q28:R28"/>
    <mergeCell ref="Q29:R29"/>
    <mergeCell ref="Q56:R56"/>
    <mergeCell ref="Q43:R43"/>
    <mergeCell ref="Q44:R44"/>
    <mergeCell ref="Q48:R48"/>
    <mergeCell ref="Q49:R49"/>
    <mergeCell ref="Q40:R40"/>
    <mergeCell ref="Q41:R41"/>
    <mergeCell ref="Q42:R42"/>
    <mergeCell ref="Q30:R30"/>
    <mergeCell ref="Q31:R31"/>
    <mergeCell ref="Q32:R32"/>
    <mergeCell ref="Q33:R33"/>
    <mergeCell ref="Q64:R64"/>
    <mergeCell ref="Q65:R65"/>
    <mergeCell ref="Q66:R66"/>
    <mergeCell ref="W64:Z64"/>
    <mergeCell ref="W65:Z65"/>
    <mergeCell ref="W57:Z57"/>
    <mergeCell ref="W58:Z58"/>
    <mergeCell ref="W59:Z59"/>
    <mergeCell ref="W60:Z60"/>
    <mergeCell ref="W61:Z61"/>
    <mergeCell ref="W62:Z62"/>
    <mergeCell ref="W63:Z63"/>
    <mergeCell ref="N9:O9"/>
    <mergeCell ref="Q9:R9"/>
    <mergeCell ref="W9:Z9"/>
    <mergeCell ref="W55:Z55"/>
    <mergeCell ref="W25:Z25"/>
    <mergeCell ref="W8:Z8"/>
    <mergeCell ref="E27:M27"/>
    <mergeCell ref="E28:M28"/>
    <mergeCell ref="E29:M29"/>
    <mergeCell ref="E30:M30"/>
    <mergeCell ref="E31:M31"/>
    <mergeCell ref="E32:M32"/>
    <mergeCell ref="E33:M33"/>
    <mergeCell ref="E44:M44"/>
    <mergeCell ref="E40:M40"/>
    <mergeCell ref="Q37:R37"/>
    <mergeCell ref="Q38:R38"/>
    <mergeCell ref="Q39:R39"/>
    <mergeCell ref="E37:M37"/>
    <mergeCell ref="E38:M38"/>
    <mergeCell ref="E39:M39"/>
    <mergeCell ref="Q34:R34"/>
    <mergeCell ref="Q35:R35"/>
    <mergeCell ref="Q36:R36"/>
    <mergeCell ref="E10:M10"/>
    <mergeCell ref="E11:M11"/>
    <mergeCell ref="E12:M12"/>
    <mergeCell ref="E13:M13"/>
    <mergeCell ref="E14:M14"/>
    <mergeCell ref="E15:M15"/>
    <mergeCell ref="E16:M16"/>
    <mergeCell ref="E19:M19"/>
    <mergeCell ref="E20:M20"/>
    <mergeCell ref="E17:H17"/>
    <mergeCell ref="E18:H18"/>
    <mergeCell ref="K17:M17"/>
    <mergeCell ref="K18:M18"/>
    <mergeCell ref="E21:M21"/>
    <mergeCell ref="E22:M22"/>
    <mergeCell ref="E45:M45"/>
    <mergeCell ref="E46:M46"/>
    <mergeCell ref="E47:M47"/>
    <mergeCell ref="E48:M48"/>
    <mergeCell ref="E49:M49"/>
    <mergeCell ref="E50:M50"/>
    <mergeCell ref="E43:M43"/>
    <mergeCell ref="E34:M34"/>
    <mergeCell ref="E35:M35"/>
    <mergeCell ref="E36:M36"/>
    <mergeCell ref="E66:M66"/>
    <mergeCell ref="E67:M67"/>
    <mergeCell ref="E57:M57"/>
    <mergeCell ref="E58:M58"/>
    <mergeCell ref="E59:M59"/>
    <mergeCell ref="E60:M60"/>
    <mergeCell ref="E61:M61"/>
    <mergeCell ref="E62:M62"/>
    <mergeCell ref="E63:M63"/>
    <mergeCell ref="E64:M64"/>
    <mergeCell ref="E65:M65"/>
    <mergeCell ref="AB9:AD9"/>
    <mergeCell ref="AB10:AD10"/>
    <mergeCell ref="AB11:AD11"/>
    <mergeCell ref="AB12:AD12"/>
    <mergeCell ref="AB13:AD13"/>
    <mergeCell ref="AB14:AD14"/>
    <mergeCell ref="AB15:AD15"/>
    <mergeCell ref="AB16:AD16"/>
    <mergeCell ref="AB17:AD17"/>
    <mergeCell ref="AB30:AD30"/>
    <mergeCell ref="AB31:AD31"/>
    <mergeCell ref="AB32:AD32"/>
    <mergeCell ref="AB33:AD33"/>
    <mergeCell ref="AB34:AD34"/>
    <mergeCell ref="AB35:AD35"/>
    <mergeCell ref="AB36:AD36"/>
    <mergeCell ref="AB37:AD37"/>
    <mergeCell ref="AB18:AD18"/>
    <mergeCell ref="AB19:AD19"/>
    <mergeCell ref="AB20:AD20"/>
    <mergeCell ref="AB21:AD21"/>
    <mergeCell ref="AB22:AD22"/>
    <mergeCell ref="AB23:AD23"/>
    <mergeCell ref="AB26:AD26"/>
    <mergeCell ref="AB27:AD27"/>
    <mergeCell ref="AB28:AD28"/>
    <mergeCell ref="O23:V23"/>
    <mergeCell ref="O68:V68"/>
    <mergeCell ref="O53:V53"/>
    <mergeCell ref="AB67:AD67"/>
    <mergeCell ref="AB68:AD68"/>
    <mergeCell ref="AB58:AD58"/>
    <mergeCell ref="AB59:AD59"/>
    <mergeCell ref="AB60:AD60"/>
    <mergeCell ref="AB61:AD61"/>
    <mergeCell ref="AB62:AD62"/>
    <mergeCell ref="AB63:AD63"/>
    <mergeCell ref="AB64:AD64"/>
    <mergeCell ref="AB65:AD65"/>
    <mergeCell ref="AB66:AD66"/>
    <mergeCell ref="AB38:AD38"/>
    <mergeCell ref="AB39:AD39"/>
    <mergeCell ref="AB40:AD40"/>
    <mergeCell ref="AB41:AD41"/>
    <mergeCell ref="AB42:AD42"/>
    <mergeCell ref="AB43:AD43"/>
    <mergeCell ref="AB44:AD44"/>
    <mergeCell ref="AB45:AD45"/>
    <mergeCell ref="AB46:AD46"/>
    <mergeCell ref="AB29:AD29"/>
  </mergeCells>
  <pageMargins left="0.7" right="0.7" top="0.75" bottom="0.75" header="0.3" footer="0.3"/>
  <pageSetup scale="66" orientation="portrait" r:id="rId1"/>
  <legacyDrawingHF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pageSetUpPr fitToPage="1"/>
  </sheetPr>
  <dimension ref="B1:BY81"/>
  <sheetViews>
    <sheetView tabSelected="1" topLeftCell="A30" zoomScale="110" zoomScaleNormal="110" zoomScaleSheetLayoutView="90" workbookViewId="0">
      <selection activeCell="N42" sqref="N42:Y42"/>
    </sheetView>
  </sheetViews>
  <sheetFormatPr baseColWidth="10" defaultColWidth="4.6640625" defaultRowHeight="17" x14ac:dyDescent="0.2"/>
  <cols>
    <col min="1" max="13" width="4.6640625" style="7"/>
    <col min="14" max="16" width="4.6640625" style="7" customWidth="1"/>
    <col min="17" max="18" width="4.6640625" style="30" customWidth="1"/>
    <col min="19" max="23" width="4.6640625" style="7" customWidth="1"/>
    <col min="24" max="26" width="4.6640625" style="24" customWidth="1"/>
    <col min="27" max="27" width="4.6640625" style="7" customWidth="1"/>
    <col min="28" max="30" width="4.6640625" style="24"/>
    <col min="31" max="31" width="4.6640625" style="7"/>
    <col min="32" max="34" width="4.6640625" style="24"/>
    <col min="35" max="35" width="4.6640625" style="7"/>
    <col min="45" max="16384" width="4.6640625" style="7"/>
  </cols>
  <sheetData>
    <row r="1" spans="2:77" ht="16.5" customHeight="1" x14ac:dyDescent="0.2">
      <c r="B1"/>
      <c r="C1"/>
      <c r="D1"/>
      <c r="E1"/>
      <c r="F1"/>
      <c r="G1"/>
      <c r="H1"/>
      <c r="I1"/>
      <c r="J1"/>
      <c r="K1"/>
      <c r="L1"/>
      <c r="Q1" s="63"/>
      <c r="R1" s="63"/>
      <c r="AB1" s="7"/>
      <c r="AC1" s="7"/>
      <c r="AD1" s="7"/>
      <c r="AF1" s="7"/>
      <c r="AG1" s="7"/>
      <c r="AH1" s="7"/>
      <c r="AJ1" s="63"/>
      <c r="AK1" s="7"/>
      <c r="AL1" s="7"/>
      <c r="AM1" s="7"/>
      <c r="AN1" s="7"/>
      <c r="AO1" s="7"/>
      <c r="AP1" s="24"/>
      <c r="AQ1" s="24"/>
      <c r="AR1" s="24"/>
      <c r="BY1" s="7" t="s">
        <v>407</v>
      </c>
    </row>
    <row r="2" spans="2:77" ht="6.5" customHeight="1" x14ac:dyDescent="0.2">
      <c r="B2"/>
      <c r="C2"/>
      <c r="D2"/>
      <c r="E2"/>
      <c r="F2"/>
      <c r="G2"/>
      <c r="H2"/>
      <c r="I2"/>
      <c r="J2"/>
      <c r="K2"/>
      <c r="L2"/>
      <c r="M2"/>
      <c r="Q2" s="63"/>
      <c r="R2" s="63"/>
      <c r="AB2" s="7"/>
      <c r="AC2" s="7"/>
      <c r="AD2" s="7"/>
      <c r="AF2" s="7"/>
      <c r="AG2" s="7"/>
      <c r="AH2" s="7"/>
      <c r="AJ2" s="63"/>
      <c r="AK2" s="7"/>
      <c r="AL2" s="7"/>
      <c r="AM2" s="7"/>
      <c r="AN2" s="7"/>
      <c r="AO2" s="7"/>
      <c r="AP2" s="24"/>
      <c r="AQ2" s="24"/>
      <c r="AR2" s="24"/>
    </row>
    <row r="3" spans="2:77" ht="16.5" customHeight="1" x14ac:dyDescent="0.2">
      <c r="B3"/>
      <c r="C3"/>
      <c r="D3"/>
      <c r="E3"/>
      <c r="F3"/>
      <c r="G3"/>
      <c r="H3"/>
      <c r="I3"/>
      <c r="J3"/>
      <c r="K3"/>
      <c r="L3"/>
      <c r="M3"/>
      <c r="Q3" s="63"/>
      <c r="R3" s="7"/>
      <c r="AB3" s="7"/>
      <c r="AC3" s="7"/>
      <c r="AD3" s="7"/>
      <c r="AF3" s="7"/>
      <c r="AG3" s="7"/>
      <c r="AH3" s="7"/>
      <c r="AJ3" s="63"/>
      <c r="AK3" s="7"/>
      <c r="AL3" s="7"/>
      <c r="AM3" s="7"/>
      <c r="AN3" s="7"/>
      <c r="AO3" s="7"/>
      <c r="AP3" s="24"/>
      <c r="AQ3" s="24"/>
      <c r="AR3" s="24"/>
    </row>
    <row r="4" spans="2:77" ht="6.5" customHeight="1" x14ac:dyDescent="0.2">
      <c r="B4"/>
      <c r="C4"/>
      <c r="D4"/>
      <c r="E4"/>
      <c r="F4"/>
      <c r="G4"/>
      <c r="H4"/>
      <c r="I4"/>
      <c r="J4"/>
      <c r="K4"/>
      <c r="L4"/>
      <c r="Q4" s="63"/>
      <c r="R4" s="7"/>
      <c r="AB4" s="7"/>
      <c r="AC4" s="7"/>
      <c r="AD4" s="7"/>
      <c r="AF4" s="7"/>
      <c r="AG4" s="7"/>
      <c r="AH4" s="7"/>
      <c r="AJ4" s="63"/>
      <c r="AK4" s="7"/>
      <c r="AL4" s="7"/>
      <c r="AM4" s="7"/>
      <c r="AN4" s="7"/>
      <c r="AO4" s="7"/>
      <c r="AP4" s="24"/>
      <c r="AQ4" s="24"/>
      <c r="AR4" s="24"/>
    </row>
    <row r="5" spans="2:77" ht="16.5" customHeight="1" x14ac:dyDescent="0.2">
      <c r="B5"/>
      <c r="C5"/>
      <c r="D5"/>
      <c r="E5"/>
      <c r="F5"/>
      <c r="G5"/>
      <c r="H5"/>
      <c r="I5"/>
      <c r="J5"/>
      <c r="K5"/>
      <c r="L5"/>
      <c r="M5"/>
      <c r="Q5" s="63"/>
      <c r="R5" s="63"/>
      <c r="AB5" s="7"/>
      <c r="AC5" s="7"/>
      <c r="AD5" s="7"/>
      <c r="AF5" s="7"/>
      <c r="AG5" s="7"/>
      <c r="AH5" s="7"/>
      <c r="AJ5" s="63"/>
      <c r="AK5" s="7"/>
      <c r="AL5" s="7"/>
      <c r="AM5" s="7"/>
      <c r="AN5" s="7"/>
      <c r="AO5" s="7"/>
      <c r="AP5" s="24"/>
      <c r="AQ5" s="24"/>
      <c r="AR5" s="24"/>
    </row>
    <row r="6" spans="2:77" ht="16.25" customHeight="1" x14ac:dyDescent="0.2">
      <c r="C6" s="19"/>
    </row>
    <row r="7" spans="2:77" ht="16.25" customHeight="1" x14ac:dyDescent="0.2">
      <c r="C7"/>
      <c r="D7"/>
      <c r="E7"/>
      <c r="F7"/>
      <c r="G7"/>
      <c r="H7"/>
      <c r="I7"/>
      <c r="J7"/>
      <c r="K7"/>
      <c r="L7"/>
      <c r="M7"/>
    </row>
    <row r="8" spans="2:77" ht="16.25" customHeight="1" x14ac:dyDescent="0.2">
      <c r="C8"/>
      <c r="D8"/>
      <c r="E8"/>
      <c r="F8"/>
      <c r="G8"/>
      <c r="H8"/>
      <c r="I8"/>
      <c r="J8"/>
      <c r="K8"/>
      <c r="L8"/>
      <c r="M8"/>
    </row>
    <row r="9" spans="2:77" ht="16.25" customHeight="1" x14ac:dyDescent="0.2"/>
    <row r="10" spans="2:77" s="323" customFormat="1" ht="20" customHeight="1" x14ac:dyDescent="0.2">
      <c r="C10" s="4" t="s">
        <v>263</v>
      </c>
      <c r="D10" s="5" t="s">
        <v>122</v>
      </c>
      <c r="E10" s="5"/>
      <c r="F10" s="349"/>
      <c r="G10" s="349"/>
      <c r="H10" s="349"/>
      <c r="I10" s="349"/>
      <c r="J10" s="349"/>
      <c r="K10" s="349"/>
      <c r="L10" s="349"/>
      <c r="M10" s="349"/>
      <c r="N10" s="349"/>
      <c r="O10" s="349"/>
      <c r="P10" s="349"/>
      <c r="Q10" s="350"/>
      <c r="R10" s="350"/>
      <c r="S10" s="349"/>
      <c r="T10" s="349"/>
      <c r="U10" s="349"/>
      <c r="V10" s="349"/>
      <c r="W10" s="706"/>
      <c r="X10" s="706"/>
      <c r="Y10" s="706"/>
      <c r="Z10" s="706"/>
      <c r="AB10" s="357"/>
      <c r="AC10" s="354"/>
      <c r="AD10" s="354"/>
      <c r="AF10" s="357"/>
      <c r="AG10" s="354"/>
      <c r="AH10" s="354"/>
      <c r="AQ10" s="358"/>
      <c r="AR10" s="358"/>
    </row>
    <row r="11" spans="2:77" s="110" customFormat="1" ht="16.25" customHeight="1" x14ac:dyDescent="0.15">
      <c r="C11" s="128"/>
      <c r="D11" s="116"/>
      <c r="E11" s="116" t="s">
        <v>384</v>
      </c>
      <c r="F11" s="130"/>
      <c r="G11" s="130"/>
      <c r="H11" s="130"/>
      <c r="I11" s="130"/>
      <c r="J11" s="130"/>
      <c r="K11" s="130"/>
      <c r="L11" s="130"/>
      <c r="M11" s="130"/>
      <c r="N11" s="767" t="s">
        <v>375</v>
      </c>
      <c r="O11" s="767"/>
      <c r="P11" s="130"/>
      <c r="Q11" s="768" t="s">
        <v>220</v>
      </c>
      <c r="R11" s="768"/>
      <c r="S11" s="134"/>
      <c r="T11" s="120" t="s">
        <v>400</v>
      </c>
      <c r="U11" s="134"/>
      <c r="V11" s="134"/>
      <c r="W11" s="724" t="s">
        <v>370</v>
      </c>
      <c r="X11" s="724"/>
      <c r="Y11" s="724"/>
      <c r="Z11" s="725"/>
      <c r="AB11" s="746" t="s">
        <v>363</v>
      </c>
      <c r="AC11" s="747"/>
      <c r="AD11" s="748"/>
      <c r="AF11" s="723" t="s">
        <v>447</v>
      </c>
      <c r="AG11" s="724"/>
      <c r="AH11" s="725"/>
    </row>
    <row r="12" spans="2:77" s="51" customFormat="1" ht="20" customHeight="1" x14ac:dyDescent="0.15">
      <c r="C12" s="757">
        <v>151</v>
      </c>
      <c r="D12" s="419"/>
      <c r="E12" s="700" t="s">
        <v>37</v>
      </c>
      <c r="F12" s="700"/>
      <c r="G12" s="700"/>
      <c r="H12" s="700"/>
      <c r="I12" s="700"/>
      <c r="J12" s="700"/>
      <c r="K12" s="700"/>
      <c r="L12" s="700"/>
      <c r="M12" s="700"/>
      <c r="N12" s="309"/>
      <c r="O12" s="309" t="s">
        <v>116</v>
      </c>
      <c r="P12" s="310" t="s">
        <v>117</v>
      </c>
      <c r="Q12" s="687"/>
      <c r="R12" s="687"/>
      <c r="S12" s="311" t="s">
        <v>143</v>
      </c>
      <c r="T12" s="309"/>
      <c r="U12" s="279"/>
      <c r="V12" s="279"/>
      <c r="W12" s="664">
        <f t="shared" ref="W12:W28" si="0">N12*Q12*(IF(ISNUMBER(T12),T12,IF(ISNUMBER(N12),1,0)))</f>
        <v>0</v>
      </c>
      <c r="X12" s="664"/>
      <c r="Y12" s="664"/>
      <c r="Z12" s="665"/>
      <c r="AB12" s="663">
        <v>0</v>
      </c>
      <c r="AC12" s="664"/>
      <c r="AD12" s="665"/>
      <c r="AF12" s="663">
        <f t="shared" ref="AF12:AF29" si="1">AB12-W12</f>
        <v>0</v>
      </c>
      <c r="AG12" s="664"/>
      <c r="AH12" s="665"/>
    </row>
    <row r="13" spans="2:77" s="51" customFormat="1" ht="20" customHeight="1" x14ac:dyDescent="0.15">
      <c r="C13" s="757">
        <v>152</v>
      </c>
      <c r="D13" s="419"/>
      <c r="E13" s="700" t="s">
        <v>38</v>
      </c>
      <c r="F13" s="700"/>
      <c r="G13" s="700"/>
      <c r="H13" s="700"/>
      <c r="I13" s="700"/>
      <c r="J13" s="700"/>
      <c r="K13" s="700"/>
      <c r="L13" s="700"/>
      <c r="M13" s="700"/>
      <c r="N13" s="309"/>
      <c r="O13" s="309" t="s">
        <v>142</v>
      </c>
      <c r="P13" s="310" t="s">
        <v>117</v>
      </c>
      <c r="Q13" s="687"/>
      <c r="R13" s="687"/>
      <c r="S13" s="311" t="s">
        <v>143</v>
      </c>
      <c r="T13" s="309"/>
      <c r="U13" s="279"/>
      <c r="V13" s="279"/>
      <c r="W13" s="664">
        <f t="shared" si="0"/>
        <v>0</v>
      </c>
      <c r="X13" s="664"/>
      <c r="Y13" s="664"/>
      <c r="Z13" s="665"/>
      <c r="AB13" s="663">
        <v>0</v>
      </c>
      <c r="AC13" s="664"/>
      <c r="AD13" s="665"/>
      <c r="AF13" s="663">
        <f t="shared" si="1"/>
        <v>0</v>
      </c>
      <c r="AG13" s="664"/>
      <c r="AH13" s="665"/>
    </row>
    <row r="14" spans="2:77" s="51" customFormat="1" ht="20" customHeight="1" x14ac:dyDescent="0.15">
      <c r="C14" s="757">
        <v>153</v>
      </c>
      <c r="D14" s="419"/>
      <c r="E14" s="700" t="s">
        <v>39</v>
      </c>
      <c r="F14" s="700"/>
      <c r="G14" s="700"/>
      <c r="H14" s="700"/>
      <c r="I14" s="700"/>
      <c r="J14" s="700"/>
      <c r="K14" s="700"/>
      <c r="L14" s="700"/>
      <c r="M14" s="700"/>
      <c r="N14" s="309"/>
      <c r="O14" s="309" t="s">
        <v>116</v>
      </c>
      <c r="P14" s="310" t="s">
        <v>117</v>
      </c>
      <c r="Q14" s="687"/>
      <c r="R14" s="687"/>
      <c r="S14" s="311" t="s">
        <v>143</v>
      </c>
      <c r="T14" s="309"/>
      <c r="U14" s="279"/>
      <c r="V14" s="279"/>
      <c r="W14" s="664">
        <f t="shared" si="0"/>
        <v>0</v>
      </c>
      <c r="X14" s="664"/>
      <c r="Y14" s="664"/>
      <c r="Z14" s="665"/>
      <c r="AB14" s="663">
        <v>0</v>
      </c>
      <c r="AC14" s="664"/>
      <c r="AD14" s="665"/>
      <c r="AF14" s="663">
        <f t="shared" si="1"/>
        <v>0</v>
      </c>
      <c r="AG14" s="664"/>
      <c r="AH14" s="665"/>
    </row>
    <row r="15" spans="2:77" s="51" customFormat="1" ht="20" customHeight="1" x14ac:dyDescent="0.15">
      <c r="C15" s="757">
        <v>154</v>
      </c>
      <c r="D15" s="419"/>
      <c r="E15" s="700" t="s">
        <v>40</v>
      </c>
      <c r="F15" s="700"/>
      <c r="G15" s="700"/>
      <c r="H15" s="700"/>
      <c r="I15" s="700"/>
      <c r="J15" s="700"/>
      <c r="K15" s="700"/>
      <c r="L15" s="700"/>
      <c r="M15" s="700"/>
      <c r="N15" s="309"/>
      <c r="O15" s="309" t="s">
        <v>116</v>
      </c>
      <c r="P15" s="310" t="s">
        <v>117</v>
      </c>
      <c r="Q15" s="687"/>
      <c r="R15" s="687"/>
      <c r="S15" s="311" t="s">
        <v>143</v>
      </c>
      <c r="T15" s="309"/>
      <c r="U15" s="279"/>
      <c r="V15" s="279"/>
      <c r="W15" s="664">
        <f t="shared" si="0"/>
        <v>0</v>
      </c>
      <c r="X15" s="664"/>
      <c r="Y15" s="664"/>
      <c r="Z15" s="665"/>
      <c r="AB15" s="663">
        <v>0</v>
      </c>
      <c r="AC15" s="664"/>
      <c r="AD15" s="665"/>
      <c r="AF15" s="663">
        <f t="shared" si="1"/>
        <v>0</v>
      </c>
      <c r="AG15" s="664"/>
      <c r="AH15" s="665"/>
    </row>
    <row r="16" spans="2:77" s="51" customFormat="1" ht="20" customHeight="1" x14ac:dyDescent="0.15">
      <c r="C16" s="757">
        <v>155</v>
      </c>
      <c r="D16" s="419"/>
      <c r="E16" s="700" t="s">
        <v>41</v>
      </c>
      <c r="F16" s="700"/>
      <c r="G16" s="700"/>
      <c r="H16" s="700"/>
      <c r="I16" s="700"/>
      <c r="J16" s="700"/>
      <c r="K16" s="700"/>
      <c r="L16" s="700"/>
      <c r="M16" s="700"/>
      <c r="N16" s="309"/>
      <c r="O16" s="309" t="s">
        <v>116</v>
      </c>
      <c r="P16" s="310" t="s">
        <v>117</v>
      </c>
      <c r="Q16" s="687"/>
      <c r="R16" s="687"/>
      <c r="S16" s="311" t="s">
        <v>143</v>
      </c>
      <c r="T16" s="309"/>
      <c r="U16" s="279"/>
      <c r="V16" s="279"/>
      <c r="W16" s="664">
        <f t="shared" si="0"/>
        <v>0</v>
      </c>
      <c r="X16" s="664"/>
      <c r="Y16" s="664"/>
      <c r="Z16" s="665"/>
      <c r="AB16" s="663">
        <v>0</v>
      </c>
      <c r="AC16" s="664"/>
      <c r="AD16" s="665"/>
      <c r="AF16" s="663">
        <f t="shared" si="1"/>
        <v>0</v>
      </c>
      <c r="AG16" s="664"/>
      <c r="AH16" s="665"/>
    </row>
    <row r="17" spans="3:55" s="51" customFormat="1" ht="20" customHeight="1" x14ac:dyDescent="0.15">
      <c r="C17" s="757">
        <v>156</v>
      </c>
      <c r="D17" s="419"/>
      <c r="E17" s="700" t="s">
        <v>42</v>
      </c>
      <c r="F17" s="700"/>
      <c r="G17" s="700"/>
      <c r="H17" s="700"/>
      <c r="I17" s="700"/>
      <c r="J17" s="700"/>
      <c r="K17" s="700"/>
      <c r="L17" s="700"/>
      <c r="M17" s="700"/>
      <c r="N17" s="309"/>
      <c r="O17" s="309" t="s">
        <v>142</v>
      </c>
      <c r="P17" s="310" t="s">
        <v>117</v>
      </c>
      <c r="Q17" s="687"/>
      <c r="R17" s="687"/>
      <c r="S17" s="311" t="s">
        <v>143</v>
      </c>
      <c r="T17" s="309"/>
      <c r="U17" s="279"/>
      <c r="V17" s="279"/>
      <c r="W17" s="664">
        <f t="shared" si="0"/>
        <v>0</v>
      </c>
      <c r="X17" s="664"/>
      <c r="Y17" s="664"/>
      <c r="Z17" s="665"/>
      <c r="AB17" s="663">
        <v>0</v>
      </c>
      <c r="AC17" s="664"/>
      <c r="AD17" s="665"/>
      <c r="AF17" s="663">
        <f t="shared" si="1"/>
        <v>0</v>
      </c>
      <c r="AG17" s="664"/>
      <c r="AH17" s="665"/>
    </row>
    <row r="18" spans="3:55" s="51" customFormat="1" ht="20" customHeight="1" x14ac:dyDescent="0.15">
      <c r="C18" s="757">
        <v>157</v>
      </c>
      <c r="D18" s="419"/>
      <c r="E18" s="700" t="s">
        <v>43</v>
      </c>
      <c r="F18" s="700"/>
      <c r="G18" s="700"/>
      <c r="H18" s="700"/>
      <c r="I18" s="700"/>
      <c r="J18" s="700"/>
      <c r="K18" s="700"/>
      <c r="L18" s="700"/>
      <c r="M18" s="700"/>
      <c r="N18" s="309"/>
      <c r="O18" s="309" t="s">
        <v>116</v>
      </c>
      <c r="P18" s="310" t="s">
        <v>117</v>
      </c>
      <c r="Q18" s="687"/>
      <c r="R18" s="687"/>
      <c r="S18" s="311" t="s">
        <v>143</v>
      </c>
      <c r="T18" s="309"/>
      <c r="U18" s="279"/>
      <c r="V18" s="279"/>
      <c r="W18" s="664">
        <f t="shared" si="0"/>
        <v>0</v>
      </c>
      <c r="X18" s="664"/>
      <c r="Y18" s="664"/>
      <c r="Z18" s="665"/>
      <c r="AB18" s="663">
        <v>0</v>
      </c>
      <c r="AC18" s="664"/>
      <c r="AD18" s="665"/>
      <c r="AF18" s="663">
        <f t="shared" si="1"/>
        <v>0</v>
      </c>
      <c r="AG18" s="664"/>
      <c r="AH18" s="665"/>
    </row>
    <row r="19" spans="3:55" s="51" customFormat="1" ht="20" customHeight="1" x14ac:dyDescent="0.15">
      <c r="C19" s="757">
        <v>158</v>
      </c>
      <c r="D19" s="419"/>
      <c r="E19" s="700" t="s">
        <v>44</v>
      </c>
      <c r="F19" s="700"/>
      <c r="G19" s="700"/>
      <c r="H19" s="700"/>
      <c r="I19" s="700"/>
      <c r="J19" s="700"/>
      <c r="K19" s="700"/>
      <c r="L19" s="700"/>
      <c r="M19" s="700"/>
      <c r="N19" s="309"/>
      <c r="O19" s="309" t="s">
        <v>142</v>
      </c>
      <c r="P19" s="310" t="s">
        <v>117</v>
      </c>
      <c r="Q19" s="687"/>
      <c r="R19" s="687"/>
      <c r="S19" s="311" t="s">
        <v>143</v>
      </c>
      <c r="T19" s="309"/>
      <c r="U19" s="279"/>
      <c r="V19" s="279"/>
      <c r="W19" s="664">
        <f t="shared" si="0"/>
        <v>0</v>
      </c>
      <c r="X19" s="664"/>
      <c r="Y19" s="664"/>
      <c r="Z19" s="665"/>
      <c r="AB19" s="663">
        <v>0</v>
      </c>
      <c r="AC19" s="664"/>
      <c r="AD19" s="665"/>
      <c r="AF19" s="663">
        <f t="shared" si="1"/>
        <v>0</v>
      </c>
      <c r="AG19" s="664"/>
      <c r="AH19" s="665"/>
    </row>
    <row r="20" spans="3:55" s="51" customFormat="1" ht="20" customHeight="1" x14ac:dyDescent="0.15">
      <c r="C20" s="757">
        <v>159</v>
      </c>
      <c r="D20" s="419"/>
      <c r="E20" s="700" t="s">
        <v>45</v>
      </c>
      <c r="F20" s="700"/>
      <c r="G20" s="700"/>
      <c r="H20" s="700"/>
      <c r="I20" s="700"/>
      <c r="J20" s="700"/>
      <c r="K20" s="700"/>
      <c r="L20" s="700"/>
      <c r="M20" s="700"/>
      <c r="N20" s="309"/>
      <c r="O20" s="309" t="s">
        <v>116</v>
      </c>
      <c r="P20" s="310" t="s">
        <v>117</v>
      </c>
      <c r="Q20" s="687"/>
      <c r="R20" s="687"/>
      <c r="S20" s="311" t="s">
        <v>143</v>
      </c>
      <c r="T20" s="309"/>
      <c r="U20" s="279"/>
      <c r="V20" s="279"/>
      <c r="W20" s="664">
        <f t="shared" si="0"/>
        <v>0</v>
      </c>
      <c r="X20" s="664"/>
      <c r="Y20" s="664"/>
      <c r="Z20" s="665"/>
      <c r="AB20" s="663">
        <v>0</v>
      </c>
      <c r="AC20" s="664"/>
      <c r="AD20" s="665"/>
      <c r="AF20" s="663">
        <f t="shared" si="1"/>
        <v>0</v>
      </c>
      <c r="AG20" s="664"/>
      <c r="AH20" s="665"/>
    </row>
    <row r="21" spans="3:55" s="51" customFormat="1" ht="20" customHeight="1" x14ac:dyDescent="0.15">
      <c r="C21" s="757">
        <v>160</v>
      </c>
      <c r="D21" s="419"/>
      <c r="E21" s="700" t="s">
        <v>321</v>
      </c>
      <c r="F21" s="700"/>
      <c r="G21" s="700"/>
      <c r="H21" s="700"/>
      <c r="I21" s="700"/>
      <c r="J21" s="700"/>
      <c r="K21" s="700"/>
      <c r="L21" s="700"/>
      <c r="M21" s="700"/>
      <c r="N21" s="309"/>
      <c r="O21" s="309" t="s">
        <v>116</v>
      </c>
      <c r="P21" s="310" t="s">
        <v>117</v>
      </c>
      <c r="Q21" s="687">
        <v>1222</v>
      </c>
      <c r="R21" s="687"/>
      <c r="S21" s="311" t="s">
        <v>143</v>
      </c>
      <c r="T21" s="309"/>
      <c r="U21" s="279"/>
      <c r="V21" s="279"/>
      <c r="W21" s="664">
        <f t="shared" si="0"/>
        <v>0</v>
      </c>
      <c r="X21" s="664"/>
      <c r="Y21" s="664"/>
      <c r="Z21" s="665"/>
      <c r="AB21" s="663">
        <v>0</v>
      </c>
      <c r="AC21" s="664"/>
      <c r="AD21" s="665"/>
      <c r="AF21" s="663">
        <f t="shared" si="1"/>
        <v>0</v>
      </c>
      <c r="AG21" s="664"/>
      <c r="AH21" s="665"/>
    </row>
    <row r="22" spans="3:55" s="51" customFormat="1" ht="20" customHeight="1" x14ac:dyDescent="0.15">
      <c r="C22" s="757">
        <v>161</v>
      </c>
      <c r="D22" s="419"/>
      <c r="E22" s="700" t="s">
        <v>46</v>
      </c>
      <c r="F22" s="700"/>
      <c r="G22" s="700"/>
      <c r="H22" s="700"/>
      <c r="I22" s="700"/>
      <c r="J22" s="700"/>
      <c r="K22" s="700"/>
      <c r="L22" s="700"/>
      <c r="M22" s="700"/>
      <c r="N22" s="309"/>
      <c r="O22" s="309" t="s">
        <v>116</v>
      </c>
      <c r="P22" s="310" t="s">
        <v>117</v>
      </c>
      <c r="Q22" s="687"/>
      <c r="R22" s="687"/>
      <c r="S22" s="311" t="s">
        <v>143</v>
      </c>
      <c r="T22" s="309"/>
      <c r="U22" s="279"/>
      <c r="V22" s="279"/>
      <c r="W22" s="664">
        <f t="shared" si="0"/>
        <v>0</v>
      </c>
      <c r="X22" s="664"/>
      <c r="Y22" s="664"/>
      <c r="Z22" s="665"/>
      <c r="AB22" s="663">
        <v>0</v>
      </c>
      <c r="AC22" s="664"/>
      <c r="AD22" s="665"/>
      <c r="AF22" s="663">
        <f t="shared" si="1"/>
        <v>0</v>
      </c>
      <c r="AG22" s="664"/>
      <c r="AH22" s="665"/>
    </row>
    <row r="23" spans="3:55" s="51" customFormat="1" ht="20" customHeight="1" x14ac:dyDescent="0.15">
      <c r="C23" s="757">
        <v>162</v>
      </c>
      <c r="D23" s="419"/>
      <c r="E23" s="700" t="s">
        <v>47</v>
      </c>
      <c r="F23" s="700"/>
      <c r="G23" s="700"/>
      <c r="H23" s="700"/>
      <c r="I23" s="700"/>
      <c r="J23" s="700"/>
      <c r="K23" s="700"/>
      <c r="L23" s="700"/>
      <c r="M23" s="700"/>
      <c r="N23" s="309"/>
      <c r="O23" s="309" t="s">
        <v>116</v>
      </c>
      <c r="P23" s="310" t="s">
        <v>117</v>
      </c>
      <c r="Q23" s="687"/>
      <c r="R23" s="687"/>
      <c r="S23" s="311" t="s">
        <v>143</v>
      </c>
      <c r="T23" s="309"/>
      <c r="U23" s="279"/>
      <c r="V23" s="279"/>
      <c r="W23" s="664">
        <f t="shared" si="0"/>
        <v>0</v>
      </c>
      <c r="X23" s="664"/>
      <c r="Y23" s="664"/>
      <c r="Z23" s="665"/>
      <c r="AB23" s="663">
        <v>0</v>
      </c>
      <c r="AC23" s="664"/>
      <c r="AD23" s="665"/>
      <c r="AF23" s="663">
        <f t="shared" si="1"/>
        <v>0</v>
      </c>
      <c r="AG23" s="664"/>
      <c r="AH23" s="665"/>
    </row>
    <row r="24" spans="3:55" s="51" customFormat="1" ht="20" customHeight="1" x14ac:dyDescent="0.15">
      <c r="C24" s="757">
        <v>163</v>
      </c>
      <c r="D24" s="419"/>
      <c r="E24" s="700" t="s">
        <v>322</v>
      </c>
      <c r="F24" s="700"/>
      <c r="G24" s="700"/>
      <c r="H24" s="700"/>
      <c r="I24" s="700"/>
      <c r="J24" s="700"/>
      <c r="K24" s="700"/>
      <c r="L24" s="700"/>
      <c r="M24" s="700"/>
      <c r="N24" s="309"/>
      <c r="O24" s="309" t="s">
        <v>116</v>
      </c>
      <c r="P24" s="310" t="s">
        <v>117</v>
      </c>
      <c r="Q24" s="687"/>
      <c r="R24" s="687"/>
      <c r="S24" s="311" t="s">
        <v>143</v>
      </c>
      <c r="T24" s="309"/>
      <c r="U24" s="279"/>
      <c r="V24" s="279"/>
      <c r="W24" s="664">
        <f t="shared" si="0"/>
        <v>0</v>
      </c>
      <c r="X24" s="664"/>
      <c r="Y24" s="664"/>
      <c r="Z24" s="665"/>
      <c r="AB24" s="663">
        <v>0</v>
      </c>
      <c r="AC24" s="664"/>
      <c r="AD24" s="665"/>
      <c r="AF24" s="663">
        <f t="shared" si="1"/>
        <v>0</v>
      </c>
      <c r="AG24" s="664"/>
      <c r="AH24" s="665"/>
    </row>
    <row r="25" spans="3:55" s="51" customFormat="1" ht="20" customHeight="1" x14ac:dyDescent="0.15">
      <c r="C25" s="757">
        <v>164</v>
      </c>
      <c r="D25" s="419"/>
      <c r="E25" s="700" t="s">
        <v>323</v>
      </c>
      <c r="F25" s="700"/>
      <c r="G25" s="700"/>
      <c r="H25" s="700"/>
      <c r="I25" s="700"/>
      <c r="J25" s="700"/>
      <c r="K25" s="700"/>
      <c r="L25" s="700"/>
      <c r="M25" s="700"/>
      <c r="N25" s="309"/>
      <c r="O25" s="309" t="s">
        <v>116</v>
      </c>
      <c r="P25" s="310" t="s">
        <v>117</v>
      </c>
      <c r="Q25" s="687"/>
      <c r="R25" s="687"/>
      <c r="S25" s="311" t="s">
        <v>143</v>
      </c>
      <c r="T25" s="309"/>
      <c r="U25" s="279"/>
      <c r="V25" s="279"/>
      <c r="W25" s="664">
        <f t="shared" si="0"/>
        <v>0</v>
      </c>
      <c r="X25" s="664"/>
      <c r="Y25" s="664"/>
      <c r="Z25" s="665"/>
      <c r="AB25" s="663">
        <v>0</v>
      </c>
      <c r="AC25" s="664"/>
      <c r="AD25" s="665"/>
      <c r="AF25" s="663">
        <f t="shared" si="1"/>
        <v>0</v>
      </c>
      <c r="AG25" s="664"/>
      <c r="AH25" s="665"/>
    </row>
    <row r="26" spans="3:55" s="51" customFormat="1" ht="20" customHeight="1" x14ac:dyDescent="0.15">
      <c r="C26" s="757">
        <v>165</v>
      </c>
      <c r="D26" s="419"/>
      <c r="E26" s="700" t="s">
        <v>324</v>
      </c>
      <c r="F26" s="700"/>
      <c r="G26" s="700"/>
      <c r="H26" s="700"/>
      <c r="I26" s="700"/>
      <c r="J26" s="700"/>
      <c r="K26" s="700"/>
      <c r="L26" s="700"/>
      <c r="M26" s="700"/>
      <c r="N26" s="309"/>
      <c r="O26" s="309" t="s">
        <v>116</v>
      </c>
      <c r="P26" s="310" t="s">
        <v>117</v>
      </c>
      <c r="Q26" s="687"/>
      <c r="R26" s="687"/>
      <c r="S26" s="311" t="s">
        <v>143</v>
      </c>
      <c r="T26" s="309"/>
      <c r="U26" s="279"/>
      <c r="V26" s="279"/>
      <c r="W26" s="664">
        <f t="shared" si="0"/>
        <v>0</v>
      </c>
      <c r="X26" s="664"/>
      <c r="Y26" s="664"/>
      <c r="Z26" s="665"/>
      <c r="AB26" s="663">
        <v>0</v>
      </c>
      <c r="AC26" s="664"/>
      <c r="AD26" s="665"/>
      <c r="AF26" s="663">
        <f t="shared" si="1"/>
        <v>0</v>
      </c>
      <c r="AG26" s="664"/>
      <c r="AH26" s="665"/>
    </row>
    <row r="27" spans="3:55" s="51" customFormat="1" ht="20" customHeight="1" x14ac:dyDescent="0.15">
      <c r="C27" s="757">
        <v>166</v>
      </c>
      <c r="D27" s="419"/>
      <c r="E27" s="700" t="s">
        <v>48</v>
      </c>
      <c r="F27" s="700"/>
      <c r="G27" s="700"/>
      <c r="H27" s="700"/>
      <c r="I27" s="700"/>
      <c r="J27" s="700"/>
      <c r="K27" s="700"/>
      <c r="L27" s="700"/>
      <c r="M27" s="700"/>
      <c r="N27" s="309"/>
      <c r="O27" s="309" t="s">
        <v>116</v>
      </c>
      <c r="P27" s="310" t="s">
        <v>117</v>
      </c>
      <c r="Q27" s="687"/>
      <c r="R27" s="687"/>
      <c r="S27" s="311" t="s">
        <v>143</v>
      </c>
      <c r="T27" s="309"/>
      <c r="U27" s="279"/>
      <c r="V27" s="279"/>
      <c r="W27" s="664">
        <f t="shared" si="0"/>
        <v>0</v>
      </c>
      <c r="X27" s="664"/>
      <c r="Y27" s="664"/>
      <c r="Z27" s="665"/>
      <c r="AB27" s="663">
        <v>0</v>
      </c>
      <c r="AC27" s="664"/>
      <c r="AD27" s="665"/>
      <c r="AF27" s="663">
        <f t="shared" si="1"/>
        <v>0</v>
      </c>
      <c r="AG27" s="664"/>
      <c r="AH27" s="665"/>
    </row>
    <row r="28" spans="3:55" s="51" customFormat="1" ht="20" customHeight="1" x14ac:dyDescent="0.15">
      <c r="C28" s="757">
        <v>167</v>
      </c>
      <c r="D28" s="419"/>
      <c r="E28" s="700" t="s">
        <v>325</v>
      </c>
      <c r="F28" s="700"/>
      <c r="G28" s="700"/>
      <c r="H28" s="700"/>
      <c r="I28" s="700"/>
      <c r="J28" s="700"/>
      <c r="K28" s="700"/>
      <c r="L28" s="700"/>
      <c r="M28" s="700"/>
      <c r="N28" s="309"/>
      <c r="O28" s="309" t="s">
        <v>116</v>
      </c>
      <c r="P28" s="310" t="s">
        <v>117</v>
      </c>
      <c r="Q28" s="687"/>
      <c r="R28" s="687"/>
      <c r="S28" s="311" t="s">
        <v>143</v>
      </c>
      <c r="T28" s="309"/>
      <c r="U28" s="279"/>
      <c r="V28" s="279"/>
      <c r="W28" s="664">
        <f t="shared" si="0"/>
        <v>0</v>
      </c>
      <c r="X28" s="664"/>
      <c r="Y28" s="664"/>
      <c r="Z28" s="665"/>
      <c r="AB28" s="663">
        <v>0</v>
      </c>
      <c r="AC28" s="664"/>
      <c r="AD28" s="665"/>
      <c r="AF28" s="663">
        <f t="shared" si="1"/>
        <v>0</v>
      </c>
      <c r="AG28" s="664"/>
      <c r="AH28" s="665"/>
    </row>
    <row r="29" spans="3:55" s="322" customFormat="1" ht="20" customHeight="1" x14ac:dyDescent="0.2">
      <c r="C29" s="389"/>
      <c r="D29" s="389"/>
      <c r="E29" s="389"/>
      <c r="F29" s="389"/>
      <c r="G29" s="389"/>
      <c r="H29" s="389"/>
      <c r="I29" s="389"/>
      <c r="J29" s="389"/>
      <c r="K29" s="389"/>
      <c r="L29" s="389"/>
      <c r="M29" s="389"/>
      <c r="N29" s="389"/>
      <c r="O29" s="654" t="s">
        <v>130</v>
      </c>
      <c r="P29" s="654"/>
      <c r="Q29" s="654"/>
      <c r="R29" s="654"/>
      <c r="S29" s="654"/>
      <c r="T29" s="654"/>
      <c r="U29" s="654"/>
      <c r="V29" s="655"/>
      <c r="W29" s="658">
        <f>SUM(W12:Z28)</f>
        <v>0</v>
      </c>
      <c r="X29" s="659"/>
      <c r="Y29" s="659"/>
      <c r="Z29" s="660"/>
      <c r="AB29" s="658">
        <f>SUM(AB12:AD28)</f>
        <v>0</v>
      </c>
      <c r="AC29" s="659"/>
      <c r="AD29" s="660"/>
      <c r="AF29" s="714">
        <f t="shared" si="1"/>
        <v>0</v>
      </c>
      <c r="AG29" s="715"/>
      <c r="AH29" s="716"/>
    </row>
    <row r="30" spans="3:55" ht="16.25" customHeight="1" x14ac:dyDescent="0.2">
      <c r="C30" s="9"/>
      <c r="D30" s="10"/>
      <c r="E30" s="10"/>
      <c r="F30" s="11"/>
      <c r="G30" s="11"/>
      <c r="H30" s="11"/>
      <c r="I30" s="11"/>
      <c r="J30" s="11"/>
      <c r="K30" s="11"/>
      <c r="L30" s="11"/>
      <c r="M30" s="11"/>
      <c r="N30" s="10"/>
      <c r="O30" s="10"/>
      <c r="P30" s="10"/>
      <c r="Q30" s="43"/>
      <c r="R30" s="43"/>
      <c r="S30" s="10"/>
      <c r="T30" s="10"/>
      <c r="U30" s="10"/>
      <c r="V30" s="10"/>
      <c r="W30" s="10"/>
      <c r="X30" s="26"/>
      <c r="Y30" s="26"/>
      <c r="Z30" s="26"/>
      <c r="AB30" s="26"/>
      <c r="AC30" s="26"/>
      <c r="AD30" s="26"/>
      <c r="AF30" s="26"/>
      <c r="AG30" s="26"/>
      <c r="AH30" s="26"/>
    </row>
    <row r="31" spans="3:55" s="323" customFormat="1" ht="20" customHeight="1" x14ac:dyDescent="0.2">
      <c r="C31" s="4" t="s">
        <v>264</v>
      </c>
      <c r="D31" s="5" t="s">
        <v>95</v>
      </c>
      <c r="E31" s="5"/>
      <c r="F31" s="349"/>
      <c r="G31" s="349"/>
      <c r="H31" s="349"/>
      <c r="I31" s="349"/>
      <c r="J31" s="349"/>
      <c r="K31" s="349"/>
      <c r="L31" s="349"/>
      <c r="M31" s="349"/>
      <c r="N31" s="349"/>
      <c r="O31" s="349"/>
      <c r="P31" s="349"/>
      <c r="Q31" s="350"/>
      <c r="R31" s="350"/>
      <c r="S31" s="349"/>
      <c r="T31" s="349"/>
      <c r="U31" s="349"/>
      <c r="V31" s="349"/>
      <c r="W31" s="706"/>
      <c r="X31" s="706"/>
      <c r="Y31" s="706"/>
      <c r="Z31" s="706"/>
      <c r="AB31" s="357"/>
      <c r="AC31" s="354"/>
      <c r="AD31" s="354"/>
      <c r="AF31" s="357"/>
      <c r="AG31" s="354"/>
      <c r="AH31" s="354"/>
      <c r="AJ31" s="739" t="s">
        <v>148</v>
      </c>
      <c r="AK31" s="740"/>
      <c r="AL31" s="740"/>
      <c r="AM31" s="740"/>
      <c r="AN31" s="740"/>
      <c r="AO31" s="740"/>
      <c r="AP31" s="407"/>
      <c r="AQ31" s="407"/>
      <c r="AR31" s="741" t="s">
        <v>857</v>
      </c>
      <c r="AS31" s="740"/>
      <c r="AT31" s="740"/>
      <c r="AU31" s="740"/>
      <c r="AV31" s="740"/>
      <c r="AW31" s="740"/>
    </row>
    <row r="32" spans="3:55" s="115" customFormat="1" ht="16.25" customHeight="1" x14ac:dyDescent="0.15">
      <c r="C32" s="159"/>
      <c r="D32" s="144"/>
      <c r="E32" s="666" t="s">
        <v>384</v>
      </c>
      <c r="F32" s="666"/>
      <c r="G32" s="666"/>
      <c r="H32" s="666"/>
      <c r="I32" s="666"/>
      <c r="J32" s="666"/>
      <c r="K32" s="666"/>
      <c r="L32" s="666"/>
      <c r="M32" s="666"/>
      <c r="N32" s="668" t="s">
        <v>375</v>
      </c>
      <c r="O32" s="668"/>
      <c r="P32" s="145"/>
      <c r="Q32" s="693" t="s">
        <v>220</v>
      </c>
      <c r="R32" s="693"/>
      <c r="S32" s="145"/>
      <c r="T32" s="145"/>
      <c r="U32" s="758" t="s">
        <v>144</v>
      </c>
      <c r="V32" s="758"/>
      <c r="W32" s="689" t="s">
        <v>370</v>
      </c>
      <c r="X32" s="689"/>
      <c r="Y32" s="689"/>
      <c r="Z32" s="690"/>
      <c r="AB32" s="670" t="s">
        <v>363</v>
      </c>
      <c r="AC32" s="671"/>
      <c r="AD32" s="672"/>
      <c r="AF32" s="670" t="s">
        <v>447</v>
      </c>
      <c r="AG32" s="671"/>
      <c r="AH32" s="672"/>
      <c r="AJ32" s="749" t="s">
        <v>147</v>
      </c>
      <c r="AK32" s="750"/>
      <c r="AL32" s="749" t="s">
        <v>221</v>
      </c>
      <c r="AM32" s="750"/>
      <c r="AN32" s="749" t="s">
        <v>856</v>
      </c>
      <c r="AO32" s="750"/>
      <c r="AP32" s="742" t="s">
        <v>89</v>
      </c>
      <c r="AQ32" s="743"/>
      <c r="AR32" s="742" t="s">
        <v>353</v>
      </c>
      <c r="AS32" s="743"/>
      <c r="AT32" s="742" t="s">
        <v>858</v>
      </c>
      <c r="AU32" s="743"/>
      <c r="AV32" s="742" t="s">
        <v>858</v>
      </c>
      <c r="AW32" s="743"/>
      <c r="AX32" s="110"/>
      <c r="AY32" s="110"/>
      <c r="AZ32" s="110"/>
      <c r="BA32" s="110"/>
      <c r="BB32" s="110"/>
      <c r="BC32" s="110"/>
    </row>
    <row r="33" spans="3:55" s="115" customFormat="1" ht="16.25" customHeight="1" x14ac:dyDescent="0.15">
      <c r="C33" s="160"/>
      <c r="D33" s="147"/>
      <c r="E33" s="667"/>
      <c r="F33" s="667"/>
      <c r="G33" s="667"/>
      <c r="H33" s="667"/>
      <c r="I33" s="667"/>
      <c r="J33" s="667"/>
      <c r="K33" s="667"/>
      <c r="L33" s="667"/>
      <c r="M33" s="667"/>
      <c r="N33" s="669"/>
      <c r="O33" s="669"/>
      <c r="P33" s="148"/>
      <c r="Q33" s="694"/>
      <c r="R33" s="694"/>
      <c r="S33" s="161"/>
      <c r="T33" s="148"/>
      <c r="U33" s="149">
        <v>1.5</v>
      </c>
      <c r="V33" s="149">
        <v>2</v>
      </c>
      <c r="W33" s="691"/>
      <c r="X33" s="691"/>
      <c r="Y33" s="691"/>
      <c r="Z33" s="692"/>
      <c r="AB33" s="673"/>
      <c r="AC33" s="674"/>
      <c r="AD33" s="675"/>
      <c r="AF33" s="673"/>
      <c r="AG33" s="674"/>
      <c r="AH33" s="675"/>
      <c r="AJ33" s="753" t="s">
        <v>223</v>
      </c>
      <c r="AK33" s="754"/>
      <c r="AL33" s="753" t="s">
        <v>220</v>
      </c>
      <c r="AM33" s="754"/>
      <c r="AN33" s="753" t="s">
        <v>220</v>
      </c>
      <c r="AO33" s="754"/>
      <c r="AP33" s="744" t="s">
        <v>220</v>
      </c>
      <c r="AQ33" s="745"/>
      <c r="AR33" s="744" t="s">
        <v>222</v>
      </c>
      <c r="AS33" s="745"/>
      <c r="AT33" s="744" t="s">
        <v>859</v>
      </c>
      <c r="AU33" s="745"/>
      <c r="AV33" s="744" t="s">
        <v>807</v>
      </c>
      <c r="AW33" s="745"/>
      <c r="AX33" s="110"/>
      <c r="AY33" s="110"/>
      <c r="AZ33" s="110"/>
      <c r="BA33" s="110"/>
      <c r="BB33" s="110"/>
      <c r="BC33" s="110"/>
    </row>
    <row r="34" spans="3:55" s="51" customFormat="1" ht="20" customHeight="1" x14ac:dyDescent="0.15">
      <c r="C34" s="757">
        <v>168</v>
      </c>
      <c r="D34" s="419"/>
      <c r="E34" s="760" t="s">
        <v>377</v>
      </c>
      <c r="F34" s="760"/>
      <c r="G34" s="760"/>
      <c r="H34" s="760"/>
      <c r="I34" s="760"/>
      <c r="J34" s="760"/>
      <c r="K34" s="760"/>
      <c r="L34" s="760"/>
      <c r="M34" s="760"/>
      <c r="N34" s="309"/>
      <c r="O34" s="309" t="s">
        <v>116</v>
      </c>
      <c r="P34" s="310" t="s">
        <v>117</v>
      </c>
      <c r="Q34" s="687">
        <v>1000</v>
      </c>
      <c r="R34" s="687"/>
      <c r="S34" s="311" t="s">
        <v>143</v>
      </c>
      <c r="T34" s="309"/>
      <c r="U34" s="309"/>
      <c r="V34" s="309"/>
      <c r="W34" s="664">
        <f t="shared" ref="W34:W46" si="2">IF(ISNUMBER(N34),(N34*Q34*IF(ISNUMBER(T34),T34,1)+(IFERROR(U34*(Q34/AJ34)*1.5,0))+(IFERROR(V34*(Q34/AJ34)*2,0))),0)</f>
        <v>0</v>
      </c>
      <c r="X34" s="664"/>
      <c r="Y34" s="664"/>
      <c r="Z34" s="665"/>
      <c r="AB34" s="663">
        <v>0</v>
      </c>
      <c r="AC34" s="664"/>
      <c r="AD34" s="665"/>
      <c r="AF34" s="663">
        <f t="shared" ref="AF34:AF49" si="3">AB34-W34</f>
        <v>0</v>
      </c>
      <c r="AG34" s="664"/>
      <c r="AH34" s="665"/>
      <c r="AJ34" s="681">
        <v>10</v>
      </c>
      <c r="AK34" s="682"/>
      <c r="AL34" s="679">
        <f t="shared" ref="AL34:AL46" si="4">IFERROR(Q34/(AJ34+((AJ34-HourlyState_G)*0.5)),0)</f>
        <v>66.666666666666671</v>
      </c>
      <c r="AM34" s="680"/>
      <c r="AN34" s="679">
        <f t="shared" ref="AN34:AN41" si="5">AL34*1.5</f>
        <v>100</v>
      </c>
      <c r="AO34" s="680"/>
      <c r="AP34" s="755">
        <v>0</v>
      </c>
      <c r="AQ34" s="756"/>
      <c r="AR34" s="713">
        <v>0</v>
      </c>
      <c r="AS34" s="713"/>
      <c r="AT34" s="696">
        <f t="shared" ref="AT34:AT46" si="6">AL34*HourlyState_G</f>
        <v>0</v>
      </c>
      <c r="AU34" s="697"/>
      <c r="AV34" s="696">
        <f t="shared" ref="AV34:AV46" si="7">(AJ34-HourlyState_G)*AN34</f>
        <v>1000</v>
      </c>
      <c r="AW34" s="697"/>
    </row>
    <row r="35" spans="3:55" s="51" customFormat="1" ht="20" customHeight="1" x14ac:dyDescent="0.15">
      <c r="C35" s="757">
        <v>169</v>
      </c>
      <c r="D35" s="419"/>
      <c r="E35" s="759"/>
      <c r="F35" s="759"/>
      <c r="G35" s="759"/>
      <c r="H35" s="759"/>
      <c r="I35" s="759"/>
      <c r="J35" s="759"/>
      <c r="K35" s="759"/>
      <c r="L35" s="759"/>
      <c r="M35" s="759"/>
      <c r="N35" s="309"/>
      <c r="O35" s="309" t="s">
        <v>116</v>
      </c>
      <c r="P35" s="310" t="s">
        <v>117</v>
      </c>
      <c r="Q35" s="687"/>
      <c r="R35" s="687"/>
      <c r="S35" s="311" t="s">
        <v>143</v>
      </c>
      <c r="T35" s="309"/>
      <c r="U35" s="309"/>
      <c r="V35" s="309"/>
      <c r="W35" s="664">
        <f t="shared" si="2"/>
        <v>0</v>
      </c>
      <c r="X35" s="664"/>
      <c r="Y35" s="664"/>
      <c r="Z35" s="665"/>
      <c r="AB35" s="663">
        <v>0</v>
      </c>
      <c r="AC35" s="664"/>
      <c r="AD35" s="665"/>
      <c r="AF35" s="663">
        <f t="shared" si="3"/>
        <v>0</v>
      </c>
      <c r="AG35" s="664"/>
      <c r="AH35" s="665"/>
      <c r="AJ35" s="681">
        <v>12</v>
      </c>
      <c r="AK35" s="682"/>
      <c r="AL35" s="679">
        <f t="shared" si="4"/>
        <v>0</v>
      </c>
      <c r="AM35" s="680"/>
      <c r="AN35" s="679">
        <f t="shared" si="5"/>
        <v>0</v>
      </c>
      <c r="AO35" s="680"/>
      <c r="AP35" s="751"/>
      <c r="AQ35" s="752"/>
      <c r="AT35" s="696">
        <f t="shared" si="6"/>
        <v>0</v>
      </c>
      <c r="AU35" s="697"/>
      <c r="AV35" s="696">
        <f t="shared" si="7"/>
        <v>0</v>
      </c>
      <c r="AW35" s="697"/>
    </row>
    <row r="36" spans="3:55" s="51" customFormat="1" ht="20" customHeight="1" x14ac:dyDescent="0.15">
      <c r="C36" s="757">
        <v>170</v>
      </c>
      <c r="D36" s="419"/>
      <c r="E36" s="700" t="s">
        <v>49</v>
      </c>
      <c r="F36" s="700"/>
      <c r="G36" s="700"/>
      <c r="H36" s="700"/>
      <c r="I36" s="700"/>
      <c r="J36" s="700"/>
      <c r="K36" s="700"/>
      <c r="L36" s="700"/>
      <c r="M36" s="700"/>
      <c r="N36" s="309"/>
      <c r="O36" s="309" t="s">
        <v>116</v>
      </c>
      <c r="P36" s="310" t="s">
        <v>117</v>
      </c>
      <c r="Q36" s="687"/>
      <c r="R36" s="687"/>
      <c r="S36" s="311" t="s">
        <v>143</v>
      </c>
      <c r="T36" s="309"/>
      <c r="U36" s="309"/>
      <c r="V36" s="309"/>
      <c r="W36" s="664">
        <f t="shared" si="2"/>
        <v>0</v>
      </c>
      <c r="X36" s="664"/>
      <c r="Y36" s="664"/>
      <c r="Z36" s="665"/>
      <c r="AB36" s="663">
        <v>0</v>
      </c>
      <c r="AC36" s="664"/>
      <c r="AD36" s="665"/>
      <c r="AF36" s="663">
        <f t="shared" si="3"/>
        <v>0</v>
      </c>
      <c r="AG36" s="664"/>
      <c r="AH36" s="665"/>
      <c r="AJ36" s="681">
        <v>12</v>
      </c>
      <c r="AK36" s="682"/>
      <c r="AL36" s="679">
        <f t="shared" si="4"/>
        <v>0</v>
      </c>
      <c r="AM36" s="680"/>
      <c r="AN36" s="679">
        <f t="shared" si="5"/>
        <v>0</v>
      </c>
      <c r="AO36" s="680"/>
      <c r="AP36" s="676"/>
      <c r="AQ36" s="461"/>
      <c r="AT36" s="696">
        <f t="shared" si="6"/>
        <v>0</v>
      </c>
      <c r="AU36" s="697"/>
      <c r="AV36" s="696">
        <f t="shared" si="7"/>
        <v>0</v>
      </c>
      <c r="AW36" s="697"/>
    </row>
    <row r="37" spans="3:55" s="51" customFormat="1" ht="20" customHeight="1" x14ac:dyDescent="0.15">
      <c r="C37" s="757">
        <v>171</v>
      </c>
      <c r="D37" s="419"/>
      <c r="E37" s="700" t="s">
        <v>50</v>
      </c>
      <c r="F37" s="700"/>
      <c r="G37" s="700"/>
      <c r="H37" s="700"/>
      <c r="I37" s="700"/>
      <c r="J37" s="700"/>
      <c r="K37" s="700"/>
      <c r="L37" s="700"/>
      <c r="M37" s="700"/>
      <c r="N37" s="309"/>
      <c r="O37" s="309" t="s">
        <v>116</v>
      </c>
      <c r="P37" s="310" t="s">
        <v>117</v>
      </c>
      <c r="Q37" s="687">
        <v>1111</v>
      </c>
      <c r="R37" s="687"/>
      <c r="S37" s="311" t="s">
        <v>143</v>
      </c>
      <c r="T37" s="309"/>
      <c r="U37" s="309"/>
      <c r="V37" s="309"/>
      <c r="W37" s="664">
        <f t="shared" si="2"/>
        <v>0</v>
      </c>
      <c r="X37" s="664"/>
      <c r="Y37" s="664"/>
      <c r="Z37" s="665"/>
      <c r="AB37" s="663">
        <v>0</v>
      </c>
      <c r="AC37" s="664"/>
      <c r="AD37" s="665"/>
      <c r="AF37" s="663">
        <f t="shared" si="3"/>
        <v>0</v>
      </c>
      <c r="AG37" s="664"/>
      <c r="AH37" s="665"/>
      <c r="AJ37" s="681">
        <v>12</v>
      </c>
      <c r="AK37" s="682"/>
      <c r="AL37" s="679">
        <f t="shared" si="4"/>
        <v>61.722222222222221</v>
      </c>
      <c r="AM37" s="680"/>
      <c r="AN37" s="679">
        <f t="shared" si="5"/>
        <v>92.583333333333329</v>
      </c>
      <c r="AO37" s="680"/>
      <c r="AP37" s="676"/>
      <c r="AQ37" s="461"/>
      <c r="AT37" s="696">
        <f t="shared" si="6"/>
        <v>0</v>
      </c>
      <c r="AU37" s="697"/>
      <c r="AV37" s="696">
        <f t="shared" si="7"/>
        <v>1111</v>
      </c>
      <c r="AW37" s="697"/>
    </row>
    <row r="38" spans="3:55" s="51" customFormat="1" ht="20" customHeight="1" x14ac:dyDescent="0.15">
      <c r="C38" s="757">
        <v>172</v>
      </c>
      <c r="D38" s="419"/>
      <c r="E38" s="700" t="s">
        <v>51</v>
      </c>
      <c r="F38" s="700"/>
      <c r="G38" s="700"/>
      <c r="H38" s="700"/>
      <c r="I38" s="700"/>
      <c r="J38" s="700"/>
      <c r="K38" s="700"/>
      <c r="L38" s="700"/>
      <c r="M38" s="700"/>
      <c r="N38" s="309"/>
      <c r="O38" s="309" t="s">
        <v>116</v>
      </c>
      <c r="P38" s="310" t="s">
        <v>117</v>
      </c>
      <c r="Q38" s="687"/>
      <c r="R38" s="687"/>
      <c r="S38" s="311" t="s">
        <v>143</v>
      </c>
      <c r="T38" s="309"/>
      <c r="U38" s="309"/>
      <c r="V38" s="309"/>
      <c r="W38" s="664">
        <f t="shared" si="2"/>
        <v>0</v>
      </c>
      <c r="X38" s="664"/>
      <c r="Y38" s="664"/>
      <c r="Z38" s="665"/>
      <c r="AB38" s="663">
        <v>0</v>
      </c>
      <c r="AC38" s="664"/>
      <c r="AD38" s="665"/>
      <c r="AF38" s="663">
        <f t="shared" si="3"/>
        <v>0</v>
      </c>
      <c r="AG38" s="664"/>
      <c r="AH38" s="665"/>
      <c r="AJ38" s="681">
        <v>12</v>
      </c>
      <c r="AK38" s="682"/>
      <c r="AL38" s="679">
        <f t="shared" si="4"/>
        <v>0</v>
      </c>
      <c r="AM38" s="680"/>
      <c r="AN38" s="679">
        <f t="shared" si="5"/>
        <v>0</v>
      </c>
      <c r="AO38" s="680"/>
      <c r="AP38" s="676"/>
      <c r="AQ38" s="461"/>
      <c r="AT38" s="696">
        <f t="shared" si="6"/>
        <v>0</v>
      </c>
      <c r="AU38" s="697"/>
      <c r="AV38" s="696">
        <f t="shared" si="7"/>
        <v>0</v>
      </c>
      <c r="AW38" s="697"/>
    </row>
    <row r="39" spans="3:55" s="51" customFormat="1" ht="20" customHeight="1" x14ac:dyDescent="0.15">
      <c r="C39" s="757">
        <v>173</v>
      </c>
      <c r="D39" s="419"/>
      <c r="E39" s="700" t="s">
        <v>3</v>
      </c>
      <c r="F39" s="700"/>
      <c r="G39" s="700"/>
      <c r="H39" s="700"/>
      <c r="I39" s="700"/>
      <c r="J39" s="700"/>
      <c r="K39" s="700"/>
      <c r="L39" s="700"/>
      <c r="M39" s="700"/>
      <c r="N39" s="309"/>
      <c r="O39" s="309" t="s">
        <v>116</v>
      </c>
      <c r="P39" s="310" t="s">
        <v>117</v>
      </c>
      <c r="Q39" s="687"/>
      <c r="R39" s="687"/>
      <c r="S39" s="311" t="s">
        <v>143</v>
      </c>
      <c r="T39" s="309"/>
      <c r="U39" s="309"/>
      <c r="V39" s="309"/>
      <c r="W39" s="664">
        <f t="shared" si="2"/>
        <v>0</v>
      </c>
      <c r="X39" s="664"/>
      <c r="Y39" s="664"/>
      <c r="Z39" s="665"/>
      <c r="AB39" s="663">
        <v>0</v>
      </c>
      <c r="AC39" s="664"/>
      <c r="AD39" s="665"/>
      <c r="AF39" s="663">
        <f t="shared" si="3"/>
        <v>0</v>
      </c>
      <c r="AG39" s="664"/>
      <c r="AH39" s="665"/>
      <c r="AJ39" s="681">
        <v>12</v>
      </c>
      <c r="AK39" s="682"/>
      <c r="AL39" s="679">
        <f t="shared" si="4"/>
        <v>0</v>
      </c>
      <c r="AM39" s="680"/>
      <c r="AN39" s="679">
        <f t="shared" si="5"/>
        <v>0</v>
      </c>
      <c r="AO39" s="680"/>
      <c r="AP39" s="676"/>
      <c r="AQ39" s="461"/>
      <c r="AT39" s="696">
        <f t="shared" si="6"/>
        <v>0</v>
      </c>
      <c r="AU39" s="697"/>
      <c r="AV39" s="696">
        <f t="shared" si="7"/>
        <v>0</v>
      </c>
      <c r="AW39" s="697"/>
    </row>
    <row r="40" spans="3:55" s="51" customFormat="1" ht="20" customHeight="1" x14ac:dyDescent="0.15">
      <c r="C40" s="757">
        <v>174</v>
      </c>
      <c r="D40" s="419"/>
      <c r="E40" s="700" t="s">
        <v>52</v>
      </c>
      <c r="F40" s="700"/>
      <c r="G40" s="700"/>
      <c r="H40" s="700"/>
      <c r="I40" s="700"/>
      <c r="J40" s="700"/>
      <c r="K40" s="700"/>
      <c r="L40" s="700"/>
      <c r="M40" s="700"/>
      <c r="N40" s="309"/>
      <c r="O40" s="309" t="s">
        <v>116</v>
      </c>
      <c r="P40" s="310" t="s">
        <v>117</v>
      </c>
      <c r="Q40" s="687"/>
      <c r="R40" s="687"/>
      <c r="S40" s="311" t="s">
        <v>143</v>
      </c>
      <c r="T40" s="309"/>
      <c r="U40" s="309"/>
      <c r="V40" s="309"/>
      <c r="W40" s="664">
        <f t="shared" si="2"/>
        <v>0</v>
      </c>
      <c r="X40" s="664"/>
      <c r="Y40" s="664"/>
      <c r="Z40" s="665"/>
      <c r="AB40" s="663">
        <v>0</v>
      </c>
      <c r="AC40" s="664"/>
      <c r="AD40" s="665"/>
      <c r="AF40" s="663">
        <f t="shared" si="3"/>
        <v>0</v>
      </c>
      <c r="AG40" s="664"/>
      <c r="AH40" s="665"/>
      <c r="AJ40" s="681">
        <v>12</v>
      </c>
      <c r="AK40" s="682"/>
      <c r="AL40" s="679">
        <f t="shared" si="4"/>
        <v>0</v>
      </c>
      <c r="AM40" s="680"/>
      <c r="AN40" s="679">
        <f t="shared" si="5"/>
        <v>0</v>
      </c>
      <c r="AO40" s="680"/>
      <c r="AP40" s="676"/>
      <c r="AQ40" s="461"/>
      <c r="AT40" s="696">
        <f t="shared" si="6"/>
        <v>0</v>
      </c>
      <c r="AU40" s="697"/>
      <c r="AV40" s="696">
        <f t="shared" si="7"/>
        <v>0</v>
      </c>
      <c r="AW40" s="697"/>
    </row>
    <row r="41" spans="3:55" s="51" customFormat="1" ht="20" customHeight="1" x14ac:dyDescent="0.15">
      <c r="C41" s="757">
        <v>175</v>
      </c>
      <c r="D41" s="419"/>
      <c r="E41" s="700" t="s">
        <v>53</v>
      </c>
      <c r="F41" s="700"/>
      <c r="G41" s="700"/>
      <c r="H41" s="700"/>
      <c r="I41" s="700"/>
      <c r="J41" s="700"/>
      <c r="K41" s="700"/>
      <c r="L41" s="700"/>
      <c r="M41" s="700"/>
      <c r="N41" s="309"/>
      <c r="O41" s="309" t="s">
        <v>116</v>
      </c>
      <c r="P41" s="310" t="s">
        <v>117</v>
      </c>
      <c r="Q41" s="687"/>
      <c r="R41" s="687"/>
      <c r="S41" s="311" t="s">
        <v>143</v>
      </c>
      <c r="T41" s="309"/>
      <c r="U41" s="309"/>
      <c r="V41" s="309"/>
      <c r="W41" s="664">
        <f t="shared" si="2"/>
        <v>0</v>
      </c>
      <c r="X41" s="664"/>
      <c r="Y41" s="664"/>
      <c r="Z41" s="665"/>
      <c r="AB41" s="663">
        <v>0</v>
      </c>
      <c r="AC41" s="664"/>
      <c r="AD41" s="665"/>
      <c r="AF41" s="663">
        <f t="shared" si="3"/>
        <v>0</v>
      </c>
      <c r="AG41" s="664"/>
      <c r="AH41" s="665"/>
      <c r="AJ41" s="681">
        <v>12</v>
      </c>
      <c r="AK41" s="682"/>
      <c r="AL41" s="679">
        <f t="shared" si="4"/>
        <v>0</v>
      </c>
      <c r="AM41" s="680"/>
      <c r="AN41" s="679">
        <f t="shared" si="5"/>
        <v>0</v>
      </c>
      <c r="AO41" s="680"/>
      <c r="AP41" s="676"/>
      <c r="AQ41" s="461"/>
      <c r="AT41" s="696">
        <f t="shared" si="6"/>
        <v>0</v>
      </c>
      <c r="AU41" s="697"/>
      <c r="AV41" s="696">
        <f t="shared" si="7"/>
        <v>0</v>
      </c>
      <c r="AW41" s="697"/>
    </row>
    <row r="42" spans="3:55" s="51" customFormat="1" ht="20" customHeight="1" x14ac:dyDescent="0.15">
      <c r="C42" s="757">
        <v>176</v>
      </c>
      <c r="D42" s="419"/>
      <c r="E42" s="700" t="s">
        <v>54</v>
      </c>
      <c r="F42" s="700"/>
      <c r="G42" s="700"/>
      <c r="H42" s="700"/>
      <c r="I42" s="700"/>
      <c r="J42" s="700"/>
      <c r="K42" s="700"/>
      <c r="L42" s="700"/>
      <c r="M42" s="700"/>
      <c r="N42" s="309"/>
      <c r="O42" s="309" t="s">
        <v>116</v>
      </c>
      <c r="P42" s="310" t="s">
        <v>117</v>
      </c>
      <c r="Q42" s="687"/>
      <c r="R42" s="687"/>
      <c r="S42" s="311" t="s">
        <v>143</v>
      </c>
      <c r="T42" s="309"/>
      <c r="U42" s="309"/>
      <c r="V42" s="309"/>
      <c r="W42" s="664">
        <f t="shared" si="2"/>
        <v>0</v>
      </c>
      <c r="X42" s="664"/>
      <c r="Y42" s="664"/>
      <c r="Z42" s="665"/>
      <c r="AB42" s="663">
        <v>0</v>
      </c>
      <c r="AC42" s="664"/>
      <c r="AD42" s="665"/>
      <c r="AF42" s="663">
        <f t="shared" si="3"/>
        <v>0</v>
      </c>
      <c r="AG42" s="664"/>
      <c r="AH42" s="665"/>
      <c r="AJ42" s="681">
        <v>12</v>
      </c>
      <c r="AK42" s="682"/>
      <c r="AL42" s="679">
        <f t="shared" si="4"/>
        <v>0</v>
      </c>
      <c r="AM42" s="680"/>
      <c r="AN42" s="679">
        <f>AL42*1.5</f>
        <v>0</v>
      </c>
      <c r="AO42" s="680"/>
      <c r="AP42" s="676"/>
      <c r="AQ42" s="461"/>
      <c r="AT42" s="696">
        <f t="shared" si="6"/>
        <v>0</v>
      </c>
      <c r="AU42" s="697"/>
      <c r="AV42" s="696">
        <f t="shared" si="7"/>
        <v>0</v>
      </c>
      <c r="AW42" s="697"/>
    </row>
    <row r="43" spans="3:55" s="51" customFormat="1" ht="20" customHeight="1" x14ac:dyDescent="0.15">
      <c r="C43" s="757">
        <v>177</v>
      </c>
      <c r="D43" s="419"/>
      <c r="E43" s="700" t="s">
        <v>110</v>
      </c>
      <c r="F43" s="700"/>
      <c r="G43" s="700"/>
      <c r="H43" s="700"/>
      <c r="I43" s="700"/>
      <c r="J43" s="700"/>
      <c r="K43" s="700"/>
      <c r="L43" s="700"/>
      <c r="M43" s="700"/>
      <c r="N43" s="309"/>
      <c r="O43" s="309" t="s">
        <v>116</v>
      </c>
      <c r="P43" s="310" t="s">
        <v>117</v>
      </c>
      <c r="Q43" s="687"/>
      <c r="R43" s="687"/>
      <c r="S43" s="311" t="s">
        <v>143</v>
      </c>
      <c r="T43" s="309"/>
      <c r="U43" s="309"/>
      <c r="V43" s="309"/>
      <c r="W43" s="664">
        <f t="shared" si="2"/>
        <v>0</v>
      </c>
      <c r="X43" s="664"/>
      <c r="Y43" s="664"/>
      <c r="Z43" s="665"/>
      <c r="AB43" s="663">
        <v>0</v>
      </c>
      <c r="AC43" s="664"/>
      <c r="AD43" s="665"/>
      <c r="AF43" s="663">
        <f t="shared" si="3"/>
        <v>0</v>
      </c>
      <c r="AG43" s="664"/>
      <c r="AH43" s="665"/>
      <c r="AJ43" s="681">
        <v>12</v>
      </c>
      <c r="AK43" s="682"/>
      <c r="AL43" s="679">
        <f t="shared" si="4"/>
        <v>0</v>
      </c>
      <c r="AM43" s="680"/>
      <c r="AN43" s="679">
        <f>AL43*1.5</f>
        <v>0</v>
      </c>
      <c r="AO43" s="680"/>
      <c r="AP43" s="676"/>
      <c r="AQ43" s="461"/>
      <c r="AT43" s="696">
        <f t="shared" si="6"/>
        <v>0</v>
      </c>
      <c r="AU43" s="697"/>
      <c r="AV43" s="696">
        <f t="shared" si="7"/>
        <v>0</v>
      </c>
      <c r="AW43" s="697"/>
    </row>
    <row r="44" spans="3:55" s="51" customFormat="1" ht="20" customHeight="1" x14ac:dyDescent="0.15">
      <c r="C44" s="757">
        <v>178</v>
      </c>
      <c r="D44" s="419"/>
      <c r="E44" s="700" t="s">
        <v>123</v>
      </c>
      <c r="F44" s="700"/>
      <c r="G44" s="700"/>
      <c r="H44" s="700"/>
      <c r="I44" s="700"/>
      <c r="J44" s="700"/>
      <c r="K44" s="700"/>
      <c r="L44" s="700"/>
      <c r="M44" s="700"/>
      <c r="N44" s="309"/>
      <c r="O44" s="309" t="s">
        <v>116</v>
      </c>
      <c r="P44" s="310" t="s">
        <v>117</v>
      </c>
      <c r="Q44" s="687"/>
      <c r="R44" s="687"/>
      <c r="S44" s="311" t="s">
        <v>143</v>
      </c>
      <c r="T44" s="309"/>
      <c r="U44" s="309"/>
      <c r="V44" s="309"/>
      <c r="W44" s="664">
        <f t="shared" si="2"/>
        <v>0</v>
      </c>
      <c r="X44" s="664"/>
      <c r="Y44" s="664"/>
      <c r="Z44" s="665"/>
      <c r="AB44" s="663">
        <v>0</v>
      </c>
      <c r="AC44" s="664"/>
      <c r="AD44" s="665"/>
      <c r="AF44" s="663">
        <f t="shared" si="3"/>
        <v>0</v>
      </c>
      <c r="AG44" s="664"/>
      <c r="AH44" s="665"/>
      <c r="AJ44" s="681">
        <v>12</v>
      </c>
      <c r="AK44" s="682"/>
      <c r="AL44" s="679">
        <f t="shared" si="4"/>
        <v>0</v>
      </c>
      <c r="AM44" s="680"/>
      <c r="AN44" s="679">
        <f>AL44*1.5</f>
        <v>0</v>
      </c>
      <c r="AO44" s="680"/>
      <c r="AP44" s="676"/>
      <c r="AQ44" s="461"/>
      <c r="AT44" s="696">
        <f t="shared" si="6"/>
        <v>0</v>
      </c>
      <c r="AU44" s="697"/>
      <c r="AV44" s="696">
        <f t="shared" si="7"/>
        <v>0</v>
      </c>
      <c r="AW44" s="697"/>
    </row>
    <row r="45" spans="3:55" s="51" customFormat="1" ht="20" customHeight="1" x14ac:dyDescent="0.15">
      <c r="C45" s="757">
        <v>179</v>
      </c>
      <c r="D45" s="419"/>
      <c r="E45" s="700"/>
      <c r="F45" s="700"/>
      <c r="G45" s="700"/>
      <c r="H45" s="700"/>
      <c r="I45" s="700"/>
      <c r="J45" s="700"/>
      <c r="K45" s="700"/>
      <c r="L45" s="700"/>
      <c r="M45" s="700"/>
      <c r="N45" s="309"/>
      <c r="O45" s="309" t="s">
        <v>116</v>
      </c>
      <c r="P45" s="310" t="s">
        <v>117</v>
      </c>
      <c r="Q45" s="687"/>
      <c r="R45" s="687"/>
      <c r="S45" s="311" t="s">
        <v>143</v>
      </c>
      <c r="T45" s="309"/>
      <c r="U45" s="309"/>
      <c r="V45" s="309"/>
      <c r="W45" s="664">
        <f t="shared" si="2"/>
        <v>0</v>
      </c>
      <c r="X45" s="664"/>
      <c r="Y45" s="664"/>
      <c r="Z45" s="665"/>
      <c r="AB45" s="663">
        <v>0</v>
      </c>
      <c r="AC45" s="664"/>
      <c r="AD45" s="665"/>
      <c r="AF45" s="663">
        <f t="shared" si="3"/>
        <v>0</v>
      </c>
      <c r="AG45" s="664"/>
      <c r="AH45" s="665"/>
      <c r="AJ45" s="681">
        <v>12</v>
      </c>
      <c r="AK45" s="682"/>
      <c r="AL45" s="679">
        <f t="shared" si="4"/>
        <v>0</v>
      </c>
      <c r="AM45" s="680"/>
      <c r="AN45" s="679">
        <f>AL45*1.5</f>
        <v>0</v>
      </c>
      <c r="AO45" s="680"/>
      <c r="AP45" s="676"/>
      <c r="AQ45" s="461"/>
      <c r="AT45" s="696">
        <f t="shared" si="6"/>
        <v>0</v>
      </c>
      <c r="AU45" s="697"/>
      <c r="AV45" s="696">
        <f t="shared" si="7"/>
        <v>0</v>
      </c>
      <c r="AW45" s="697"/>
    </row>
    <row r="46" spans="3:55" s="51" customFormat="1" ht="20" customHeight="1" x14ac:dyDescent="0.15">
      <c r="C46" s="757">
        <v>180</v>
      </c>
      <c r="D46" s="419"/>
      <c r="E46" s="700"/>
      <c r="F46" s="700"/>
      <c r="G46" s="700"/>
      <c r="H46" s="700"/>
      <c r="I46" s="700"/>
      <c r="J46" s="700"/>
      <c r="K46" s="700"/>
      <c r="L46" s="700"/>
      <c r="M46" s="700"/>
      <c r="N46" s="309"/>
      <c r="O46" s="309" t="s">
        <v>116</v>
      </c>
      <c r="P46" s="310" t="s">
        <v>117</v>
      </c>
      <c r="Q46" s="687"/>
      <c r="R46" s="687"/>
      <c r="S46" s="311" t="s">
        <v>143</v>
      </c>
      <c r="T46" s="309"/>
      <c r="U46" s="309"/>
      <c r="V46" s="309"/>
      <c r="W46" s="664">
        <f t="shared" si="2"/>
        <v>0</v>
      </c>
      <c r="X46" s="664"/>
      <c r="Y46" s="664"/>
      <c r="Z46" s="665"/>
      <c r="AB46" s="663">
        <v>0</v>
      </c>
      <c r="AC46" s="664"/>
      <c r="AD46" s="665"/>
      <c r="AF46" s="663">
        <f t="shared" si="3"/>
        <v>0</v>
      </c>
      <c r="AG46" s="664"/>
      <c r="AH46" s="665"/>
      <c r="AJ46" s="681">
        <v>12</v>
      </c>
      <c r="AK46" s="682"/>
      <c r="AL46" s="679">
        <f t="shared" si="4"/>
        <v>0</v>
      </c>
      <c r="AM46" s="680"/>
      <c r="AN46" s="679">
        <f>AL46*1.5</f>
        <v>0</v>
      </c>
      <c r="AO46" s="680"/>
      <c r="AP46" s="676"/>
      <c r="AQ46" s="461"/>
      <c r="AT46" s="696">
        <f t="shared" si="6"/>
        <v>0</v>
      </c>
      <c r="AU46" s="697"/>
      <c r="AV46" s="696">
        <f t="shared" si="7"/>
        <v>0</v>
      </c>
      <c r="AW46" s="697"/>
    </row>
    <row r="47" spans="3:55" s="322" customFormat="1" ht="20" customHeight="1" x14ac:dyDescent="0.2">
      <c r="C47" s="389"/>
      <c r="D47" s="389"/>
      <c r="E47" s="389"/>
      <c r="F47" s="389"/>
      <c r="G47" s="389"/>
      <c r="H47" s="389"/>
      <c r="I47" s="389"/>
      <c r="J47" s="389"/>
      <c r="K47" s="389"/>
      <c r="L47" s="389"/>
      <c r="M47" s="389"/>
      <c r="N47" s="389"/>
      <c r="O47" s="654" t="s">
        <v>132</v>
      </c>
      <c r="P47" s="654"/>
      <c r="Q47" s="654"/>
      <c r="R47" s="654"/>
      <c r="S47" s="654"/>
      <c r="T47" s="654"/>
      <c r="U47" s="654"/>
      <c r="V47" s="655"/>
      <c r="W47" s="658">
        <f>SUM(W34:Z46)</f>
        <v>0</v>
      </c>
      <c r="X47" s="659"/>
      <c r="Y47" s="659"/>
      <c r="Z47" s="660"/>
      <c r="AB47" s="658">
        <f>SUM(AB34:AD46)</f>
        <v>0</v>
      </c>
      <c r="AC47" s="659"/>
      <c r="AD47" s="660"/>
      <c r="AF47" s="714">
        <f t="shared" si="3"/>
        <v>0</v>
      </c>
      <c r="AG47" s="715"/>
      <c r="AH47" s="716"/>
      <c r="AP47" s="766"/>
      <c r="AQ47" s="766"/>
    </row>
    <row r="48" spans="3:55" s="322" customFormat="1" ht="20" customHeight="1" x14ac:dyDescent="0.2">
      <c r="O48" s="656" t="s">
        <v>443</v>
      </c>
      <c r="P48" s="656"/>
      <c r="Q48" s="656"/>
      <c r="R48" s="656"/>
      <c r="S48" s="656"/>
      <c r="T48" s="656"/>
      <c r="U48" s="656"/>
      <c r="V48" s="657"/>
      <c r="W48" s="658">
        <f>IFERROR(AP34*W47,0)</f>
        <v>0</v>
      </c>
      <c r="X48" s="659"/>
      <c r="Y48" s="659"/>
      <c r="Z48" s="660"/>
      <c r="AB48" s="658">
        <v>0</v>
      </c>
      <c r="AC48" s="659"/>
      <c r="AD48" s="660"/>
      <c r="AF48" s="714">
        <f t="shared" si="3"/>
        <v>0</v>
      </c>
      <c r="AG48" s="715"/>
      <c r="AH48" s="716"/>
    </row>
    <row r="49" spans="3:44" s="322" customFormat="1" ht="20" customHeight="1" x14ac:dyDescent="0.2">
      <c r="O49" s="656" t="s">
        <v>131</v>
      </c>
      <c r="P49" s="656"/>
      <c r="Q49" s="656"/>
      <c r="R49" s="656"/>
      <c r="S49" s="656"/>
      <c r="T49" s="656"/>
      <c r="U49" s="656"/>
      <c r="V49" s="657"/>
      <c r="W49" s="658">
        <f>SUM(W47:Z48)</f>
        <v>0</v>
      </c>
      <c r="X49" s="659"/>
      <c r="Y49" s="659"/>
      <c r="Z49" s="660"/>
      <c r="AB49" s="658">
        <f>AB47+AB48</f>
        <v>0</v>
      </c>
      <c r="AC49" s="659"/>
      <c r="AD49" s="660"/>
      <c r="AF49" s="714">
        <f t="shared" si="3"/>
        <v>0</v>
      </c>
      <c r="AG49" s="715"/>
      <c r="AH49" s="716"/>
    </row>
    <row r="50" spans="3:44" ht="16.25" customHeight="1" x14ac:dyDescent="0.2">
      <c r="C50" s="1"/>
      <c r="D50" s="1"/>
      <c r="E50" s="1"/>
      <c r="F50" s="1"/>
      <c r="G50" s="1"/>
      <c r="H50" s="1"/>
      <c r="I50" s="1"/>
      <c r="J50" s="1"/>
      <c r="K50" s="1"/>
      <c r="L50" s="1"/>
      <c r="M50" s="1"/>
      <c r="N50" s="1"/>
      <c r="O50" s="1"/>
      <c r="P50" s="12"/>
      <c r="Q50" s="47"/>
      <c r="R50" s="47"/>
      <c r="S50" s="13"/>
      <c r="T50" s="1"/>
      <c r="U50" s="1"/>
      <c r="V50" s="1"/>
      <c r="W50" s="1"/>
      <c r="X50" s="761"/>
      <c r="Y50" s="761"/>
      <c r="Z50" s="761"/>
      <c r="AB50" s="762"/>
      <c r="AC50" s="762"/>
      <c r="AD50" s="762"/>
      <c r="AF50" s="762"/>
      <c r="AG50" s="762"/>
      <c r="AH50" s="762"/>
      <c r="AP50" s="765"/>
      <c r="AQ50" s="765"/>
      <c r="AR50" s="7"/>
    </row>
    <row r="51" spans="3:44" s="323" customFormat="1" ht="20" customHeight="1" x14ac:dyDescent="0.2">
      <c r="C51" s="4" t="s">
        <v>265</v>
      </c>
      <c r="D51" s="5" t="s">
        <v>96</v>
      </c>
      <c r="E51" s="5"/>
      <c r="F51" s="349"/>
      <c r="G51" s="349"/>
      <c r="H51" s="349"/>
      <c r="I51" s="349"/>
      <c r="J51" s="349"/>
      <c r="K51" s="349"/>
      <c r="L51" s="349"/>
      <c r="M51" s="349"/>
      <c r="N51" s="349"/>
      <c r="O51" s="349"/>
      <c r="P51" s="349"/>
      <c r="Q51" s="350"/>
      <c r="R51" s="350"/>
      <c r="S51" s="349"/>
      <c r="T51" s="349"/>
      <c r="U51" s="349"/>
      <c r="V51" s="349"/>
      <c r="W51" s="706"/>
      <c r="X51" s="706"/>
      <c r="Y51" s="706"/>
      <c r="Z51" s="706"/>
      <c r="AB51" s="357"/>
      <c r="AC51" s="354"/>
      <c r="AD51" s="354"/>
      <c r="AF51" s="357"/>
      <c r="AG51" s="354"/>
      <c r="AH51" s="354"/>
      <c r="AP51" s="763"/>
      <c r="AQ51" s="763"/>
    </row>
    <row r="52" spans="3:44" s="110" customFormat="1" ht="16.25" customHeight="1" x14ac:dyDescent="0.15">
      <c r="C52" s="128"/>
      <c r="D52" s="116"/>
      <c r="E52" s="116" t="s">
        <v>384</v>
      </c>
      <c r="F52" s="130"/>
      <c r="G52" s="130"/>
      <c r="H52" s="130"/>
      <c r="I52" s="130"/>
      <c r="J52" s="130"/>
      <c r="K52" s="130"/>
      <c r="L52" s="130"/>
      <c r="M52" s="130"/>
      <c r="N52" s="726" t="s">
        <v>400</v>
      </c>
      <c r="O52" s="726"/>
      <c r="P52" s="130"/>
      <c r="Q52" s="768" t="s">
        <v>220</v>
      </c>
      <c r="R52" s="768"/>
      <c r="S52" s="134"/>
      <c r="T52" s="120" t="s">
        <v>375</v>
      </c>
      <c r="U52" s="134"/>
      <c r="V52" s="134"/>
      <c r="W52" s="724" t="s">
        <v>370</v>
      </c>
      <c r="X52" s="724" t="s">
        <v>370</v>
      </c>
      <c r="Y52" s="724"/>
      <c r="Z52" s="725"/>
      <c r="AB52" s="746" t="s">
        <v>363</v>
      </c>
      <c r="AC52" s="747"/>
      <c r="AD52" s="748"/>
      <c r="AF52" s="723" t="s">
        <v>447</v>
      </c>
      <c r="AG52" s="724"/>
      <c r="AH52" s="725"/>
      <c r="AP52" s="764"/>
      <c r="AQ52" s="764"/>
    </row>
    <row r="53" spans="3:44" s="51" customFormat="1" ht="20" customHeight="1" x14ac:dyDescent="0.15">
      <c r="C53" s="757">
        <v>181</v>
      </c>
      <c r="D53" s="419"/>
      <c r="E53" s="700" t="s">
        <v>55</v>
      </c>
      <c r="F53" s="700"/>
      <c r="G53" s="700"/>
      <c r="H53" s="700"/>
      <c r="I53" s="700"/>
      <c r="J53" s="700"/>
      <c r="K53" s="700"/>
      <c r="L53" s="700"/>
      <c r="M53" s="700"/>
      <c r="N53" s="309"/>
      <c r="O53" s="309" t="s">
        <v>140</v>
      </c>
      <c r="P53" s="310" t="s">
        <v>117</v>
      </c>
      <c r="Q53" s="687"/>
      <c r="R53" s="687"/>
      <c r="S53" s="311" t="s">
        <v>143</v>
      </c>
      <c r="T53" s="309"/>
      <c r="U53" s="279"/>
      <c r="V53" s="279"/>
      <c r="W53" s="664">
        <f t="shared" ref="W53:W63" si="8">N53*Q53*(IF(ISNUMBER(T53),T53,IF(ISNUMBER(N53),1,0)))</f>
        <v>0</v>
      </c>
      <c r="X53" s="664"/>
      <c r="Y53" s="664"/>
      <c r="Z53" s="665"/>
      <c r="AB53" s="663">
        <v>0</v>
      </c>
      <c r="AC53" s="664"/>
      <c r="AD53" s="665"/>
      <c r="AF53" s="663">
        <f t="shared" ref="AF53:AF65" si="9">AB53-W53</f>
        <v>0</v>
      </c>
      <c r="AG53" s="664"/>
      <c r="AH53" s="665"/>
      <c r="AP53" s="461"/>
      <c r="AQ53" s="461"/>
    </row>
    <row r="54" spans="3:44" s="51" customFormat="1" ht="20" customHeight="1" x14ac:dyDescent="0.15">
      <c r="C54" s="757">
        <v>182</v>
      </c>
      <c r="D54" s="419"/>
      <c r="E54" s="700" t="s">
        <v>56</v>
      </c>
      <c r="F54" s="700"/>
      <c r="G54" s="700"/>
      <c r="H54" s="700"/>
      <c r="I54" s="700"/>
      <c r="J54" s="700"/>
      <c r="K54" s="700"/>
      <c r="L54" s="700"/>
      <c r="M54" s="700"/>
      <c r="N54" s="309"/>
      <c r="O54" s="309" t="s">
        <v>140</v>
      </c>
      <c r="P54" s="310" t="s">
        <v>117</v>
      </c>
      <c r="Q54" s="687"/>
      <c r="R54" s="687"/>
      <c r="S54" s="311" t="s">
        <v>143</v>
      </c>
      <c r="T54" s="309"/>
      <c r="U54" s="279"/>
      <c r="V54" s="279"/>
      <c r="W54" s="664">
        <f t="shared" si="8"/>
        <v>0</v>
      </c>
      <c r="X54" s="664"/>
      <c r="Y54" s="664"/>
      <c r="Z54" s="665"/>
      <c r="AB54" s="663">
        <v>0</v>
      </c>
      <c r="AC54" s="664"/>
      <c r="AD54" s="665"/>
      <c r="AF54" s="663">
        <f t="shared" si="9"/>
        <v>0</v>
      </c>
      <c r="AG54" s="664"/>
      <c r="AH54" s="665"/>
      <c r="AP54" s="461"/>
      <c r="AQ54" s="461"/>
    </row>
    <row r="55" spans="3:44" s="51" customFormat="1" ht="20" customHeight="1" x14ac:dyDescent="0.15">
      <c r="C55" s="757">
        <v>183</v>
      </c>
      <c r="D55" s="419"/>
      <c r="E55" s="700" t="s">
        <v>60</v>
      </c>
      <c r="F55" s="700"/>
      <c r="G55" s="700"/>
      <c r="H55" s="700"/>
      <c r="I55" s="700"/>
      <c r="J55" s="700"/>
      <c r="K55" s="700"/>
      <c r="L55" s="700"/>
      <c r="M55" s="700"/>
      <c r="N55" s="309"/>
      <c r="O55" s="309" t="s">
        <v>140</v>
      </c>
      <c r="P55" s="310" t="s">
        <v>117</v>
      </c>
      <c r="Q55" s="687"/>
      <c r="R55" s="687"/>
      <c r="S55" s="311" t="s">
        <v>143</v>
      </c>
      <c r="T55" s="309"/>
      <c r="U55" s="279"/>
      <c r="V55" s="279"/>
      <c r="W55" s="664">
        <f t="shared" si="8"/>
        <v>0</v>
      </c>
      <c r="X55" s="664"/>
      <c r="Y55" s="664"/>
      <c r="Z55" s="665"/>
      <c r="AB55" s="663">
        <v>0</v>
      </c>
      <c r="AC55" s="664"/>
      <c r="AD55" s="665"/>
      <c r="AF55" s="663">
        <f t="shared" si="9"/>
        <v>0</v>
      </c>
      <c r="AG55" s="664"/>
      <c r="AH55" s="665"/>
      <c r="AP55" s="461"/>
      <c r="AQ55" s="461"/>
    </row>
    <row r="56" spans="3:44" s="51" customFormat="1" ht="20" customHeight="1" x14ac:dyDescent="0.15">
      <c r="C56" s="757">
        <v>184</v>
      </c>
      <c r="D56" s="419"/>
      <c r="E56" s="700" t="s">
        <v>62</v>
      </c>
      <c r="F56" s="700"/>
      <c r="G56" s="700"/>
      <c r="H56" s="700"/>
      <c r="I56" s="700"/>
      <c r="J56" s="700"/>
      <c r="K56" s="700"/>
      <c r="L56" s="700"/>
      <c r="M56" s="700"/>
      <c r="N56" s="309"/>
      <c r="O56" s="309" t="s">
        <v>140</v>
      </c>
      <c r="P56" s="310" t="s">
        <v>117</v>
      </c>
      <c r="Q56" s="687"/>
      <c r="R56" s="687"/>
      <c r="S56" s="311" t="s">
        <v>143</v>
      </c>
      <c r="T56" s="309"/>
      <c r="U56" s="279"/>
      <c r="V56" s="279"/>
      <c r="W56" s="664">
        <f t="shared" si="8"/>
        <v>0</v>
      </c>
      <c r="X56" s="664"/>
      <c r="Y56" s="664"/>
      <c r="Z56" s="665"/>
      <c r="AB56" s="663">
        <v>0</v>
      </c>
      <c r="AC56" s="664"/>
      <c r="AD56" s="665"/>
      <c r="AF56" s="663">
        <f t="shared" si="9"/>
        <v>0</v>
      </c>
      <c r="AG56" s="664"/>
      <c r="AH56" s="665"/>
      <c r="AP56" s="461"/>
      <c r="AQ56" s="461"/>
    </row>
    <row r="57" spans="3:44" s="51" customFormat="1" ht="20" customHeight="1" x14ac:dyDescent="0.15">
      <c r="C57" s="757">
        <v>185</v>
      </c>
      <c r="D57" s="419"/>
      <c r="E57" s="700" t="s">
        <v>124</v>
      </c>
      <c r="F57" s="700"/>
      <c r="G57" s="700"/>
      <c r="H57" s="700"/>
      <c r="I57" s="700"/>
      <c r="J57" s="700"/>
      <c r="K57" s="700"/>
      <c r="L57" s="700"/>
      <c r="M57" s="700"/>
      <c r="N57" s="309"/>
      <c r="O57" s="309" t="s">
        <v>140</v>
      </c>
      <c r="P57" s="310" t="s">
        <v>117</v>
      </c>
      <c r="Q57" s="687"/>
      <c r="R57" s="687"/>
      <c r="S57" s="311" t="s">
        <v>143</v>
      </c>
      <c r="T57" s="309"/>
      <c r="U57" s="279"/>
      <c r="V57" s="279"/>
      <c r="W57" s="664">
        <f t="shared" si="8"/>
        <v>0</v>
      </c>
      <c r="X57" s="664"/>
      <c r="Y57" s="664"/>
      <c r="Z57" s="665"/>
      <c r="AB57" s="663">
        <v>0</v>
      </c>
      <c r="AC57" s="664"/>
      <c r="AD57" s="665"/>
      <c r="AF57" s="663">
        <f t="shared" si="9"/>
        <v>0</v>
      </c>
      <c r="AG57" s="664"/>
      <c r="AH57" s="665"/>
      <c r="AP57" s="461"/>
      <c r="AQ57" s="461"/>
    </row>
    <row r="58" spans="3:44" s="51" customFormat="1" ht="20" customHeight="1" x14ac:dyDescent="0.15">
      <c r="C58" s="757">
        <v>186</v>
      </c>
      <c r="D58" s="419"/>
      <c r="E58" s="700" t="s">
        <v>63</v>
      </c>
      <c r="F58" s="700"/>
      <c r="G58" s="700"/>
      <c r="H58" s="700"/>
      <c r="I58" s="700"/>
      <c r="J58" s="700"/>
      <c r="K58" s="700"/>
      <c r="L58" s="700"/>
      <c r="M58" s="700"/>
      <c r="N58" s="309"/>
      <c r="O58" s="309" t="s">
        <v>140</v>
      </c>
      <c r="P58" s="310" t="s">
        <v>117</v>
      </c>
      <c r="Q58" s="687"/>
      <c r="R58" s="687"/>
      <c r="S58" s="311" t="s">
        <v>143</v>
      </c>
      <c r="T58" s="309"/>
      <c r="U58" s="279"/>
      <c r="V58" s="279"/>
      <c r="W58" s="664">
        <f t="shared" si="8"/>
        <v>0</v>
      </c>
      <c r="X58" s="664"/>
      <c r="Y58" s="664"/>
      <c r="Z58" s="665"/>
      <c r="AB58" s="663">
        <v>0</v>
      </c>
      <c r="AC58" s="664"/>
      <c r="AD58" s="665"/>
      <c r="AF58" s="663">
        <f t="shared" si="9"/>
        <v>0</v>
      </c>
      <c r="AG58" s="664"/>
      <c r="AH58" s="665"/>
    </row>
    <row r="59" spans="3:44" s="51" customFormat="1" ht="20" customHeight="1" x14ac:dyDescent="0.15">
      <c r="C59" s="757">
        <v>187</v>
      </c>
      <c r="D59" s="419"/>
      <c r="E59" s="700" t="s">
        <v>59</v>
      </c>
      <c r="F59" s="700"/>
      <c r="G59" s="700"/>
      <c r="H59" s="700"/>
      <c r="I59" s="700"/>
      <c r="J59" s="700"/>
      <c r="K59" s="700"/>
      <c r="L59" s="700"/>
      <c r="M59" s="700"/>
      <c r="N59" s="309"/>
      <c r="O59" s="309" t="s">
        <v>140</v>
      </c>
      <c r="P59" s="310" t="s">
        <v>117</v>
      </c>
      <c r="Q59" s="687"/>
      <c r="R59" s="687"/>
      <c r="S59" s="311" t="s">
        <v>143</v>
      </c>
      <c r="T59" s="309"/>
      <c r="U59" s="279"/>
      <c r="V59" s="279"/>
      <c r="W59" s="664">
        <f t="shared" si="8"/>
        <v>0</v>
      </c>
      <c r="X59" s="664"/>
      <c r="Y59" s="664"/>
      <c r="Z59" s="665"/>
      <c r="AB59" s="663">
        <v>0</v>
      </c>
      <c r="AC59" s="664"/>
      <c r="AD59" s="665"/>
      <c r="AF59" s="663">
        <f t="shared" si="9"/>
        <v>0</v>
      </c>
      <c r="AG59" s="664"/>
      <c r="AH59" s="665"/>
    </row>
    <row r="60" spans="3:44" s="51" customFormat="1" ht="20" customHeight="1" x14ac:dyDescent="0.15">
      <c r="C60" s="757">
        <v>188</v>
      </c>
      <c r="D60" s="419"/>
      <c r="E60" s="700" t="s">
        <v>57</v>
      </c>
      <c r="F60" s="700"/>
      <c r="G60" s="700"/>
      <c r="H60" s="700"/>
      <c r="I60" s="700"/>
      <c r="J60" s="700"/>
      <c r="K60" s="700"/>
      <c r="L60" s="700"/>
      <c r="M60" s="700"/>
      <c r="N60" s="309"/>
      <c r="O60" s="309" t="s">
        <v>140</v>
      </c>
      <c r="P60" s="310" t="s">
        <v>117</v>
      </c>
      <c r="Q60" s="687"/>
      <c r="R60" s="687"/>
      <c r="S60" s="311" t="s">
        <v>143</v>
      </c>
      <c r="T60" s="309"/>
      <c r="U60" s="279"/>
      <c r="V60" s="279"/>
      <c r="W60" s="664">
        <f t="shared" si="8"/>
        <v>0</v>
      </c>
      <c r="X60" s="664"/>
      <c r="Y60" s="664"/>
      <c r="Z60" s="665"/>
      <c r="AB60" s="663">
        <v>0</v>
      </c>
      <c r="AC60" s="664"/>
      <c r="AD60" s="665"/>
      <c r="AF60" s="663">
        <f t="shared" si="9"/>
        <v>0</v>
      </c>
      <c r="AG60" s="664"/>
      <c r="AH60" s="665"/>
    </row>
    <row r="61" spans="3:44" s="51" customFormat="1" ht="20" customHeight="1" x14ac:dyDescent="0.15">
      <c r="C61" s="757">
        <v>189</v>
      </c>
      <c r="D61" s="419"/>
      <c r="E61" s="700" t="s">
        <v>227</v>
      </c>
      <c r="F61" s="700"/>
      <c r="G61" s="700"/>
      <c r="H61" s="700"/>
      <c r="I61" s="700"/>
      <c r="J61" s="700"/>
      <c r="K61" s="700"/>
      <c r="L61" s="700"/>
      <c r="M61" s="700"/>
      <c r="N61" s="309"/>
      <c r="O61" s="309" t="s">
        <v>140</v>
      </c>
      <c r="P61" s="310" t="s">
        <v>117</v>
      </c>
      <c r="Q61" s="687"/>
      <c r="R61" s="687"/>
      <c r="S61" s="311" t="s">
        <v>143</v>
      </c>
      <c r="T61" s="309"/>
      <c r="U61" s="279"/>
      <c r="V61" s="279"/>
      <c r="W61" s="664">
        <f t="shared" si="8"/>
        <v>0</v>
      </c>
      <c r="X61" s="664"/>
      <c r="Y61" s="664"/>
      <c r="Z61" s="665"/>
      <c r="AB61" s="663">
        <v>0</v>
      </c>
      <c r="AC61" s="664"/>
      <c r="AD61" s="665"/>
      <c r="AF61" s="663">
        <f t="shared" si="9"/>
        <v>0</v>
      </c>
      <c r="AG61" s="664"/>
      <c r="AH61" s="665"/>
    </row>
    <row r="62" spans="3:44" s="51" customFormat="1" ht="20" customHeight="1" x14ac:dyDescent="0.15">
      <c r="C62" s="757">
        <v>190</v>
      </c>
      <c r="D62" s="419"/>
      <c r="E62" s="700" t="s">
        <v>61</v>
      </c>
      <c r="F62" s="700"/>
      <c r="G62" s="700"/>
      <c r="H62" s="700"/>
      <c r="I62" s="700"/>
      <c r="J62" s="700"/>
      <c r="K62" s="700"/>
      <c r="L62" s="700"/>
      <c r="M62" s="700"/>
      <c r="N62" s="309"/>
      <c r="O62" s="309" t="s">
        <v>140</v>
      </c>
      <c r="P62" s="310" t="s">
        <v>117</v>
      </c>
      <c r="Q62" s="687"/>
      <c r="R62" s="687"/>
      <c r="S62" s="311" t="s">
        <v>143</v>
      </c>
      <c r="T62" s="309"/>
      <c r="U62" s="279"/>
      <c r="V62" s="279"/>
      <c r="W62" s="664">
        <f t="shared" si="8"/>
        <v>0</v>
      </c>
      <c r="X62" s="664"/>
      <c r="Y62" s="664"/>
      <c r="Z62" s="665"/>
      <c r="AB62" s="663">
        <v>0</v>
      </c>
      <c r="AC62" s="664"/>
      <c r="AD62" s="665"/>
      <c r="AF62" s="663">
        <f t="shared" si="9"/>
        <v>0</v>
      </c>
      <c r="AG62" s="664"/>
      <c r="AH62" s="665"/>
    </row>
    <row r="63" spans="3:44" s="51" customFormat="1" ht="20" customHeight="1" x14ac:dyDescent="0.15">
      <c r="C63" s="757">
        <v>191</v>
      </c>
      <c r="D63" s="419"/>
      <c r="E63" s="700"/>
      <c r="F63" s="700"/>
      <c r="G63" s="700"/>
      <c r="H63" s="700"/>
      <c r="I63" s="700"/>
      <c r="J63" s="700"/>
      <c r="K63" s="700"/>
      <c r="L63" s="700"/>
      <c r="M63" s="700"/>
      <c r="N63" s="309"/>
      <c r="O63" s="309" t="s">
        <v>140</v>
      </c>
      <c r="P63" s="310" t="s">
        <v>117</v>
      </c>
      <c r="Q63" s="687"/>
      <c r="R63" s="687"/>
      <c r="S63" s="311" t="s">
        <v>143</v>
      </c>
      <c r="T63" s="309"/>
      <c r="U63" s="279"/>
      <c r="V63" s="279"/>
      <c r="W63" s="664">
        <f t="shared" si="8"/>
        <v>0</v>
      </c>
      <c r="X63" s="664"/>
      <c r="Y63" s="664"/>
      <c r="Z63" s="665"/>
      <c r="AB63" s="663">
        <v>0</v>
      </c>
      <c r="AC63" s="664"/>
      <c r="AD63" s="665"/>
      <c r="AF63" s="663">
        <f t="shared" si="9"/>
        <v>0</v>
      </c>
      <c r="AG63" s="664"/>
      <c r="AH63" s="665"/>
    </row>
    <row r="64" spans="3:44" s="51" customFormat="1" ht="20" customHeight="1" x14ac:dyDescent="0.15">
      <c r="C64" s="757">
        <v>192</v>
      </c>
      <c r="D64" s="419"/>
      <c r="E64" s="700"/>
      <c r="F64" s="700"/>
      <c r="G64" s="700"/>
      <c r="H64" s="700"/>
      <c r="I64" s="700"/>
      <c r="J64" s="700"/>
      <c r="K64" s="700"/>
      <c r="L64" s="700"/>
      <c r="M64" s="700"/>
      <c r="N64" s="309"/>
      <c r="O64" s="309" t="s">
        <v>140</v>
      </c>
      <c r="P64" s="310" t="s">
        <v>117</v>
      </c>
      <c r="Q64" s="687"/>
      <c r="R64" s="687"/>
      <c r="S64" s="311" t="s">
        <v>143</v>
      </c>
      <c r="T64" s="309"/>
      <c r="U64" s="279"/>
      <c r="V64" s="279"/>
      <c r="W64" s="664">
        <f>N64*Q64*(IF(ISNUMBER(T64),T64,IF(ISNUMBER(N64),1,0)))</f>
        <v>0</v>
      </c>
      <c r="X64" s="664"/>
      <c r="Y64" s="664"/>
      <c r="Z64" s="665"/>
      <c r="AB64" s="663">
        <v>0</v>
      </c>
      <c r="AC64" s="664"/>
      <c r="AD64" s="665"/>
      <c r="AF64" s="663">
        <f t="shared" si="9"/>
        <v>0</v>
      </c>
      <c r="AG64" s="664"/>
      <c r="AH64" s="665"/>
    </row>
    <row r="65" spans="2:34" s="322" customFormat="1" ht="20" customHeight="1" x14ac:dyDescent="0.2">
      <c r="O65" s="654" t="s">
        <v>283</v>
      </c>
      <c r="P65" s="654"/>
      <c r="Q65" s="654"/>
      <c r="R65" s="654"/>
      <c r="S65" s="654"/>
      <c r="T65" s="654"/>
      <c r="U65" s="654"/>
      <c r="V65" s="655"/>
      <c r="W65" s="658">
        <f>SUM(W53:Z64)</f>
        <v>0</v>
      </c>
      <c r="X65" s="659"/>
      <c r="Y65" s="659"/>
      <c r="Z65" s="660"/>
      <c r="AB65" s="658">
        <f>SUM(AB53:AD64)</f>
        <v>0</v>
      </c>
      <c r="AC65" s="659"/>
      <c r="AD65" s="660"/>
      <c r="AF65" s="714">
        <f t="shared" si="9"/>
        <v>0</v>
      </c>
      <c r="AG65" s="715"/>
      <c r="AH65" s="716"/>
    </row>
    <row r="67" spans="2:34" ht="15" customHeight="1" x14ac:dyDescent="0.2">
      <c r="B67"/>
      <c r="C67"/>
      <c r="D67"/>
      <c r="E67"/>
      <c r="F67"/>
      <c r="G67"/>
      <c r="H67"/>
      <c r="I67"/>
      <c r="J67"/>
      <c r="K67"/>
      <c r="L67"/>
      <c r="M67"/>
      <c r="N67"/>
      <c r="O67"/>
      <c r="P67"/>
      <c r="Q67" s="42"/>
      <c r="R67" s="42"/>
      <c r="S67"/>
      <c r="T67"/>
      <c r="U67"/>
      <c r="V67"/>
      <c r="W67"/>
      <c r="X67" s="23"/>
      <c r="Y67" s="23"/>
      <c r="Z67" s="23"/>
      <c r="AB67" s="23"/>
      <c r="AC67" s="23"/>
      <c r="AD67" s="23"/>
      <c r="AF67" s="23"/>
      <c r="AG67" s="23"/>
      <c r="AH67" s="23"/>
    </row>
    <row r="68" spans="2:34" ht="15" customHeight="1" x14ac:dyDescent="0.2">
      <c r="B68"/>
      <c r="C68"/>
      <c r="D68"/>
      <c r="E68"/>
      <c r="F68"/>
      <c r="G68"/>
      <c r="H68"/>
      <c r="I68"/>
      <c r="J68"/>
      <c r="K68"/>
      <c r="L68"/>
      <c r="M68"/>
      <c r="N68"/>
      <c r="O68"/>
      <c r="P68"/>
      <c r="Q68" s="42"/>
      <c r="R68" s="42"/>
      <c r="S68"/>
      <c r="T68"/>
      <c r="U68"/>
      <c r="V68"/>
      <c r="W68"/>
      <c r="X68" s="23"/>
      <c r="Y68" s="23"/>
      <c r="Z68" s="23"/>
      <c r="AB68" s="23"/>
      <c r="AC68" s="23"/>
      <c r="AD68" s="23"/>
      <c r="AF68" s="23"/>
      <c r="AG68" s="23"/>
      <c r="AH68" s="23"/>
    </row>
    <row r="69" spans="2:34" ht="16.25" customHeight="1" x14ac:dyDescent="0.2">
      <c r="B69"/>
      <c r="C69"/>
      <c r="D69"/>
      <c r="E69"/>
      <c r="F69"/>
      <c r="G69"/>
      <c r="H69"/>
      <c r="I69"/>
      <c r="J69"/>
      <c r="K69"/>
      <c r="L69"/>
      <c r="M69"/>
      <c r="N69"/>
      <c r="O69"/>
      <c r="P69"/>
      <c r="Q69" s="42"/>
      <c r="R69" s="42"/>
      <c r="S69"/>
      <c r="T69"/>
      <c r="U69"/>
      <c r="V69"/>
      <c r="W69"/>
      <c r="X69" s="23"/>
      <c r="Y69" s="23"/>
      <c r="Z69" s="23"/>
      <c r="AB69" s="23"/>
      <c r="AC69" s="23"/>
      <c r="AD69" s="23"/>
      <c r="AF69" s="23"/>
      <c r="AG69" s="23"/>
      <c r="AH69" s="23"/>
    </row>
    <row r="72" spans="2:34" ht="15" customHeight="1" x14ac:dyDescent="0.2">
      <c r="B72"/>
      <c r="C72"/>
      <c r="D72"/>
      <c r="E72"/>
      <c r="F72"/>
      <c r="G72"/>
      <c r="H72"/>
      <c r="I72"/>
      <c r="J72"/>
      <c r="K72"/>
      <c r="L72"/>
      <c r="M72"/>
      <c r="N72"/>
      <c r="O72"/>
      <c r="P72"/>
      <c r="Q72" s="42"/>
      <c r="R72" s="42"/>
      <c r="S72"/>
      <c r="T72"/>
      <c r="U72"/>
      <c r="V72"/>
      <c r="W72"/>
      <c r="X72" s="23"/>
      <c r="Y72" s="23"/>
      <c r="Z72" s="23"/>
      <c r="AB72" s="23"/>
      <c r="AC72" s="23"/>
      <c r="AD72" s="23"/>
      <c r="AF72" s="23"/>
      <c r="AG72" s="23"/>
      <c r="AH72" s="23"/>
    </row>
    <row r="73" spans="2:34" x14ac:dyDescent="0.2">
      <c r="B73"/>
    </row>
    <row r="74" spans="2:34" x14ac:dyDescent="0.2">
      <c r="B74"/>
    </row>
    <row r="75" spans="2:34" x14ac:dyDescent="0.2">
      <c r="B75"/>
    </row>
    <row r="76" spans="2:34" x14ac:dyDescent="0.2">
      <c r="B76"/>
    </row>
    <row r="77" spans="2:34" x14ac:dyDescent="0.2">
      <c r="B77"/>
    </row>
    <row r="78" spans="2:34" x14ac:dyDescent="0.2">
      <c r="B78"/>
    </row>
    <row r="79" spans="2:34" x14ac:dyDescent="0.2">
      <c r="B79"/>
    </row>
    <row r="80" spans="2:34" x14ac:dyDescent="0.2">
      <c r="B80"/>
    </row>
    <row r="81" spans="2:2" x14ac:dyDescent="0.2">
      <c r="B81"/>
    </row>
  </sheetData>
  <sheetProtection selectLockedCells="1"/>
  <mergeCells count="399">
    <mergeCell ref="AF65:AH65"/>
    <mergeCell ref="AF11:AH11"/>
    <mergeCell ref="AF32:AH33"/>
    <mergeCell ref="AF52:AH52"/>
    <mergeCell ref="N11:O11"/>
    <mergeCell ref="Q11:R11"/>
    <mergeCell ref="Q32:R33"/>
    <mergeCell ref="N32:O33"/>
    <mergeCell ref="Q52:R52"/>
    <mergeCell ref="N52:O52"/>
    <mergeCell ref="Q18:R18"/>
    <mergeCell ref="Q12:R12"/>
    <mergeCell ref="Q13:R13"/>
    <mergeCell ref="Q28:R28"/>
    <mergeCell ref="Q19:R19"/>
    <mergeCell ref="Q27:R27"/>
    <mergeCell ref="AF28:AH28"/>
    <mergeCell ref="AF29:AH29"/>
    <mergeCell ref="AF55:AH55"/>
    <mergeCell ref="AF34:AH34"/>
    <mergeCell ref="AF50:AH50"/>
    <mergeCell ref="AF53:AH53"/>
    <mergeCell ref="AF54:AH54"/>
    <mergeCell ref="AF56:AH56"/>
    <mergeCell ref="AF64:AH64"/>
    <mergeCell ref="AF21:AH21"/>
    <mergeCell ref="AF22:AH22"/>
    <mergeCell ref="AF23:AH23"/>
    <mergeCell ref="AF24:AH24"/>
    <mergeCell ref="AF25:AH25"/>
    <mergeCell ref="AF26:AH26"/>
    <mergeCell ref="AF27:AH27"/>
    <mergeCell ref="AF37:AH37"/>
    <mergeCell ref="AF38:AH38"/>
    <mergeCell ref="AF35:AH35"/>
    <mergeCell ref="AF36:AH36"/>
    <mergeCell ref="AF60:AH60"/>
    <mergeCell ref="AF61:AH61"/>
    <mergeCell ref="AF62:AH62"/>
    <mergeCell ref="AF43:AH43"/>
    <mergeCell ref="AF44:AH44"/>
    <mergeCell ref="AF57:AH57"/>
    <mergeCell ref="AF58:AH58"/>
    <mergeCell ref="AF59:AH59"/>
    <mergeCell ref="AF39:AH39"/>
    <mergeCell ref="AF40:AH40"/>
    <mergeCell ref="AF41:AH41"/>
    <mergeCell ref="AF42:AH42"/>
    <mergeCell ref="AF12:AH12"/>
    <mergeCell ref="AF13:AH13"/>
    <mergeCell ref="AF14:AH14"/>
    <mergeCell ref="AF15:AH15"/>
    <mergeCell ref="AF16:AH16"/>
    <mergeCell ref="AF17:AH17"/>
    <mergeCell ref="AF18:AH18"/>
    <mergeCell ref="AF19:AH19"/>
    <mergeCell ref="AF20:AH20"/>
    <mergeCell ref="AP50:AQ50"/>
    <mergeCell ref="AJ45:AK45"/>
    <mergeCell ref="AL45:AM45"/>
    <mergeCell ref="AN45:AO45"/>
    <mergeCell ref="AP45:AQ45"/>
    <mergeCell ref="AJ46:AK46"/>
    <mergeCell ref="AL46:AM46"/>
    <mergeCell ref="AN46:AO46"/>
    <mergeCell ref="AP46:AQ46"/>
    <mergeCell ref="AP47:AQ47"/>
    <mergeCell ref="AJ40:AK40"/>
    <mergeCell ref="AP57:AQ57"/>
    <mergeCell ref="AP54:AQ54"/>
    <mergeCell ref="AP55:AQ55"/>
    <mergeCell ref="AP56:AQ56"/>
    <mergeCell ref="AP51:AQ51"/>
    <mergeCell ref="AP52:AQ52"/>
    <mergeCell ref="AP53:AQ53"/>
    <mergeCell ref="AP41:AQ41"/>
    <mergeCell ref="AL41:AM41"/>
    <mergeCell ref="AL40:AM40"/>
    <mergeCell ref="AP43:AQ43"/>
    <mergeCell ref="AJ44:AK44"/>
    <mergeCell ref="AL44:AM44"/>
    <mergeCell ref="AN44:AO44"/>
    <mergeCell ref="AP44:AQ44"/>
    <mergeCell ref="AN42:AO42"/>
    <mergeCell ref="AP42:AQ42"/>
    <mergeCell ref="AJ43:AK43"/>
    <mergeCell ref="AL43:AM43"/>
    <mergeCell ref="AN43:AO43"/>
    <mergeCell ref="AJ42:AK42"/>
    <mergeCell ref="AL42:AM42"/>
    <mergeCell ref="AN40:AO40"/>
    <mergeCell ref="AP40:AQ40"/>
    <mergeCell ref="E60:M60"/>
    <mergeCell ref="Q58:R58"/>
    <mergeCell ref="Q57:R57"/>
    <mergeCell ref="E56:M56"/>
    <mergeCell ref="E55:M55"/>
    <mergeCell ref="X50:Z50"/>
    <mergeCell ref="Q53:R53"/>
    <mergeCell ref="W51:Z51"/>
    <mergeCell ref="W52:Z52"/>
    <mergeCell ref="W40:Z40"/>
    <mergeCell ref="W41:Z41"/>
    <mergeCell ref="W42:Z42"/>
    <mergeCell ref="W43:Z43"/>
    <mergeCell ref="AF45:AH45"/>
    <mergeCell ref="Q40:R40"/>
    <mergeCell ref="E57:M57"/>
    <mergeCell ref="E58:M58"/>
    <mergeCell ref="E59:M59"/>
    <mergeCell ref="AB48:AD48"/>
    <mergeCell ref="AB49:AD49"/>
    <mergeCell ref="AB50:AD50"/>
    <mergeCell ref="AB52:AD52"/>
    <mergeCell ref="AB53:AD53"/>
    <mergeCell ref="AN41:AO41"/>
    <mergeCell ref="AB44:AD44"/>
    <mergeCell ref="AB45:AD45"/>
    <mergeCell ref="AB46:AD46"/>
    <mergeCell ref="AB47:AD47"/>
    <mergeCell ref="AB41:AD41"/>
    <mergeCell ref="AB42:AD42"/>
    <mergeCell ref="AB43:AD43"/>
    <mergeCell ref="Q63:R63"/>
    <mergeCell ref="Q46:R46"/>
    <mergeCell ref="Q44:R44"/>
    <mergeCell ref="AB63:AD63"/>
    <mergeCell ref="AJ41:AK41"/>
    <mergeCell ref="Q45:R45"/>
    <mergeCell ref="Q42:R42"/>
    <mergeCell ref="Q43:R43"/>
    <mergeCell ref="AF63:AH63"/>
    <mergeCell ref="AF46:AH46"/>
    <mergeCell ref="AF47:AH47"/>
    <mergeCell ref="AF48:AH48"/>
    <mergeCell ref="AF49:AH49"/>
    <mergeCell ref="O47:V47"/>
    <mergeCell ref="O48:V48"/>
    <mergeCell ref="O49:V49"/>
    <mergeCell ref="E64:M64"/>
    <mergeCell ref="C15:D15"/>
    <mergeCell ref="C16:D16"/>
    <mergeCell ref="C17:D17"/>
    <mergeCell ref="C18:D18"/>
    <mergeCell ref="C63:D63"/>
    <mergeCell ref="C64:D64"/>
    <mergeCell ref="C53:D53"/>
    <mergeCell ref="C54:D54"/>
    <mergeCell ref="C55:D55"/>
    <mergeCell ref="C56:D56"/>
    <mergeCell ref="C57:D57"/>
    <mergeCell ref="C60:D60"/>
    <mergeCell ref="C61:D61"/>
    <mergeCell ref="C62:D62"/>
    <mergeCell ref="C25:D25"/>
    <mergeCell ref="C26:D26"/>
    <mergeCell ref="C58:D58"/>
    <mergeCell ref="C44:D44"/>
    <mergeCell ref="C45:D45"/>
    <mergeCell ref="C41:D41"/>
    <mergeCell ref="C34:D34"/>
    <mergeCell ref="C35:D35"/>
    <mergeCell ref="C36:D36"/>
    <mergeCell ref="C37:D37"/>
    <mergeCell ref="Q62:R62"/>
    <mergeCell ref="E61:M61"/>
    <mergeCell ref="E62:M62"/>
    <mergeCell ref="E63:M63"/>
    <mergeCell ref="Q15:R15"/>
    <mergeCell ref="Q16:R16"/>
    <mergeCell ref="Q22:R22"/>
    <mergeCell ref="Q21:R21"/>
    <mergeCell ref="Q20:R20"/>
    <mergeCell ref="C19:D19"/>
    <mergeCell ref="C20:D20"/>
    <mergeCell ref="C21:D21"/>
    <mergeCell ref="C28:D28"/>
    <mergeCell ref="Q25:R25"/>
    <mergeCell ref="Q26:R26"/>
    <mergeCell ref="E27:M27"/>
    <mergeCell ref="E28:M28"/>
    <mergeCell ref="E25:M25"/>
    <mergeCell ref="E26:M26"/>
    <mergeCell ref="C27:D27"/>
    <mergeCell ref="E15:M15"/>
    <mergeCell ref="E16:M16"/>
    <mergeCell ref="E17:M17"/>
    <mergeCell ref="E18:M18"/>
    <mergeCell ref="E19:M19"/>
    <mergeCell ref="E20:M20"/>
    <mergeCell ref="E21:M21"/>
    <mergeCell ref="E22:M22"/>
    <mergeCell ref="Q17:R17"/>
    <mergeCell ref="Q23:R23"/>
    <mergeCell ref="Q24:R24"/>
    <mergeCell ref="C22:D22"/>
    <mergeCell ref="C23:D23"/>
    <mergeCell ref="C24:D24"/>
    <mergeCell ref="W28:Z28"/>
    <mergeCell ref="W29:Z29"/>
    <mergeCell ref="W34:Z34"/>
    <mergeCell ref="E34:M34"/>
    <mergeCell ref="W35:Z35"/>
    <mergeCell ref="W36:Z36"/>
    <mergeCell ref="W31:Z31"/>
    <mergeCell ref="U32:V32"/>
    <mergeCell ref="W32:Z33"/>
    <mergeCell ref="W27:Z27"/>
    <mergeCell ref="Q59:R59"/>
    <mergeCell ref="Q54:R54"/>
    <mergeCell ref="Q55:R55"/>
    <mergeCell ref="Q56:R56"/>
    <mergeCell ref="O29:V29"/>
    <mergeCell ref="Q38:R38"/>
    <mergeCell ref="Q36:R36"/>
    <mergeCell ref="Q39:R39"/>
    <mergeCell ref="Q37:R37"/>
    <mergeCell ref="Q34:R34"/>
    <mergeCell ref="Q35:R35"/>
    <mergeCell ref="C59:D59"/>
    <mergeCell ref="E23:M23"/>
    <mergeCell ref="E24:M24"/>
    <mergeCell ref="E40:M40"/>
    <mergeCell ref="E41:M41"/>
    <mergeCell ref="E42:M42"/>
    <mergeCell ref="E43:M43"/>
    <mergeCell ref="E44:M44"/>
    <mergeCell ref="E45:M45"/>
    <mergeCell ref="E46:M46"/>
    <mergeCell ref="E53:M53"/>
    <mergeCell ref="E54:M54"/>
    <mergeCell ref="E32:M33"/>
    <mergeCell ref="C42:D42"/>
    <mergeCell ref="C43:D43"/>
    <mergeCell ref="E37:M37"/>
    <mergeCell ref="E38:M38"/>
    <mergeCell ref="E39:M39"/>
    <mergeCell ref="E35:M35"/>
    <mergeCell ref="E36:M36"/>
    <mergeCell ref="C46:D46"/>
    <mergeCell ref="C38:D38"/>
    <mergeCell ref="C39:D39"/>
    <mergeCell ref="C40:D40"/>
    <mergeCell ref="AJ36:AK36"/>
    <mergeCell ref="AL36:AM36"/>
    <mergeCell ref="AN36:AO36"/>
    <mergeCell ref="AP36:AQ36"/>
    <mergeCell ref="AJ37:AK37"/>
    <mergeCell ref="AL37:AM37"/>
    <mergeCell ref="AN37:AO37"/>
    <mergeCell ref="AP37:AQ37"/>
    <mergeCell ref="AN39:AO39"/>
    <mergeCell ref="W15:Z15"/>
    <mergeCell ref="W16:Z16"/>
    <mergeCell ref="W17:Z17"/>
    <mergeCell ref="W18:Z18"/>
    <mergeCell ref="W19:Z19"/>
    <mergeCell ref="W20:Z20"/>
    <mergeCell ref="W21:Z21"/>
    <mergeCell ref="W22:Z22"/>
    <mergeCell ref="W23:Z23"/>
    <mergeCell ref="W13:Z13"/>
    <mergeCell ref="W14:Z14"/>
    <mergeCell ref="C12:D12"/>
    <mergeCell ref="C13:D13"/>
    <mergeCell ref="C14:D14"/>
    <mergeCell ref="W11:Z11"/>
    <mergeCell ref="E12:M12"/>
    <mergeCell ref="E13:M13"/>
    <mergeCell ref="E14:M14"/>
    <mergeCell ref="Q14:R14"/>
    <mergeCell ref="W65:Z65"/>
    <mergeCell ref="W10:Z10"/>
    <mergeCell ref="W56:Z56"/>
    <mergeCell ref="W57:Z57"/>
    <mergeCell ref="W58:Z58"/>
    <mergeCell ref="W59:Z59"/>
    <mergeCell ref="W60:Z60"/>
    <mergeCell ref="W61:Z61"/>
    <mergeCell ref="W62:Z62"/>
    <mergeCell ref="W63:Z63"/>
    <mergeCell ref="W64:Z64"/>
    <mergeCell ref="W44:Z44"/>
    <mergeCell ref="W45:Z45"/>
    <mergeCell ref="W46:Z46"/>
    <mergeCell ref="W47:Z47"/>
    <mergeCell ref="W48:Z48"/>
    <mergeCell ref="W49:Z49"/>
    <mergeCell ref="W53:Z53"/>
    <mergeCell ref="W54:Z54"/>
    <mergeCell ref="W55:Z55"/>
    <mergeCell ref="W24:Z24"/>
    <mergeCell ref="W25:Z25"/>
    <mergeCell ref="W26:Z26"/>
    <mergeCell ref="W12:Z12"/>
    <mergeCell ref="AJ32:AK32"/>
    <mergeCell ref="AL32:AM32"/>
    <mergeCell ref="AN32:AO32"/>
    <mergeCell ref="AP32:AQ32"/>
    <mergeCell ref="AR32:AS32"/>
    <mergeCell ref="AR33:AS33"/>
    <mergeCell ref="AR34:AS34"/>
    <mergeCell ref="AL35:AM35"/>
    <mergeCell ref="AN35:AO35"/>
    <mergeCell ref="AP35:AQ35"/>
    <mergeCell ref="AJ33:AK33"/>
    <mergeCell ref="AL33:AM33"/>
    <mergeCell ref="AN33:AO33"/>
    <mergeCell ref="AP33:AQ33"/>
    <mergeCell ref="AJ34:AK34"/>
    <mergeCell ref="AL34:AM34"/>
    <mergeCell ref="AN34:AO34"/>
    <mergeCell ref="AP34:AQ34"/>
    <mergeCell ref="AJ35:AK35"/>
    <mergeCell ref="AB11:AD11"/>
    <mergeCell ref="AB12:AD12"/>
    <mergeCell ref="AB13:AD13"/>
    <mergeCell ref="AB14:AD14"/>
    <mergeCell ref="AB15:AD15"/>
    <mergeCell ref="AB16:AD16"/>
    <mergeCell ref="AB17:AD17"/>
    <mergeCell ref="AB18:AD18"/>
    <mergeCell ref="AB19:AD19"/>
    <mergeCell ref="AB20:AD20"/>
    <mergeCell ref="AB21:AD21"/>
    <mergeCell ref="AB22:AD22"/>
    <mergeCell ref="AB23:AD23"/>
    <mergeCell ref="AB24:AD24"/>
    <mergeCell ref="AB25:AD25"/>
    <mergeCell ref="AB26:AD26"/>
    <mergeCell ref="AB27:AD27"/>
    <mergeCell ref="AB28:AD28"/>
    <mergeCell ref="AB29:AD29"/>
    <mergeCell ref="AB32:AD33"/>
    <mergeCell ref="AB34:AD34"/>
    <mergeCell ref="AB35:AD35"/>
    <mergeCell ref="AB36:AD36"/>
    <mergeCell ref="AB37:AD37"/>
    <mergeCell ref="AB38:AD38"/>
    <mergeCell ref="AB39:AD39"/>
    <mergeCell ref="AB40:AD40"/>
    <mergeCell ref="AT32:AU32"/>
    <mergeCell ref="AV32:AW32"/>
    <mergeCell ref="AT33:AU33"/>
    <mergeCell ref="AV33:AW33"/>
    <mergeCell ref="AT34:AU34"/>
    <mergeCell ref="AV34:AW34"/>
    <mergeCell ref="AT35:AU35"/>
    <mergeCell ref="AV35:AW35"/>
    <mergeCell ref="AT36:AU36"/>
    <mergeCell ref="AV36:AW36"/>
    <mergeCell ref="Q64:R64"/>
    <mergeCell ref="Q60:R60"/>
    <mergeCell ref="AT37:AU37"/>
    <mergeCell ref="AV37:AW37"/>
    <mergeCell ref="AT38:AU38"/>
    <mergeCell ref="AV38:AW38"/>
    <mergeCell ref="AT39:AU39"/>
    <mergeCell ref="AV39:AW39"/>
    <mergeCell ref="AT40:AU40"/>
    <mergeCell ref="AV40:AW40"/>
    <mergeCell ref="AT41:AU41"/>
    <mergeCell ref="AV41:AW41"/>
    <mergeCell ref="AP39:AQ39"/>
    <mergeCell ref="AJ39:AK39"/>
    <mergeCell ref="AL39:AM39"/>
    <mergeCell ref="AJ38:AK38"/>
    <mergeCell ref="AL38:AM38"/>
    <mergeCell ref="AN38:AO38"/>
    <mergeCell ref="AP38:AQ38"/>
    <mergeCell ref="Q41:R41"/>
    <mergeCell ref="W37:Z37"/>
    <mergeCell ref="W38:Z38"/>
    <mergeCell ref="W39:Z39"/>
    <mergeCell ref="Q61:R61"/>
    <mergeCell ref="AJ31:AO31"/>
    <mergeCell ref="AR31:AW31"/>
    <mergeCell ref="O65:V65"/>
    <mergeCell ref="AT42:AU42"/>
    <mergeCell ref="AV42:AW42"/>
    <mergeCell ref="AT43:AU43"/>
    <mergeCell ref="AV43:AW43"/>
    <mergeCell ref="AT44:AU44"/>
    <mergeCell ref="AV44:AW44"/>
    <mergeCell ref="AT45:AU45"/>
    <mergeCell ref="AV45:AW45"/>
    <mergeCell ref="AT46:AU46"/>
    <mergeCell ref="AV46:AW46"/>
    <mergeCell ref="AB64:AD64"/>
    <mergeCell ref="AB65:AD65"/>
    <mergeCell ref="AB54:AD54"/>
    <mergeCell ref="AB55:AD55"/>
    <mergeCell ref="AB56:AD56"/>
    <mergeCell ref="AB57:AD57"/>
    <mergeCell ref="AB58:AD58"/>
    <mergeCell ref="AB59:AD59"/>
    <mergeCell ref="AB60:AD60"/>
    <mergeCell ref="AB61:AD61"/>
    <mergeCell ref="AB62:AD62"/>
  </mergeCells>
  <pageMargins left="0.7" right="0.7" top="0.75" bottom="0.75" header="0.3" footer="0.3"/>
  <pageSetup scale="69" orientation="portrait" r:id="rId1"/>
  <legacyDrawingHF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BY94"/>
  <sheetViews>
    <sheetView tabSelected="1" topLeftCell="A52" zoomScale="110" zoomScaleNormal="110" zoomScaleSheetLayoutView="100" workbookViewId="0">
      <selection activeCell="N42" sqref="N42:Y42"/>
    </sheetView>
  </sheetViews>
  <sheetFormatPr baseColWidth="10" defaultColWidth="10.6640625" defaultRowHeight="17" x14ac:dyDescent="0.2"/>
  <cols>
    <col min="1" max="16" width="4.6640625" style="7" customWidth="1"/>
    <col min="17" max="18" width="4.6640625" style="63" customWidth="1"/>
    <col min="19" max="21" width="4.6640625" style="7" customWidth="1"/>
    <col min="22" max="22" width="4.83203125" style="7" customWidth="1"/>
    <col min="23" max="23" width="4.6640625" style="7" customWidth="1"/>
    <col min="24" max="26" width="4.6640625" style="24" customWidth="1"/>
    <col min="27" max="27" width="4.6640625" style="7" customWidth="1"/>
    <col min="28" max="30" width="4.6640625" style="24" customWidth="1"/>
    <col min="31" max="31" width="4.6640625" style="7" customWidth="1"/>
    <col min="32" max="34" width="4.6640625" style="24" customWidth="1"/>
    <col min="35" max="50" width="4.6640625" style="7" customWidth="1"/>
    <col min="51" max="16384" width="10.6640625" style="7"/>
  </cols>
  <sheetData>
    <row r="1" spans="2:77" ht="16.5" customHeight="1" x14ac:dyDescent="0.2">
      <c r="B1"/>
      <c r="C1"/>
      <c r="D1"/>
      <c r="E1"/>
      <c r="F1"/>
      <c r="G1"/>
      <c r="H1"/>
      <c r="I1"/>
      <c r="J1"/>
      <c r="K1"/>
      <c r="L1"/>
      <c r="P1"/>
      <c r="Q1"/>
      <c r="BY1" s="7" t="s">
        <v>407</v>
      </c>
    </row>
    <row r="2" spans="2:77" ht="6.5" customHeight="1" x14ac:dyDescent="0.2">
      <c r="B2"/>
      <c r="C2"/>
      <c r="D2"/>
      <c r="E2"/>
      <c r="F2"/>
      <c r="G2"/>
      <c r="H2"/>
      <c r="I2"/>
      <c r="J2"/>
      <c r="K2"/>
      <c r="L2"/>
      <c r="M2"/>
    </row>
    <row r="3" spans="2:77" ht="16.5" customHeight="1" x14ac:dyDescent="0.2">
      <c r="B3"/>
      <c r="C3"/>
      <c r="D3"/>
      <c r="E3"/>
      <c r="F3"/>
      <c r="G3"/>
      <c r="H3"/>
      <c r="I3"/>
      <c r="J3"/>
      <c r="K3"/>
      <c r="L3"/>
      <c r="M3"/>
      <c r="R3" s="7"/>
    </row>
    <row r="4" spans="2:77" ht="6.5" customHeight="1" x14ac:dyDescent="0.2">
      <c r="B4"/>
      <c r="C4"/>
      <c r="D4"/>
      <c r="E4"/>
      <c r="F4"/>
      <c r="G4"/>
      <c r="H4"/>
      <c r="I4"/>
      <c r="J4"/>
      <c r="K4"/>
      <c r="L4"/>
      <c r="R4" s="7"/>
    </row>
    <row r="5" spans="2:77" ht="16.5" customHeight="1" x14ac:dyDescent="0.2">
      <c r="B5"/>
      <c r="C5"/>
      <c r="D5"/>
      <c r="E5"/>
      <c r="F5"/>
      <c r="G5"/>
      <c r="H5"/>
      <c r="I5"/>
      <c r="J5"/>
      <c r="K5"/>
      <c r="L5"/>
      <c r="M5"/>
    </row>
    <row r="6" spans="2:77" ht="16.5" customHeight="1" x14ac:dyDescent="0.2">
      <c r="C6"/>
      <c r="D6"/>
      <c r="E6"/>
      <c r="F6"/>
      <c r="G6"/>
      <c r="I6"/>
      <c r="J6"/>
      <c r="K6"/>
      <c r="L6"/>
      <c r="M6"/>
    </row>
    <row r="7" spans="2:77" ht="16" customHeight="1" x14ac:dyDescent="0.2"/>
    <row r="8" spans="2:77" s="323" customFormat="1" ht="20" customHeight="1" x14ac:dyDescent="0.2">
      <c r="C8" s="4" t="s">
        <v>266</v>
      </c>
      <c r="D8" s="5" t="s">
        <v>92</v>
      </c>
      <c r="E8" s="5"/>
      <c r="F8" s="349"/>
      <c r="G8" s="349"/>
      <c r="H8" s="349"/>
      <c r="I8" s="349"/>
      <c r="J8" s="349"/>
      <c r="K8" s="349"/>
      <c r="L8" s="349"/>
      <c r="M8" s="349"/>
      <c r="N8" s="349"/>
      <c r="O8" s="359"/>
      <c r="P8" s="359"/>
      <c r="Q8" s="359"/>
      <c r="R8" s="359"/>
      <c r="S8" s="359"/>
      <c r="T8" s="359"/>
      <c r="U8" s="359"/>
      <c r="V8" s="359"/>
      <c r="W8" s="774"/>
      <c r="X8" s="774"/>
      <c r="Y8" s="774"/>
      <c r="Z8" s="774"/>
      <c r="AB8" s="771"/>
      <c r="AC8" s="772"/>
      <c r="AD8" s="772"/>
      <c r="AF8" s="771"/>
      <c r="AG8" s="772"/>
      <c r="AH8" s="772"/>
    </row>
    <row r="9" spans="2:77" s="110" customFormat="1" ht="16.25" customHeight="1" x14ac:dyDescent="0.15">
      <c r="C9" s="128"/>
      <c r="D9" s="116"/>
      <c r="E9" s="116" t="s">
        <v>384</v>
      </c>
      <c r="F9" s="130"/>
      <c r="G9" s="130"/>
      <c r="H9" s="130"/>
      <c r="I9" s="130"/>
      <c r="J9" s="130"/>
      <c r="K9" s="130"/>
      <c r="L9" s="130"/>
      <c r="M9" s="130"/>
      <c r="N9" s="726" t="s">
        <v>375</v>
      </c>
      <c r="O9" s="726"/>
      <c r="P9" s="134"/>
      <c r="Q9" s="727" t="s">
        <v>220</v>
      </c>
      <c r="R9" s="727"/>
      <c r="S9" s="134"/>
      <c r="T9" s="154" t="s">
        <v>400</v>
      </c>
      <c r="U9" s="162"/>
      <c r="V9" s="134"/>
      <c r="W9" s="769" t="s">
        <v>370</v>
      </c>
      <c r="X9" s="769"/>
      <c r="Y9" s="769"/>
      <c r="Z9" s="770"/>
      <c r="AB9" s="746" t="s">
        <v>363</v>
      </c>
      <c r="AC9" s="747"/>
      <c r="AD9" s="748"/>
      <c r="AF9" s="746" t="s">
        <v>447</v>
      </c>
      <c r="AG9" s="747"/>
      <c r="AH9" s="748"/>
    </row>
    <row r="10" spans="2:77" s="51" customFormat="1" ht="20.5" customHeight="1" x14ac:dyDescent="0.15">
      <c r="C10" s="708">
        <v>193</v>
      </c>
      <c r="D10" s="709"/>
      <c r="E10" s="700" t="s">
        <v>64</v>
      </c>
      <c r="F10" s="700"/>
      <c r="G10" s="700"/>
      <c r="H10" s="700"/>
      <c r="I10" s="700"/>
      <c r="J10" s="700"/>
      <c r="K10" s="700"/>
      <c r="L10" s="700"/>
      <c r="M10" s="700"/>
      <c r="N10" s="309"/>
      <c r="O10" s="309" t="s">
        <v>116</v>
      </c>
      <c r="P10" s="310" t="s">
        <v>117</v>
      </c>
      <c r="Q10" s="728">
        <v>222</v>
      </c>
      <c r="R10" s="728"/>
      <c r="S10" s="311" t="s">
        <v>143</v>
      </c>
      <c r="T10" s="309"/>
      <c r="U10" s="279"/>
      <c r="V10" s="279"/>
      <c r="W10" s="664">
        <f t="shared" ref="W10:W21" si="0">N10*Q10*(IF(ISNUMBER(T10),T10,IF(ISNUMBER(N10),1,0)))</f>
        <v>0</v>
      </c>
      <c r="X10" s="664"/>
      <c r="Y10" s="664"/>
      <c r="Z10" s="665"/>
      <c r="AA10" s="316"/>
      <c r="AB10" s="663">
        <v>0</v>
      </c>
      <c r="AC10" s="664"/>
      <c r="AD10" s="665"/>
      <c r="AF10" s="663">
        <f t="shared" ref="AF10:AF28" si="1">AB10-W10</f>
        <v>0</v>
      </c>
      <c r="AG10" s="664"/>
      <c r="AH10" s="665"/>
    </row>
    <row r="11" spans="2:77" s="51" customFormat="1" ht="20.5" customHeight="1" x14ac:dyDescent="0.15">
      <c r="C11" s="708">
        <v>194</v>
      </c>
      <c r="D11" s="709"/>
      <c r="E11" s="700" t="s">
        <v>65</v>
      </c>
      <c r="F11" s="700"/>
      <c r="G11" s="700"/>
      <c r="H11" s="700"/>
      <c r="I11" s="700"/>
      <c r="J11" s="700"/>
      <c r="K11" s="700"/>
      <c r="L11" s="700"/>
      <c r="M11" s="700"/>
      <c r="N11" s="309"/>
      <c r="O11" s="309" t="s">
        <v>116</v>
      </c>
      <c r="P11" s="310" t="s">
        <v>117</v>
      </c>
      <c r="Q11" s="728"/>
      <c r="R11" s="728"/>
      <c r="S11" s="311" t="s">
        <v>143</v>
      </c>
      <c r="T11" s="309"/>
      <c r="U11" s="279"/>
      <c r="V11" s="279"/>
      <c r="W11" s="664">
        <f t="shared" si="0"/>
        <v>0</v>
      </c>
      <c r="X11" s="664"/>
      <c r="Y11" s="664"/>
      <c r="Z11" s="665"/>
      <c r="AA11" s="316"/>
      <c r="AB11" s="663">
        <v>0</v>
      </c>
      <c r="AC11" s="664"/>
      <c r="AD11" s="665"/>
      <c r="AF11" s="663">
        <f t="shared" si="1"/>
        <v>0</v>
      </c>
      <c r="AG11" s="664"/>
      <c r="AH11" s="665"/>
    </row>
    <row r="12" spans="2:77" s="51" customFormat="1" ht="20.5" customHeight="1" x14ac:dyDescent="0.15">
      <c r="C12" s="708">
        <v>195</v>
      </c>
      <c r="D12" s="709"/>
      <c r="E12" s="700" t="s">
        <v>66</v>
      </c>
      <c r="F12" s="700"/>
      <c r="G12" s="700"/>
      <c r="H12" s="700"/>
      <c r="I12" s="700"/>
      <c r="J12" s="700"/>
      <c r="K12" s="700"/>
      <c r="L12" s="700"/>
      <c r="M12" s="700"/>
      <c r="N12" s="309"/>
      <c r="O12" s="309" t="s">
        <v>116</v>
      </c>
      <c r="P12" s="310" t="s">
        <v>117</v>
      </c>
      <c r="Q12" s="728"/>
      <c r="R12" s="728"/>
      <c r="S12" s="311" t="s">
        <v>143</v>
      </c>
      <c r="T12" s="309"/>
      <c r="U12" s="279"/>
      <c r="V12" s="279"/>
      <c r="W12" s="664">
        <f t="shared" si="0"/>
        <v>0</v>
      </c>
      <c r="X12" s="664"/>
      <c r="Y12" s="664"/>
      <c r="Z12" s="665"/>
      <c r="AB12" s="663">
        <v>0</v>
      </c>
      <c r="AC12" s="664"/>
      <c r="AD12" s="665"/>
      <c r="AF12" s="663">
        <f t="shared" si="1"/>
        <v>0</v>
      </c>
      <c r="AG12" s="664"/>
      <c r="AH12" s="665"/>
    </row>
    <row r="13" spans="2:77" s="51" customFormat="1" ht="20.5" customHeight="1" x14ac:dyDescent="0.15">
      <c r="C13" s="708">
        <v>196</v>
      </c>
      <c r="D13" s="709"/>
      <c r="E13" s="700" t="s">
        <v>67</v>
      </c>
      <c r="F13" s="700"/>
      <c r="G13" s="700"/>
      <c r="H13" s="700"/>
      <c r="I13" s="700"/>
      <c r="J13" s="700"/>
      <c r="K13" s="700"/>
      <c r="L13" s="700"/>
      <c r="M13" s="700"/>
      <c r="N13" s="309"/>
      <c r="O13" s="309" t="s">
        <v>116</v>
      </c>
      <c r="P13" s="310" t="s">
        <v>117</v>
      </c>
      <c r="Q13" s="728"/>
      <c r="R13" s="728"/>
      <c r="S13" s="311" t="s">
        <v>143</v>
      </c>
      <c r="T13" s="309"/>
      <c r="U13" s="279"/>
      <c r="V13" s="279"/>
      <c r="W13" s="664">
        <f t="shared" si="0"/>
        <v>0</v>
      </c>
      <c r="X13" s="664"/>
      <c r="Y13" s="664"/>
      <c r="Z13" s="665"/>
      <c r="AB13" s="663">
        <v>0</v>
      </c>
      <c r="AC13" s="664"/>
      <c r="AD13" s="665"/>
      <c r="AF13" s="663">
        <f t="shared" si="1"/>
        <v>0</v>
      </c>
      <c r="AG13" s="664"/>
      <c r="AH13" s="665"/>
    </row>
    <row r="14" spans="2:77" s="51" customFormat="1" ht="20.5" customHeight="1" x14ac:dyDescent="0.15">
      <c r="C14" s="708">
        <v>197</v>
      </c>
      <c r="D14" s="709"/>
      <c r="E14" s="700" t="s">
        <v>68</v>
      </c>
      <c r="F14" s="700"/>
      <c r="G14" s="700"/>
      <c r="H14" s="700"/>
      <c r="I14" s="700"/>
      <c r="J14" s="700"/>
      <c r="K14" s="700"/>
      <c r="L14" s="700"/>
      <c r="M14" s="700"/>
      <c r="N14" s="309"/>
      <c r="O14" s="309" t="s">
        <v>116</v>
      </c>
      <c r="P14" s="310" t="s">
        <v>117</v>
      </c>
      <c r="Q14" s="728"/>
      <c r="R14" s="728"/>
      <c r="S14" s="311" t="s">
        <v>143</v>
      </c>
      <c r="T14" s="309"/>
      <c r="U14" s="279"/>
      <c r="V14" s="279"/>
      <c r="W14" s="664">
        <f t="shared" si="0"/>
        <v>0</v>
      </c>
      <c r="X14" s="664"/>
      <c r="Y14" s="664"/>
      <c r="Z14" s="665"/>
      <c r="AB14" s="663">
        <v>0</v>
      </c>
      <c r="AC14" s="664"/>
      <c r="AD14" s="665"/>
      <c r="AF14" s="663">
        <f t="shared" si="1"/>
        <v>0</v>
      </c>
      <c r="AG14" s="664"/>
      <c r="AH14" s="665"/>
      <c r="AI14" s="317"/>
    </row>
    <row r="15" spans="2:77" s="51" customFormat="1" ht="20.5" customHeight="1" x14ac:dyDescent="0.15">
      <c r="C15" s="708">
        <v>198</v>
      </c>
      <c r="D15" s="709"/>
      <c r="E15" s="700" t="s">
        <v>69</v>
      </c>
      <c r="F15" s="700"/>
      <c r="G15" s="700"/>
      <c r="H15" s="700"/>
      <c r="I15" s="700"/>
      <c r="J15" s="700"/>
      <c r="K15" s="700"/>
      <c r="L15" s="700"/>
      <c r="M15" s="700"/>
      <c r="N15" s="309"/>
      <c r="O15" s="309" t="s">
        <v>116</v>
      </c>
      <c r="P15" s="310" t="s">
        <v>117</v>
      </c>
      <c r="Q15" s="728"/>
      <c r="R15" s="728"/>
      <c r="S15" s="311" t="s">
        <v>143</v>
      </c>
      <c r="T15" s="309"/>
      <c r="U15" s="279"/>
      <c r="V15" s="279"/>
      <c r="W15" s="664">
        <f t="shared" si="0"/>
        <v>0</v>
      </c>
      <c r="X15" s="664"/>
      <c r="Y15" s="664"/>
      <c r="Z15" s="665"/>
      <c r="AB15" s="663">
        <v>0</v>
      </c>
      <c r="AC15" s="664"/>
      <c r="AD15" s="665"/>
      <c r="AF15" s="663">
        <f t="shared" si="1"/>
        <v>0</v>
      </c>
      <c r="AG15" s="664"/>
      <c r="AH15" s="665"/>
    </row>
    <row r="16" spans="2:77" s="51" customFormat="1" ht="20.5" customHeight="1" x14ac:dyDescent="0.15">
      <c r="C16" s="708">
        <v>199</v>
      </c>
      <c r="D16" s="709"/>
      <c r="E16" s="700" t="s">
        <v>70</v>
      </c>
      <c r="F16" s="700"/>
      <c r="G16" s="700"/>
      <c r="H16" s="700"/>
      <c r="I16" s="700"/>
      <c r="J16" s="700"/>
      <c r="K16" s="700"/>
      <c r="L16" s="700"/>
      <c r="M16" s="700"/>
      <c r="N16" s="309"/>
      <c r="O16" s="309" t="s">
        <v>116</v>
      </c>
      <c r="P16" s="310" t="s">
        <v>117</v>
      </c>
      <c r="Q16" s="728"/>
      <c r="R16" s="728"/>
      <c r="S16" s="311" t="s">
        <v>143</v>
      </c>
      <c r="T16" s="309"/>
      <c r="U16" s="279"/>
      <c r="V16" s="279"/>
      <c r="W16" s="664">
        <f t="shared" si="0"/>
        <v>0</v>
      </c>
      <c r="X16" s="664"/>
      <c r="Y16" s="664"/>
      <c r="Z16" s="665"/>
      <c r="AB16" s="663">
        <v>0</v>
      </c>
      <c r="AC16" s="664"/>
      <c r="AD16" s="665"/>
      <c r="AF16" s="663">
        <f t="shared" si="1"/>
        <v>0</v>
      </c>
      <c r="AG16" s="664"/>
      <c r="AH16" s="665"/>
    </row>
    <row r="17" spans="3:39" s="51" customFormat="1" ht="20.5" customHeight="1" x14ac:dyDescent="0.15">
      <c r="C17" s="708">
        <v>200</v>
      </c>
      <c r="D17" s="709"/>
      <c r="E17" s="700" t="s">
        <v>71</v>
      </c>
      <c r="F17" s="700"/>
      <c r="G17" s="700"/>
      <c r="H17" s="700"/>
      <c r="I17" s="700"/>
      <c r="J17" s="700"/>
      <c r="K17" s="700"/>
      <c r="L17" s="700"/>
      <c r="M17" s="700"/>
      <c r="N17" s="309"/>
      <c r="O17" s="309" t="s">
        <v>116</v>
      </c>
      <c r="P17" s="310" t="s">
        <v>117</v>
      </c>
      <c r="Q17" s="728"/>
      <c r="R17" s="728"/>
      <c r="S17" s="311" t="s">
        <v>143</v>
      </c>
      <c r="T17" s="309"/>
      <c r="U17" s="279"/>
      <c r="V17" s="279"/>
      <c r="W17" s="664">
        <f t="shared" si="0"/>
        <v>0</v>
      </c>
      <c r="X17" s="664"/>
      <c r="Y17" s="664"/>
      <c r="Z17" s="665"/>
      <c r="AB17" s="663">
        <v>0</v>
      </c>
      <c r="AC17" s="664"/>
      <c r="AD17" s="665"/>
      <c r="AF17" s="663">
        <f t="shared" si="1"/>
        <v>0</v>
      </c>
      <c r="AG17" s="664"/>
      <c r="AH17" s="665"/>
    </row>
    <row r="18" spans="3:39" s="51" customFormat="1" ht="20.5" customHeight="1" x14ac:dyDescent="0.15">
      <c r="C18" s="708">
        <v>201</v>
      </c>
      <c r="D18" s="709"/>
      <c r="E18" s="700" t="s">
        <v>72</v>
      </c>
      <c r="F18" s="700"/>
      <c r="G18" s="700"/>
      <c r="H18" s="700"/>
      <c r="I18" s="700"/>
      <c r="J18" s="700"/>
      <c r="K18" s="700"/>
      <c r="L18" s="700"/>
      <c r="M18" s="700"/>
      <c r="N18" s="309"/>
      <c r="O18" s="309" t="s">
        <v>116</v>
      </c>
      <c r="P18" s="310" t="s">
        <v>117</v>
      </c>
      <c r="Q18" s="728"/>
      <c r="R18" s="728"/>
      <c r="S18" s="311" t="s">
        <v>143</v>
      </c>
      <c r="T18" s="309"/>
      <c r="U18" s="279"/>
      <c r="V18" s="279"/>
      <c r="W18" s="664">
        <f t="shared" si="0"/>
        <v>0</v>
      </c>
      <c r="X18" s="664"/>
      <c r="Y18" s="664"/>
      <c r="Z18" s="665"/>
      <c r="AA18" s="316"/>
      <c r="AB18" s="663">
        <v>0</v>
      </c>
      <c r="AC18" s="664"/>
      <c r="AD18" s="665"/>
      <c r="AF18" s="663">
        <f t="shared" si="1"/>
        <v>0</v>
      </c>
      <c r="AG18" s="664"/>
      <c r="AH18" s="665"/>
    </row>
    <row r="19" spans="3:39" s="51" customFormat="1" ht="20.5" customHeight="1" x14ac:dyDescent="0.15">
      <c r="C19" s="708">
        <v>202</v>
      </c>
      <c r="D19" s="709"/>
      <c r="E19" s="700" t="s">
        <v>316</v>
      </c>
      <c r="F19" s="700"/>
      <c r="G19" s="700"/>
      <c r="H19" s="700"/>
      <c r="I19" s="700"/>
      <c r="J19" s="700"/>
      <c r="K19" s="700"/>
      <c r="L19" s="700"/>
      <c r="M19" s="700"/>
      <c r="N19" s="309"/>
      <c r="O19" s="309" t="s">
        <v>116</v>
      </c>
      <c r="P19" s="310" t="s">
        <v>117</v>
      </c>
      <c r="Q19" s="728"/>
      <c r="R19" s="728"/>
      <c r="S19" s="311" t="s">
        <v>143</v>
      </c>
      <c r="T19" s="309"/>
      <c r="U19" s="279"/>
      <c r="V19" s="279"/>
      <c r="W19" s="664">
        <f t="shared" si="0"/>
        <v>0</v>
      </c>
      <c r="X19" s="664"/>
      <c r="Y19" s="664"/>
      <c r="Z19" s="665"/>
      <c r="AB19" s="663">
        <v>0</v>
      </c>
      <c r="AC19" s="664"/>
      <c r="AD19" s="665"/>
      <c r="AF19" s="663">
        <f t="shared" si="1"/>
        <v>0</v>
      </c>
      <c r="AG19" s="664"/>
      <c r="AH19" s="665"/>
    </row>
    <row r="20" spans="3:39" s="51" customFormat="1" ht="20.5" customHeight="1" x14ac:dyDescent="0.15">
      <c r="C20" s="708">
        <v>203</v>
      </c>
      <c r="D20" s="709"/>
      <c r="E20" s="700" t="s">
        <v>317</v>
      </c>
      <c r="F20" s="700"/>
      <c r="G20" s="700"/>
      <c r="H20" s="700"/>
      <c r="I20" s="700"/>
      <c r="J20" s="700"/>
      <c r="K20" s="700"/>
      <c r="L20" s="700"/>
      <c r="M20" s="700"/>
      <c r="N20" s="309"/>
      <c r="O20" s="309" t="s">
        <v>116</v>
      </c>
      <c r="P20" s="310" t="s">
        <v>117</v>
      </c>
      <c r="Q20" s="728"/>
      <c r="R20" s="728"/>
      <c r="S20" s="311" t="s">
        <v>143</v>
      </c>
      <c r="T20" s="309"/>
      <c r="U20" s="279"/>
      <c r="V20" s="279"/>
      <c r="W20" s="664">
        <f t="shared" si="0"/>
        <v>0</v>
      </c>
      <c r="X20" s="664"/>
      <c r="Y20" s="664"/>
      <c r="Z20" s="665"/>
      <c r="AB20" s="663">
        <v>0</v>
      </c>
      <c r="AC20" s="664"/>
      <c r="AD20" s="665"/>
      <c r="AF20" s="663">
        <f t="shared" si="1"/>
        <v>0</v>
      </c>
      <c r="AG20" s="664"/>
      <c r="AH20" s="665"/>
    </row>
    <row r="21" spans="3:39" s="51" customFormat="1" ht="20.5" customHeight="1" x14ac:dyDescent="0.15">
      <c r="C21" s="708">
        <v>204</v>
      </c>
      <c r="D21" s="709"/>
      <c r="E21" s="700" t="s">
        <v>73</v>
      </c>
      <c r="F21" s="700"/>
      <c r="G21" s="700"/>
      <c r="H21" s="700"/>
      <c r="I21" s="700"/>
      <c r="J21" s="700"/>
      <c r="K21" s="700"/>
      <c r="L21" s="700"/>
      <c r="M21" s="700"/>
      <c r="N21" s="309"/>
      <c r="O21" s="309" t="s">
        <v>116</v>
      </c>
      <c r="P21" s="310" t="s">
        <v>117</v>
      </c>
      <c r="Q21" s="728"/>
      <c r="R21" s="728"/>
      <c r="S21" s="311" t="s">
        <v>143</v>
      </c>
      <c r="T21" s="309"/>
      <c r="U21" s="279"/>
      <c r="V21" s="279"/>
      <c r="W21" s="664">
        <f t="shared" si="0"/>
        <v>0</v>
      </c>
      <c r="X21" s="664"/>
      <c r="Y21" s="664"/>
      <c r="Z21" s="665"/>
      <c r="AB21" s="663">
        <v>0</v>
      </c>
      <c r="AC21" s="664"/>
      <c r="AD21" s="665"/>
      <c r="AF21" s="663">
        <f t="shared" si="1"/>
        <v>0</v>
      </c>
      <c r="AG21" s="664"/>
      <c r="AH21" s="665"/>
    </row>
    <row r="22" spans="3:39" s="51" customFormat="1" ht="20.5" customHeight="1" x14ac:dyDescent="0.15">
      <c r="C22" s="708">
        <v>205</v>
      </c>
      <c r="D22" s="709"/>
      <c r="E22" s="700" t="s">
        <v>805</v>
      </c>
      <c r="F22" s="700"/>
      <c r="G22" s="700"/>
      <c r="H22" s="700"/>
      <c r="I22" s="700"/>
      <c r="J22" s="700"/>
      <c r="K22" s="700"/>
      <c r="L22" s="700"/>
      <c r="M22" s="700"/>
      <c r="N22" s="309"/>
      <c r="O22" s="309" t="s">
        <v>116</v>
      </c>
      <c r="P22" s="310" t="s">
        <v>117</v>
      </c>
      <c r="Q22" s="728"/>
      <c r="R22" s="728"/>
      <c r="S22" s="311" t="s">
        <v>143</v>
      </c>
      <c r="T22" s="309"/>
      <c r="U22" s="279"/>
      <c r="V22" s="279"/>
      <c r="W22" s="664">
        <f t="shared" ref="W22:W27" si="2">N22*Q22*(IF(ISNUMBER(T22),T22,IF(ISNUMBER(N22),1,0)))</f>
        <v>0</v>
      </c>
      <c r="X22" s="664"/>
      <c r="Y22" s="664"/>
      <c r="Z22" s="665"/>
      <c r="AB22" s="663">
        <v>0</v>
      </c>
      <c r="AC22" s="664"/>
      <c r="AD22" s="665"/>
      <c r="AF22" s="663">
        <f t="shared" si="1"/>
        <v>0</v>
      </c>
      <c r="AG22" s="664"/>
      <c r="AH22" s="665"/>
    </row>
    <row r="23" spans="3:39" s="51" customFormat="1" ht="20.5" customHeight="1" x14ac:dyDescent="0.15">
      <c r="C23" s="708">
        <v>206</v>
      </c>
      <c r="D23" s="709"/>
      <c r="E23" s="700" t="s">
        <v>318</v>
      </c>
      <c r="F23" s="700"/>
      <c r="G23" s="700"/>
      <c r="H23" s="700"/>
      <c r="I23" s="700"/>
      <c r="J23" s="700"/>
      <c r="K23" s="700"/>
      <c r="L23" s="700"/>
      <c r="M23" s="700"/>
      <c r="N23" s="309"/>
      <c r="O23" s="309" t="s">
        <v>116</v>
      </c>
      <c r="P23" s="310" t="s">
        <v>117</v>
      </c>
      <c r="Q23" s="728"/>
      <c r="R23" s="728"/>
      <c r="S23" s="311" t="s">
        <v>143</v>
      </c>
      <c r="T23" s="309"/>
      <c r="U23" s="279"/>
      <c r="V23" s="279"/>
      <c r="W23" s="664">
        <f t="shared" si="2"/>
        <v>0</v>
      </c>
      <c r="X23" s="664"/>
      <c r="Y23" s="664"/>
      <c r="Z23" s="665"/>
      <c r="AB23" s="663">
        <v>0</v>
      </c>
      <c r="AC23" s="664"/>
      <c r="AD23" s="665"/>
      <c r="AF23" s="663">
        <f t="shared" si="1"/>
        <v>0</v>
      </c>
      <c r="AG23" s="664"/>
      <c r="AH23" s="665"/>
    </row>
    <row r="24" spans="3:39" s="51" customFormat="1" ht="20.5" customHeight="1" x14ac:dyDescent="0.15">
      <c r="C24" s="708">
        <v>207</v>
      </c>
      <c r="D24" s="709"/>
      <c r="E24" s="700" t="s">
        <v>319</v>
      </c>
      <c r="F24" s="700"/>
      <c r="G24" s="700"/>
      <c r="H24" s="700"/>
      <c r="I24" s="700"/>
      <c r="J24" s="700"/>
      <c r="K24" s="700"/>
      <c r="L24" s="700"/>
      <c r="M24" s="700"/>
      <c r="N24" s="309"/>
      <c r="O24" s="309" t="s">
        <v>116</v>
      </c>
      <c r="P24" s="310" t="s">
        <v>117</v>
      </c>
      <c r="Q24" s="728"/>
      <c r="R24" s="728"/>
      <c r="S24" s="311" t="s">
        <v>143</v>
      </c>
      <c r="T24" s="309"/>
      <c r="U24" s="279"/>
      <c r="V24" s="279"/>
      <c r="W24" s="664">
        <f>N24*Q24*(IF(ISNUMBER(T24),T24,IF(ISNUMBER(N24),1,0)))</f>
        <v>0</v>
      </c>
      <c r="X24" s="664"/>
      <c r="Y24" s="664"/>
      <c r="Z24" s="665"/>
      <c r="AB24" s="663">
        <v>0</v>
      </c>
      <c r="AC24" s="664"/>
      <c r="AD24" s="665"/>
      <c r="AF24" s="663">
        <f t="shared" si="1"/>
        <v>0</v>
      </c>
      <c r="AG24" s="664"/>
      <c r="AH24" s="665"/>
    </row>
    <row r="25" spans="3:39" s="51" customFormat="1" ht="20.5" customHeight="1" x14ac:dyDescent="0.15">
      <c r="C25" s="708">
        <v>208</v>
      </c>
      <c r="D25" s="709"/>
      <c r="E25" s="700" t="s">
        <v>74</v>
      </c>
      <c r="F25" s="700"/>
      <c r="G25" s="700"/>
      <c r="H25" s="700"/>
      <c r="I25" s="700"/>
      <c r="J25" s="700"/>
      <c r="K25" s="700"/>
      <c r="L25" s="700"/>
      <c r="M25" s="700"/>
      <c r="N25" s="309"/>
      <c r="O25" s="309" t="s">
        <v>116</v>
      </c>
      <c r="P25" s="310" t="s">
        <v>117</v>
      </c>
      <c r="Q25" s="728"/>
      <c r="R25" s="728"/>
      <c r="S25" s="311" t="s">
        <v>143</v>
      </c>
      <c r="T25" s="309"/>
      <c r="U25" s="279"/>
      <c r="V25" s="279"/>
      <c r="W25" s="664">
        <f>N25*Q25*(IF(ISNUMBER(T25),T25,IF(ISNUMBER(N25),1,0)))</f>
        <v>0</v>
      </c>
      <c r="X25" s="664"/>
      <c r="Y25" s="664"/>
      <c r="Z25" s="665"/>
      <c r="AB25" s="663">
        <v>0</v>
      </c>
      <c r="AC25" s="664"/>
      <c r="AD25" s="665"/>
      <c r="AF25" s="663">
        <f t="shared" si="1"/>
        <v>0</v>
      </c>
      <c r="AG25" s="664"/>
      <c r="AH25" s="665"/>
    </row>
    <row r="26" spans="3:39" s="51" customFormat="1" ht="20.5" customHeight="1" x14ac:dyDescent="0.15">
      <c r="C26" s="708">
        <v>209</v>
      </c>
      <c r="D26" s="709"/>
      <c r="E26" s="700" t="s">
        <v>75</v>
      </c>
      <c r="F26" s="700"/>
      <c r="G26" s="700"/>
      <c r="H26" s="700"/>
      <c r="I26" s="700"/>
      <c r="J26" s="700"/>
      <c r="K26" s="700"/>
      <c r="L26" s="700"/>
      <c r="M26" s="700"/>
      <c r="N26" s="309"/>
      <c r="O26" s="309" t="s">
        <v>116</v>
      </c>
      <c r="P26" s="310" t="s">
        <v>117</v>
      </c>
      <c r="Q26" s="728"/>
      <c r="R26" s="728"/>
      <c r="S26" s="311" t="s">
        <v>143</v>
      </c>
      <c r="T26" s="309"/>
      <c r="U26" s="279"/>
      <c r="V26" s="279"/>
      <c r="W26" s="664">
        <f>N26*Q26*(IF(ISNUMBER(T26),T26,IF(ISNUMBER(N26),1,0)))</f>
        <v>0</v>
      </c>
      <c r="X26" s="664"/>
      <c r="Y26" s="664"/>
      <c r="Z26" s="665"/>
      <c r="AB26" s="663">
        <v>0</v>
      </c>
      <c r="AC26" s="664"/>
      <c r="AD26" s="665"/>
      <c r="AF26" s="663">
        <f t="shared" si="1"/>
        <v>0</v>
      </c>
      <c r="AG26" s="664"/>
      <c r="AH26" s="665"/>
    </row>
    <row r="27" spans="3:39" s="51" customFormat="1" ht="20.5" customHeight="1" x14ac:dyDescent="0.15">
      <c r="C27" s="708">
        <v>210</v>
      </c>
      <c r="D27" s="709"/>
      <c r="E27" s="700" t="s">
        <v>320</v>
      </c>
      <c r="F27" s="700"/>
      <c r="G27" s="700"/>
      <c r="H27" s="700"/>
      <c r="I27" s="700"/>
      <c r="J27" s="700"/>
      <c r="K27" s="700"/>
      <c r="L27" s="700"/>
      <c r="M27" s="700"/>
      <c r="N27" s="309"/>
      <c r="O27" s="309" t="s">
        <v>116</v>
      </c>
      <c r="P27" s="310" t="s">
        <v>117</v>
      </c>
      <c r="Q27" s="728"/>
      <c r="R27" s="728"/>
      <c r="S27" s="311" t="s">
        <v>143</v>
      </c>
      <c r="T27" s="309"/>
      <c r="U27" s="279"/>
      <c r="V27" s="279"/>
      <c r="W27" s="664">
        <f t="shared" si="2"/>
        <v>0</v>
      </c>
      <c r="X27" s="664"/>
      <c r="Y27" s="664"/>
      <c r="Z27" s="665"/>
      <c r="AB27" s="663">
        <v>0</v>
      </c>
      <c r="AC27" s="664"/>
      <c r="AD27" s="665"/>
      <c r="AF27" s="663">
        <f t="shared" si="1"/>
        <v>0</v>
      </c>
      <c r="AG27" s="664"/>
      <c r="AH27" s="665"/>
    </row>
    <row r="28" spans="3:39" s="322" customFormat="1" ht="20.5" customHeight="1" x14ac:dyDescent="0.2">
      <c r="C28" s="389"/>
      <c r="D28" s="389"/>
      <c r="E28" s="389"/>
      <c r="F28" s="389"/>
      <c r="G28" s="389"/>
      <c r="H28" s="389"/>
      <c r="I28" s="389"/>
      <c r="J28" s="389"/>
      <c r="K28" s="389"/>
      <c r="L28" s="389"/>
      <c r="M28" s="389"/>
      <c r="N28" s="389"/>
      <c r="O28" s="654" t="s">
        <v>133</v>
      </c>
      <c r="P28" s="654"/>
      <c r="Q28" s="654"/>
      <c r="R28" s="654"/>
      <c r="S28" s="654"/>
      <c r="T28" s="654"/>
      <c r="U28" s="654"/>
      <c r="V28" s="655"/>
      <c r="W28" s="658">
        <f>SUM(W10:Z27)</f>
        <v>0</v>
      </c>
      <c r="X28" s="659"/>
      <c r="Y28" s="659"/>
      <c r="Z28" s="660"/>
      <c r="AB28" s="714">
        <f>SUM(AB10:AD27)</f>
        <v>0</v>
      </c>
      <c r="AC28" s="715"/>
      <c r="AD28" s="716"/>
      <c r="AF28" s="714">
        <f t="shared" si="1"/>
        <v>0</v>
      </c>
      <c r="AG28" s="715"/>
      <c r="AH28" s="716"/>
    </row>
    <row r="29" spans="3:39" ht="16.25" customHeight="1" x14ac:dyDescent="0.25">
      <c r="C29" s="9"/>
      <c r="D29" s="10"/>
      <c r="E29" s="10"/>
      <c r="F29" s="11"/>
      <c r="G29" s="11"/>
      <c r="H29" s="11"/>
      <c r="I29" s="11"/>
      <c r="J29" s="11"/>
      <c r="K29" s="11"/>
      <c r="L29" s="11"/>
      <c r="M29" s="11"/>
      <c r="N29" s="10"/>
      <c r="O29" s="10"/>
      <c r="P29" s="10"/>
      <c r="Q29" s="64"/>
      <c r="R29" s="64"/>
      <c r="S29" s="10"/>
      <c r="T29" s="10"/>
      <c r="U29" s="10"/>
      <c r="V29" s="10"/>
      <c r="W29" s="10"/>
      <c r="X29" s="26"/>
      <c r="Y29" s="26"/>
      <c r="Z29" s="26"/>
      <c r="AA29" s="1"/>
      <c r="AB29" s="26"/>
      <c r="AC29" s="26"/>
      <c r="AD29" s="48"/>
      <c r="AF29" s="26"/>
      <c r="AG29" s="26"/>
      <c r="AH29" s="48"/>
      <c r="AJ29" s="6"/>
      <c r="AK29" s="6"/>
      <c r="AL29" s="6"/>
      <c r="AM29" s="6"/>
    </row>
    <row r="30" spans="3:39" s="323" customFormat="1" ht="20" customHeight="1" x14ac:dyDescent="0.2">
      <c r="C30" s="4" t="s">
        <v>267</v>
      </c>
      <c r="D30" s="5" t="s">
        <v>93</v>
      </c>
      <c r="E30" s="5"/>
      <c r="F30" s="349"/>
      <c r="G30" s="349"/>
      <c r="H30" s="349"/>
      <c r="I30" s="349"/>
      <c r="J30" s="349"/>
      <c r="K30" s="349"/>
      <c r="L30" s="349"/>
      <c r="M30" s="349"/>
      <c r="N30" s="349"/>
      <c r="O30" s="349"/>
      <c r="P30" s="349"/>
      <c r="Q30" s="356"/>
      <c r="R30" s="356"/>
      <c r="S30" s="349"/>
      <c r="T30" s="349"/>
      <c r="U30" s="349"/>
      <c r="V30" s="349"/>
      <c r="W30" s="773"/>
      <c r="X30" s="773"/>
      <c r="Y30" s="773"/>
      <c r="Z30" s="773"/>
      <c r="AB30" s="775"/>
      <c r="AC30" s="776"/>
      <c r="AD30" s="776"/>
      <c r="AF30" s="775"/>
      <c r="AG30" s="776"/>
      <c r="AH30" s="776"/>
    </row>
    <row r="31" spans="3:39" s="110" customFormat="1" ht="16.25" customHeight="1" x14ac:dyDescent="0.15">
      <c r="C31" s="128"/>
      <c r="D31" s="116"/>
      <c r="E31" s="116" t="s">
        <v>384</v>
      </c>
      <c r="F31" s="130"/>
      <c r="G31" s="130"/>
      <c r="H31" s="130"/>
      <c r="I31" s="130"/>
      <c r="J31" s="130"/>
      <c r="K31" s="130"/>
      <c r="L31" s="130"/>
      <c r="M31" s="130"/>
      <c r="N31" s="726" t="s">
        <v>376</v>
      </c>
      <c r="O31" s="726"/>
      <c r="P31" s="134"/>
      <c r="Q31" s="727" t="s">
        <v>220</v>
      </c>
      <c r="R31" s="727"/>
      <c r="S31" s="134"/>
      <c r="T31" s="154" t="s">
        <v>400</v>
      </c>
      <c r="U31" s="162"/>
      <c r="V31" s="134"/>
      <c r="W31" s="769" t="s">
        <v>370</v>
      </c>
      <c r="X31" s="769"/>
      <c r="Y31" s="769"/>
      <c r="Z31" s="770"/>
      <c r="AB31" s="746" t="s">
        <v>363</v>
      </c>
      <c r="AC31" s="747"/>
      <c r="AD31" s="748"/>
      <c r="AF31" s="746" t="s">
        <v>447</v>
      </c>
      <c r="AG31" s="747"/>
      <c r="AH31" s="748"/>
    </row>
    <row r="32" spans="3:39" s="51" customFormat="1" ht="20.5" customHeight="1" x14ac:dyDescent="0.15">
      <c r="C32" s="708">
        <v>211</v>
      </c>
      <c r="D32" s="709"/>
      <c r="E32" s="700" t="s">
        <v>426</v>
      </c>
      <c r="F32" s="700"/>
      <c r="G32" s="700"/>
      <c r="H32" s="700"/>
      <c r="I32" s="700"/>
      <c r="J32" s="700"/>
      <c r="K32" s="700"/>
      <c r="L32" s="700"/>
      <c r="M32" s="700"/>
      <c r="N32" s="309"/>
      <c r="O32" s="309" t="s">
        <v>140</v>
      </c>
      <c r="P32" s="310" t="s">
        <v>117</v>
      </c>
      <c r="Q32" s="728"/>
      <c r="R32" s="728"/>
      <c r="S32" s="311" t="s">
        <v>143</v>
      </c>
      <c r="T32" s="309"/>
      <c r="U32" s="279"/>
      <c r="V32" s="279"/>
      <c r="W32" s="664">
        <f t="shared" ref="W32:W37" si="3">N32*Q32*(IF(ISNUMBER(T32),T32,IF(ISNUMBER(N32),1,0)))</f>
        <v>0</v>
      </c>
      <c r="X32" s="664"/>
      <c r="Y32" s="664"/>
      <c r="Z32" s="665"/>
      <c r="AB32" s="663">
        <v>0</v>
      </c>
      <c r="AC32" s="664"/>
      <c r="AD32" s="665"/>
      <c r="AF32" s="663">
        <f t="shared" ref="AF32:AF38" si="4">AB32-W32</f>
        <v>0</v>
      </c>
      <c r="AG32" s="664"/>
      <c r="AH32" s="665"/>
    </row>
    <row r="33" spans="3:39" s="51" customFormat="1" ht="20.5" customHeight="1" x14ac:dyDescent="0.15">
      <c r="C33" s="708">
        <v>212</v>
      </c>
      <c r="D33" s="709"/>
      <c r="E33" s="700" t="s">
        <v>76</v>
      </c>
      <c r="F33" s="700"/>
      <c r="G33" s="700"/>
      <c r="H33" s="700"/>
      <c r="I33" s="700"/>
      <c r="J33" s="700"/>
      <c r="K33" s="700"/>
      <c r="L33" s="700"/>
      <c r="M33" s="700"/>
      <c r="N33" s="309"/>
      <c r="O33" s="309" t="s">
        <v>141</v>
      </c>
      <c r="P33" s="310" t="s">
        <v>117</v>
      </c>
      <c r="Q33" s="728"/>
      <c r="R33" s="728"/>
      <c r="S33" s="311" t="s">
        <v>143</v>
      </c>
      <c r="T33" s="309"/>
      <c r="U33" s="279"/>
      <c r="V33" s="279"/>
      <c r="W33" s="664">
        <f t="shared" si="3"/>
        <v>0</v>
      </c>
      <c r="X33" s="664"/>
      <c r="Y33" s="664"/>
      <c r="Z33" s="665"/>
      <c r="AB33" s="663">
        <v>0</v>
      </c>
      <c r="AC33" s="664"/>
      <c r="AD33" s="665"/>
      <c r="AF33" s="663">
        <f t="shared" si="4"/>
        <v>0</v>
      </c>
      <c r="AG33" s="664"/>
      <c r="AH33" s="665"/>
    </row>
    <row r="34" spans="3:39" s="51" customFormat="1" ht="20.5" customHeight="1" x14ac:dyDescent="0.15">
      <c r="C34" s="708">
        <v>213</v>
      </c>
      <c r="D34" s="709"/>
      <c r="E34" s="700" t="s">
        <v>125</v>
      </c>
      <c r="F34" s="700"/>
      <c r="G34" s="700"/>
      <c r="H34" s="700"/>
      <c r="I34" s="700"/>
      <c r="J34" s="700"/>
      <c r="K34" s="700"/>
      <c r="L34" s="700"/>
      <c r="M34" s="700"/>
      <c r="N34" s="309"/>
      <c r="O34" s="309" t="s">
        <v>142</v>
      </c>
      <c r="P34" s="310" t="s">
        <v>117</v>
      </c>
      <c r="Q34" s="728"/>
      <c r="R34" s="728"/>
      <c r="S34" s="311" t="s">
        <v>143</v>
      </c>
      <c r="T34" s="309"/>
      <c r="U34" s="279"/>
      <c r="V34" s="279"/>
      <c r="W34" s="664">
        <f t="shared" si="3"/>
        <v>0</v>
      </c>
      <c r="X34" s="664"/>
      <c r="Y34" s="664"/>
      <c r="Z34" s="665"/>
      <c r="AB34" s="663">
        <v>0</v>
      </c>
      <c r="AC34" s="664"/>
      <c r="AD34" s="665"/>
      <c r="AF34" s="663">
        <f t="shared" si="4"/>
        <v>0</v>
      </c>
      <c r="AG34" s="664"/>
      <c r="AH34" s="665"/>
    </row>
    <row r="35" spans="3:39" s="51" customFormat="1" ht="20.5" customHeight="1" x14ac:dyDescent="0.15">
      <c r="C35" s="708">
        <v>214</v>
      </c>
      <c r="D35" s="709"/>
      <c r="E35" s="700" t="s">
        <v>126</v>
      </c>
      <c r="F35" s="700"/>
      <c r="G35" s="700"/>
      <c r="H35" s="700"/>
      <c r="I35" s="700"/>
      <c r="J35" s="700"/>
      <c r="K35" s="700"/>
      <c r="L35" s="700"/>
      <c r="M35" s="700"/>
      <c r="N35" s="309"/>
      <c r="O35" s="309" t="s">
        <v>142</v>
      </c>
      <c r="P35" s="310" t="s">
        <v>117</v>
      </c>
      <c r="Q35" s="728">
        <v>444</v>
      </c>
      <c r="R35" s="728"/>
      <c r="S35" s="311" t="s">
        <v>143</v>
      </c>
      <c r="T35" s="309"/>
      <c r="U35" s="279"/>
      <c r="V35" s="279"/>
      <c r="W35" s="664">
        <f t="shared" si="3"/>
        <v>0</v>
      </c>
      <c r="X35" s="664"/>
      <c r="Y35" s="664"/>
      <c r="Z35" s="665"/>
      <c r="AB35" s="663">
        <v>0</v>
      </c>
      <c r="AC35" s="664"/>
      <c r="AD35" s="665"/>
      <c r="AF35" s="663">
        <f t="shared" si="4"/>
        <v>0</v>
      </c>
      <c r="AG35" s="664"/>
      <c r="AH35" s="665"/>
    </row>
    <row r="36" spans="3:39" s="51" customFormat="1" ht="20.5" customHeight="1" x14ac:dyDescent="0.15">
      <c r="C36" s="708">
        <v>215</v>
      </c>
      <c r="D36" s="709"/>
      <c r="E36" s="700" t="s">
        <v>228</v>
      </c>
      <c r="F36" s="700"/>
      <c r="G36" s="700"/>
      <c r="H36" s="700"/>
      <c r="I36" s="700"/>
      <c r="J36" s="700"/>
      <c r="K36" s="700"/>
      <c r="L36" s="700"/>
      <c r="M36" s="700"/>
      <c r="N36" s="309"/>
      <c r="O36" s="309" t="s">
        <v>140</v>
      </c>
      <c r="P36" s="310" t="s">
        <v>117</v>
      </c>
      <c r="Q36" s="728"/>
      <c r="R36" s="728"/>
      <c r="S36" s="311" t="s">
        <v>143</v>
      </c>
      <c r="T36" s="309"/>
      <c r="U36" s="279"/>
      <c r="V36" s="279"/>
      <c r="W36" s="664">
        <f t="shared" si="3"/>
        <v>0</v>
      </c>
      <c r="X36" s="664"/>
      <c r="Y36" s="664"/>
      <c r="Z36" s="665"/>
      <c r="AB36" s="663">
        <v>0</v>
      </c>
      <c r="AC36" s="664"/>
      <c r="AD36" s="665"/>
      <c r="AF36" s="663">
        <f t="shared" si="4"/>
        <v>0</v>
      </c>
      <c r="AG36" s="664"/>
      <c r="AH36" s="665"/>
    </row>
    <row r="37" spans="3:39" s="51" customFormat="1" ht="20.5" customHeight="1" x14ac:dyDescent="0.15">
      <c r="C37" s="708">
        <v>216</v>
      </c>
      <c r="D37" s="709"/>
      <c r="E37" s="700"/>
      <c r="F37" s="700"/>
      <c r="G37" s="700"/>
      <c r="H37" s="700"/>
      <c r="I37" s="700"/>
      <c r="J37" s="700"/>
      <c r="K37" s="700"/>
      <c r="L37" s="700"/>
      <c r="M37" s="700"/>
      <c r="N37" s="309"/>
      <c r="O37" s="309"/>
      <c r="P37" s="310" t="s">
        <v>117</v>
      </c>
      <c r="Q37" s="728"/>
      <c r="R37" s="728"/>
      <c r="S37" s="311" t="s">
        <v>143</v>
      </c>
      <c r="T37" s="309"/>
      <c r="U37" s="279"/>
      <c r="V37" s="279"/>
      <c r="W37" s="664">
        <f t="shared" si="3"/>
        <v>0</v>
      </c>
      <c r="X37" s="664"/>
      <c r="Y37" s="664"/>
      <c r="Z37" s="665"/>
      <c r="AB37" s="663">
        <v>0</v>
      </c>
      <c r="AC37" s="664"/>
      <c r="AD37" s="665"/>
      <c r="AF37" s="663">
        <f t="shared" si="4"/>
        <v>0</v>
      </c>
      <c r="AG37" s="664"/>
      <c r="AH37" s="665"/>
    </row>
    <row r="38" spans="3:39" s="322" customFormat="1" ht="20.5" customHeight="1" x14ac:dyDescent="0.2">
      <c r="O38" s="654" t="s">
        <v>134</v>
      </c>
      <c r="P38" s="654"/>
      <c r="Q38" s="654"/>
      <c r="R38" s="654"/>
      <c r="S38" s="654"/>
      <c r="T38" s="654"/>
      <c r="U38" s="654"/>
      <c r="V38" s="655"/>
      <c r="W38" s="658">
        <f>SUM(W32:Z37)</f>
        <v>0</v>
      </c>
      <c r="X38" s="659"/>
      <c r="Y38" s="659"/>
      <c r="Z38" s="660"/>
      <c r="AB38" s="714">
        <f>SUM(AB32:AD37)</f>
        <v>0</v>
      </c>
      <c r="AC38" s="715"/>
      <c r="AD38" s="716"/>
      <c r="AF38" s="714">
        <f t="shared" si="4"/>
        <v>0</v>
      </c>
      <c r="AG38" s="715"/>
      <c r="AH38" s="716"/>
    </row>
    <row r="39" spans="3:39" ht="16.25" customHeight="1" x14ac:dyDescent="0.25">
      <c r="C39" s="1"/>
      <c r="D39" s="1"/>
      <c r="E39" s="1"/>
      <c r="F39" s="1"/>
      <c r="G39" s="1"/>
      <c r="H39" s="1"/>
      <c r="I39" s="1"/>
      <c r="J39" s="1"/>
      <c r="K39" s="1"/>
      <c r="L39" s="1"/>
      <c r="M39" s="1"/>
      <c r="N39" s="1"/>
      <c r="O39" s="1"/>
      <c r="P39" s="12"/>
      <c r="Q39" s="65"/>
      <c r="R39" s="65"/>
      <c r="S39" s="13"/>
      <c r="T39" s="1"/>
      <c r="U39" s="1"/>
      <c r="V39" s="1"/>
      <c r="W39" s="1"/>
      <c r="X39" s="761"/>
      <c r="Y39" s="761"/>
      <c r="Z39" s="761"/>
      <c r="AA39" s="1"/>
      <c r="AB39" s="762"/>
      <c r="AC39" s="762"/>
      <c r="AD39" s="762"/>
      <c r="AF39" s="762"/>
      <c r="AG39" s="762"/>
      <c r="AH39" s="762"/>
      <c r="AJ39" s="6"/>
      <c r="AK39" s="6"/>
      <c r="AL39" s="6"/>
      <c r="AM39" s="6"/>
    </row>
    <row r="40" spans="3:39" s="323" customFormat="1" ht="20" customHeight="1" x14ac:dyDescent="0.2">
      <c r="C40" s="4" t="s">
        <v>268</v>
      </c>
      <c r="D40" s="5" t="s">
        <v>275</v>
      </c>
      <c r="E40" s="5"/>
      <c r="F40" s="349"/>
      <c r="G40" s="349"/>
      <c r="H40" s="349"/>
      <c r="I40" s="349"/>
      <c r="J40" s="349"/>
      <c r="K40" s="349"/>
      <c r="L40" s="349"/>
      <c r="M40" s="349"/>
      <c r="N40" s="349"/>
      <c r="O40" s="349"/>
      <c r="P40" s="349"/>
      <c r="Q40" s="356"/>
      <c r="R40" s="356"/>
      <c r="S40" s="349"/>
      <c r="T40" s="349"/>
      <c r="U40" s="349"/>
      <c r="V40" s="349"/>
      <c r="W40" s="774"/>
      <c r="X40" s="774"/>
      <c r="Y40" s="774"/>
      <c r="Z40" s="774"/>
      <c r="AB40" s="357"/>
      <c r="AC40" s="354"/>
      <c r="AD40" s="354"/>
      <c r="AF40" s="357"/>
      <c r="AG40" s="354"/>
      <c r="AH40" s="354"/>
    </row>
    <row r="41" spans="3:39" s="110" customFormat="1" ht="16.25" customHeight="1" x14ac:dyDescent="0.15">
      <c r="C41" s="128"/>
      <c r="D41" s="116"/>
      <c r="E41" s="116" t="s">
        <v>384</v>
      </c>
      <c r="F41" s="130"/>
      <c r="G41" s="130"/>
      <c r="H41" s="130"/>
      <c r="I41" s="130"/>
      <c r="J41" s="130"/>
      <c r="K41" s="130"/>
      <c r="L41" s="130"/>
      <c r="M41" s="130"/>
      <c r="N41" s="726" t="s">
        <v>376</v>
      </c>
      <c r="O41" s="726"/>
      <c r="P41" s="134"/>
      <c r="Q41" s="727" t="s">
        <v>220</v>
      </c>
      <c r="R41" s="727"/>
      <c r="S41" s="134"/>
      <c r="T41" s="154" t="s">
        <v>400</v>
      </c>
      <c r="U41" s="162"/>
      <c r="V41" s="134"/>
      <c r="W41" s="769" t="s">
        <v>370</v>
      </c>
      <c r="X41" s="769"/>
      <c r="Y41" s="769"/>
      <c r="Z41" s="770"/>
      <c r="AB41" s="746" t="s">
        <v>363</v>
      </c>
      <c r="AC41" s="747"/>
      <c r="AD41" s="748"/>
      <c r="AF41" s="746" t="s">
        <v>447</v>
      </c>
      <c r="AG41" s="747"/>
      <c r="AH41" s="748"/>
    </row>
    <row r="42" spans="3:39" s="51" customFormat="1" ht="20.5" customHeight="1" x14ac:dyDescent="0.15">
      <c r="C42" s="708">
        <v>217</v>
      </c>
      <c r="D42" s="709"/>
      <c r="E42" s="700" t="s">
        <v>77</v>
      </c>
      <c r="F42" s="700"/>
      <c r="G42" s="700"/>
      <c r="H42" s="700"/>
      <c r="I42" s="700"/>
      <c r="J42" s="700"/>
      <c r="K42" s="700"/>
      <c r="L42" s="700"/>
      <c r="M42" s="700"/>
      <c r="N42" s="309"/>
      <c r="O42" s="309" t="s">
        <v>140</v>
      </c>
      <c r="P42" s="310" t="s">
        <v>117</v>
      </c>
      <c r="Q42" s="728"/>
      <c r="R42" s="728"/>
      <c r="S42" s="311" t="s">
        <v>143</v>
      </c>
      <c r="T42" s="309"/>
      <c r="U42" s="279"/>
      <c r="V42" s="279"/>
      <c r="W42" s="664">
        <f t="shared" ref="W42:W51" si="5">N42*Q42*(IF(ISNUMBER(T42),T42,IF(ISNUMBER(N42),1,0)))</f>
        <v>0</v>
      </c>
      <c r="X42" s="664"/>
      <c r="Y42" s="664"/>
      <c r="Z42" s="665"/>
      <c r="AB42" s="663">
        <v>0</v>
      </c>
      <c r="AC42" s="664"/>
      <c r="AD42" s="665"/>
      <c r="AF42" s="663">
        <f t="shared" ref="AF42:AF52" si="6">AB42-W42</f>
        <v>0</v>
      </c>
      <c r="AG42" s="664"/>
      <c r="AH42" s="665"/>
    </row>
    <row r="43" spans="3:39" s="51" customFormat="1" ht="20.5" customHeight="1" x14ac:dyDescent="0.15">
      <c r="C43" s="708">
        <v>218</v>
      </c>
      <c r="D43" s="709"/>
      <c r="E43" s="700" t="s">
        <v>78</v>
      </c>
      <c r="F43" s="700"/>
      <c r="G43" s="700"/>
      <c r="H43" s="700"/>
      <c r="I43" s="700"/>
      <c r="J43" s="700"/>
      <c r="K43" s="700"/>
      <c r="L43" s="700"/>
      <c r="M43" s="700"/>
      <c r="N43" s="309"/>
      <c r="O43" s="309" t="s">
        <v>140</v>
      </c>
      <c r="P43" s="310" t="s">
        <v>117</v>
      </c>
      <c r="Q43" s="728">
        <v>333</v>
      </c>
      <c r="R43" s="728"/>
      <c r="S43" s="311" t="s">
        <v>143</v>
      </c>
      <c r="T43" s="309"/>
      <c r="U43" s="279"/>
      <c r="V43" s="279"/>
      <c r="W43" s="664">
        <f t="shared" si="5"/>
        <v>0</v>
      </c>
      <c r="X43" s="664"/>
      <c r="Y43" s="664"/>
      <c r="Z43" s="665"/>
      <c r="AB43" s="663">
        <v>0</v>
      </c>
      <c r="AC43" s="664"/>
      <c r="AD43" s="665"/>
      <c r="AF43" s="663">
        <f t="shared" si="6"/>
        <v>0</v>
      </c>
      <c r="AG43" s="664"/>
      <c r="AH43" s="665"/>
    </row>
    <row r="44" spans="3:39" s="51" customFormat="1" ht="20.5" customHeight="1" x14ac:dyDescent="0.15">
      <c r="C44" s="708">
        <v>219</v>
      </c>
      <c r="D44" s="709"/>
      <c r="E44" s="700" t="s">
        <v>79</v>
      </c>
      <c r="F44" s="700"/>
      <c r="G44" s="700"/>
      <c r="H44" s="700"/>
      <c r="I44" s="700"/>
      <c r="J44" s="700"/>
      <c r="K44" s="700"/>
      <c r="L44" s="700"/>
      <c r="M44" s="700"/>
      <c r="N44" s="309"/>
      <c r="O44" s="309" t="s">
        <v>140</v>
      </c>
      <c r="P44" s="310" t="s">
        <v>117</v>
      </c>
      <c r="Q44" s="728"/>
      <c r="R44" s="728"/>
      <c r="S44" s="311" t="s">
        <v>143</v>
      </c>
      <c r="T44" s="309"/>
      <c r="U44" s="279"/>
      <c r="V44" s="279"/>
      <c r="W44" s="664">
        <f t="shared" si="5"/>
        <v>0</v>
      </c>
      <c r="X44" s="664"/>
      <c r="Y44" s="664"/>
      <c r="Z44" s="665"/>
      <c r="AB44" s="663">
        <v>0</v>
      </c>
      <c r="AC44" s="664"/>
      <c r="AD44" s="665"/>
      <c r="AF44" s="663">
        <f t="shared" si="6"/>
        <v>0</v>
      </c>
      <c r="AG44" s="664"/>
      <c r="AH44" s="665"/>
    </row>
    <row r="45" spans="3:39" s="51" customFormat="1" ht="20.5" customHeight="1" x14ac:dyDescent="0.15">
      <c r="C45" s="708">
        <v>220</v>
      </c>
      <c r="D45" s="709"/>
      <c r="E45" s="700" t="s">
        <v>80</v>
      </c>
      <c r="F45" s="700"/>
      <c r="G45" s="700"/>
      <c r="H45" s="700"/>
      <c r="I45" s="700"/>
      <c r="J45" s="700"/>
      <c r="K45" s="700"/>
      <c r="L45" s="700"/>
      <c r="M45" s="700"/>
      <c r="N45" s="309"/>
      <c r="O45" s="309" t="s">
        <v>140</v>
      </c>
      <c r="P45" s="310" t="s">
        <v>117</v>
      </c>
      <c r="Q45" s="728"/>
      <c r="R45" s="728"/>
      <c r="S45" s="311" t="s">
        <v>143</v>
      </c>
      <c r="T45" s="309"/>
      <c r="U45" s="279"/>
      <c r="V45" s="279"/>
      <c r="W45" s="664">
        <f t="shared" si="5"/>
        <v>0</v>
      </c>
      <c r="X45" s="664"/>
      <c r="Y45" s="664"/>
      <c r="Z45" s="665"/>
      <c r="AB45" s="663">
        <v>0</v>
      </c>
      <c r="AC45" s="664"/>
      <c r="AD45" s="665"/>
      <c r="AF45" s="663">
        <f t="shared" si="6"/>
        <v>0</v>
      </c>
      <c r="AG45" s="664"/>
      <c r="AH45" s="665"/>
    </row>
    <row r="46" spans="3:39" s="51" customFormat="1" ht="20.5" customHeight="1" x14ac:dyDescent="0.15">
      <c r="C46" s="708">
        <v>221</v>
      </c>
      <c r="D46" s="709"/>
      <c r="E46" s="700" t="s">
        <v>81</v>
      </c>
      <c r="F46" s="700"/>
      <c r="G46" s="700"/>
      <c r="H46" s="700"/>
      <c r="I46" s="700"/>
      <c r="J46" s="700"/>
      <c r="K46" s="700"/>
      <c r="L46" s="700"/>
      <c r="M46" s="700"/>
      <c r="N46" s="309"/>
      <c r="O46" s="309" t="s">
        <v>140</v>
      </c>
      <c r="P46" s="310" t="s">
        <v>117</v>
      </c>
      <c r="Q46" s="728"/>
      <c r="R46" s="728"/>
      <c r="S46" s="311" t="s">
        <v>143</v>
      </c>
      <c r="T46" s="309"/>
      <c r="U46" s="279"/>
      <c r="V46" s="279"/>
      <c r="W46" s="664">
        <f t="shared" si="5"/>
        <v>0</v>
      </c>
      <c r="X46" s="664"/>
      <c r="Y46" s="664"/>
      <c r="Z46" s="665"/>
      <c r="AB46" s="663">
        <v>0</v>
      </c>
      <c r="AC46" s="664"/>
      <c r="AD46" s="665"/>
      <c r="AF46" s="663">
        <f t="shared" si="6"/>
        <v>0</v>
      </c>
      <c r="AG46" s="664"/>
      <c r="AH46" s="665"/>
    </row>
    <row r="47" spans="3:39" s="51" customFormat="1" ht="20.5" customHeight="1" x14ac:dyDescent="0.15">
      <c r="C47" s="708">
        <v>222</v>
      </c>
      <c r="D47" s="709"/>
      <c r="E47" s="700" t="s">
        <v>82</v>
      </c>
      <c r="F47" s="700"/>
      <c r="G47" s="700"/>
      <c r="H47" s="700"/>
      <c r="I47" s="700"/>
      <c r="J47" s="700"/>
      <c r="K47" s="700"/>
      <c r="L47" s="700"/>
      <c r="M47" s="700"/>
      <c r="N47" s="309"/>
      <c r="O47" s="309" t="s">
        <v>140</v>
      </c>
      <c r="P47" s="310" t="s">
        <v>117</v>
      </c>
      <c r="Q47" s="728"/>
      <c r="R47" s="728"/>
      <c r="S47" s="311" t="s">
        <v>143</v>
      </c>
      <c r="T47" s="309"/>
      <c r="U47" s="279"/>
      <c r="V47" s="279"/>
      <c r="W47" s="664">
        <f t="shared" si="5"/>
        <v>0</v>
      </c>
      <c r="X47" s="664"/>
      <c r="Y47" s="664"/>
      <c r="Z47" s="665"/>
      <c r="AB47" s="663">
        <v>0</v>
      </c>
      <c r="AC47" s="664"/>
      <c r="AD47" s="665"/>
      <c r="AF47" s="663">
        <f t="shared" si="6"/>
        <v>0</v>
      </c>
      <c r="AG47" s="664"/>
      <c r="AH47" s="665"/>
    </row>
    <row r="48" spans="3:39" s="51" customFormat="1" ht="20.5" customHeight="1" x14ac:dyDescent="0.15">
      <c r="C48" s="708">
        <v>223</v>
      </c>
      <c r="D48" s="709"/>
      <c r="E48" s="700" t="s">
        <v>83</v>
      </c>
      <c r="F48" s="700"/>
      <c r="G48" s="700"/>
      <c r="H48" s="700"/>
      <c r="I48" s="700"/>
      <c r="J48" s="700"/>
      <c r="K48" s="700"/>
      <c r="L48" s="700"/>
      <c r="M48" s="700"/>
      <c r="N48" s="309"/>
      <c r="O48" s="309" t="s">
        <v>140</v>
      </c>
      <c r="P48" s="310" t="s">
        <v>117</v>
      </c>
      <c r="Q48" s="728"/>
      <c r="R48" s="728"/>
      <c r="S48" s="311" t="s">
        <v>143</v>
      </c>
      <c r="T48" s="309"/>
      <c r="U48" s="279"/>
      <c r="V48" s="279"/>
      <c r="W48" s="664">
        <f t="shared" si="5"/>
        <v>0</v>
      </c>
      <c r="X48" s="664"/>
      <c r="Y48" s="664"/>
      <c r="Z48" s="665"/>
      <c r="AB48" s="663">
        <v>0</v>
      </c>
      <c r="AC48" s="664"/>
      <c r="AD48" s="665"/>
      <c r="AF48" s="663">
        <f t="shared" si="6"/>
        <v>0</v>
      </c>
      <c r="AG48" s="664"/>
      <c r="AH48" s="665"/>
    </row>
    <row r="49" spans="3:47" s="51" customFormat="1" ht="20.5" customHeight="1" x14ac:dyDescent="0.15">
      <c r="C49" s="708">
        <v>224</v>
      </c>
      <c r="D49" s="709"/>
      <c r="E49" s="700" t="s">
        <v>364</v>
      </c>
      <c r="F49" s="700"/>
      <c r="G49" s="700"/>
      <c r="H49" s="700"/>
      <c r="I49" s="700"/>
      <c r="J49" s="700"/>
      <c r="K49" s="700"/>
      <c r="L49" s="700"/>
      <c r="M49" s="700"/>
      <c r="N49" s="309"/>
      <c r="O49" s="309" t="s">
        <v>140</v>
      </c>
      <c r="P49" s="310" t="s">
        <v>117</v>
      </c>
      <c r="Q49" s="728"/>
      <c r="R49" s="728"/>
      <c r="S49" s="311" t="s">
        <v>143</v>
      </c>
      <c r="T49" s="309"/>
      <c r="U49" s="279"/>
      <c r="V49" s="279"/>
      <c r="W49" s="664">
        <f t="shared" si="5"/>
        <v>0</v>
      </c>
      <c r="X49" s="664"/>
      <c r="Y49" s="664"/>
      <c r="Z49" s="665"/>
      <c r="AB49" s="663">
        <v>0</v>
      </c>
      <c r="AC49" s="664"/>
      <c r="AD49" s="665"/>
      <c r="AF49" s="663">
        <f t="shared" si="6"/>
        <v>0</v>
      </c>
      <c r="AG49" s="664"/>
      <c r="AH49" s="665"/>
    </row>
    <row r="50" spans="3:47" s="51" customFormat="1" ht="20.5" customHeight="1" x14ac:dyDescent="0.15">
      <c r="C50" s="708">
        <v>225</v>
      </c>
      <c r="D50" s="709"/>
      <c r="E50" s="700"/>
      <c r="F50" s="700"/>
      <c r="G50" s="700"/>
      <c r="H50" s="700"/>
      <c r="I50" s="700"/>
      <c r="J50" s="700"/>
      <c r="K50" s="700"/>
      <c r="L50" s="700"/>
      <c r="M50" s="700"/>
      <c r="N50" s="309"/>
      <c r="O50" s="309"/>
      <c r="P50" s="310" t="s">
        <v>117</v>
      </c>
      <c r="Q50" s="728"/>
      <c r="R50" s="728"/>
      <c r="S50" s="311" t="s">
        <v>143</v>
      </c>
      <c r="T50" s="309"/>
      <c r="U50" s="279"/>
      <c r="V50" s="279"/>
      <c r="W50" s="664">
        <f t="shared" si="5"/>
        <v>0</v>
      </c>
      <c r="X50" s="664"/>
      <c r="Y50" s="664"/>
      <c r="Z50" s="665"/>
      <c r="AB50" s="663">
        <v>0</v>
      </c>
      <c r="AC50" s="664"/>
      <c r="AD50" s="665"/>
      <c r="AF50" s="663">
        <f t="shared" si="6"/>
        <v>0</v>
      </c>
      <c r="AG50" s="664"/>
      <c r="AH50" s="665"/>
    </row>
    <row r="51" spans="3:47" s="51" customFormat="1" ht="20.5" customHeight="1" x14ac:dyDescent="0.15">
      <c r="C51" s="708">
        <v>226</v>
      </c>
      <c r="D51" s="709"/>
      <c r="E51" s="700"/>
      <c r="F51" s="700"/>
      <c r="G51" s="700"/>
      <c r="H51" s="700"/>
      <c r="I51" s="700"/>
      <c r="J51" s="700"/>
      <c r="K51" s="700"/>
      <c r="L51" s="700"/>
      <c r="M51" s="700"/>
      <c r="N51" s="309"/>
      <c r="O51" s="309"/>
      <c r="P51" s="310" t="s">
        <v>117</v>
      </c>
      <c r="Q51" s="728"/>
      <c r="R51" s="728"/>
      <c r="S51" s="311" t="s">
        <v>143</v>
      </c>
      <c r="T51" s="309"/>
      <c r="U51" s="279"/>
      <c r="V51" s="279"/>
      <c r="W51" s="664">
        <f t="shared" si="5"/>
        <v>0</v>
      </c>
      <c r="X51" s="664"/>
      <c r="Y51" s="664"/>
      <c r="Z51" s="665"/>
      <c r="AB51" s="663">
        <v>0</v>
      </c>
      <c r="AC51" s="664"/>
      <c r="AD51" s="665"/>
      <c r="AF51" s="663">
        <f t="shared" si="6"/>
        <v>0</v>
      </c>
      <c r="AG51" s="664"/>
      <c r="AH51" s="665"/>
    </row>
    <row r="52" spans="3:47" s="322" customFormat="1" ht="20.5" customHeight="1" x14ac:dyDescent="0.2">
      <c r="C52" s="389"/>
      <c r="D52" s="389"/>
      <c r="E52" s="389"/>
      <c r="F52" s="389"/>
      <c r="G52" s="389"/>
      <c r="H52" s="389"/>
      <c r="I52" s="389"/>
      <c r="J52" s="389"/>
      <c r="K52" s="389"/>
      <c r="L52" s="389"/>
      <c r="M52" s="389"/>
      <c r="N52" s="389"/>
      <c r="O52" s="654" t="s">
        <v>135</v>
      </c>
      <c r="P52" s="654"/>
      <c r="Q52" s="654"/>
      <c r="R52" s="654"/>
      <c r="S52" s="654"/>
      <c r="T52" s="654"/>
      <c r="U52" s="654"/>
      <c r="V52" s="655"/>
      <c r="W52" s="658">
        <f>SUM(W42:Z51)</f>
        <v>0</v>
      </c>
      <c r="X52" s="659"/>
      <c r="Y52" s="659"/>
      <c r="Z52" s="660"/>
      <c r="AB52" s="714">
        <f>SUM(AB42:AD51)</f>
        <v>0</v>
      </c>
      <c r="AC52" s="715"/>
      <c r="AD52" s="716"/>
      <c r="AF52" s="714">
        <f t="shared" si="6"/>
        <v>0</v>
      </c>
      <c r="AG52" s="715"/>
      <c r="AH52" s="716"/>
    </row>
    <row r="53" spans="3:47" ht="16.25" customHeight="1" x14ac:dyDescent="0.25">
      <c r="C53"/>
      <c r="D53"/>
      <c r="E53"/>
      <c r="F53"/>
      <c r="G53"/>
      <c r="H53"/>
      <c r="I53"/>
      <c r="J53"/>
      <c r="K53"/>
      <c r="L53"/>
      <c r="M53"/>
      <c r="N53"/>
      <c r="O53"/>
      <c r="P53"/>
      <c r="Q53" s="66"/>
      <c r="R53" s="66"/>
      <c r="S53"/>
      <c r="T53"/>
      <c r="U53"/>
      <c r="V53"/>
      <c r="W53"/>
      <c r="X53" s="23"/>
      <c r="Y53" s="23"/>
      <c r="Z53" s="23"/>
      <c r="AA53" s="1"/>
      <c r="AB53" s="23"/>
      <c r="AC53" s="23"/>
      <c r="AD53" s="23"/>
      <c r="AF53" s="23"/>
      <c r="AG53" s="23"/>
      <c r="AH53" s="23"/>
      <c r="AJ53" s="6"/>
      <c r="AK53" s="6"/>
      <c r="AL53" s="6"/>
      <c r="AM53" s="6"/>
    </row>
    <row r="54" spans="3:47" s="323" customFormat="1" ht="20" customHeight="1" x14ac:dyDescent="0.2">
      <c r="C54" s="4" t="s">
        <v>274</v>
      </c>
      <c r="D54" s="5" t="s">
        <v>94</v>
      </c>
      <c r="E54" s="5"/>
      <c r="F54" s="349"/>
      <c r="G54" s="349"/>
      <c r="H54" s="349"/>
      <c r="I54" s="349"/>
      <c r="J54" s="349"/>
      <c r="K54" s="349"/>
      <c r="L54" s="349"/>
      <c r="M54" s="349"/>
      <c r="N54" s="349"/>
      <c r="O54" s="349"/>
      <c r="P54" s="349"/>
      <c r="Q54" s="356"/>
      <c r="R54" s="356"/>
      <c r="S54" s="349"/>
      <c r="T54" s="349"/>
      <c r="U54" s="349"/>
      <c r="V54" s="349"/>
      <c r="W54" s="774"/>
      <c r="X54" s="774"/>
      <c r="Y54" s="774"/>
      <c r="Z54" s="774"/>
      <c r="AB54" s="357"/>
      <c r="AC54" s="354"/>
      <c r="AD54" s="354"/>
      <c r="AF54" s="357"/>
      <c r="AG54" s="354"/>
      <c r="AH54" s="354"/>
    </row>
    <row r="55" spans="3:47" s="110" customFormat="1" ht="16.25" customHeight="1" x14ac:dyDescent="0.15">
      <c r="C55" s="128"/>
      <c r="D55" s="116"/>
      <c r="E55" s="116" t="s">
        <v>384</v>
      </c>
      <c r="F55" s="130"/>
      <c r="G55" s="130"/>
      <c r="H55" s="130"/>
      <c r="I55" s="130"/>
      <c r="J55" s="130"/>
      <c r="K55" s="130"/>
      <c r="L55" s="130"/>
      <c r="M55" s="130"/>
      <c r="N55" s="726"/>
      <c r="O55" s="726" t="s">
        <v>375</v>
      </c>
      <c r="P55" s="134"/>
      <c r="Q55" s="727" t="s">
        <v>220</v>
      </c>
      <c r="R55" s="727"/>
      <c r="S55" s="134"/>
      <c r="T55" s="154" t="s">
        <v>400</v>
      </c>
      <c r="U55" s="162"/>
      <c r="V55" s="134"/>
      <c r="W55" s="769"/>
      <c r="X55" s="769" t="s">
        <v>370</v>
      </c>
      <c r="Y55" s="769"/>
      <c r="Z55" s="770"/>
      <c r="AB55" s="746" t="s">
        <v>363</v>
      </c>
      <c r="AC55" s="747"/>
      <c r="AD55" s="748"/>
      <c r="AF55" s="746" t="s">
        <v>447</v>
      </c>
      <c r="AG55" s="747"/>
      <c r="AH55" s="748"/>
    </row>
    <row r="56" spans="3:47" s="51" customFormat="1" ht="20.5" customHeight="1" x14ac:dyDescent="0.15">
      <c r="C56" s="708">
        <v>227</v>
      </c>
      <c r="D56" s="709"/>
      <c r="E56" s="700" t="s">
        <v>85</v>
      </c>
      <c r="F56" s="700"/>
      <c r="G56" s="700"/>
      <c r="H56" s="700"/>
      <c r="I56" s="700"/>
      <c r="J56" s="700"/>
      <c r="K56" s="700"/>
      <c r="L56" s="700"/>
      <c r="M56" s="700"/>
      <c r="N56" s="309"/>
      <c r="O56" s="309" t="s">
        <v>116</v>
      </c>
      <c r="P56" s="310" t="s">
        <v>117</v>
      </c>
      <c r="Q56" s="728">
        <v>11111</v>
      </c>
      <c r="R56" s="728"/>
      <c r="S56" s="311" t="s">
        <v>143</v>
      </c>
      <c r="T56" s="309"/>
      <c r="U56" s="279"/>
      <c r="V56" s="279"/>
      <c r="W56" s="664">
        <f t="shared" ref="W56:W62" si="7">N56*Q56*(IF(ISNUMBER(T56),T56,IF(ISNUMBER(N56),1,0)))</f>
        <v>0</v>
      </c>
      <c r="X56" s="664"/>
      <c r="Y56" s="664"/>
      <c r="Z56" s="665"/>
      <c r="AB56" s="663">
        <v>0</v>
      </c>
      <c r="AC56" s="664"/>
      <c r="AD56" s="665"/>
      <c r="AF56" s="663">
        <f t="shared" ref="AF56:AF63" si="8">AB56-W56</f>
        <v>0</v>
      </c>
      <c r="AG56" s="664"/>
      <c r="AH56" s="665"/>
    </row>
    <row r="57" spans="3:47" s="51" customFormat="1" ht="20.5" customHeight="1" x14ac:dyDescent="0.15">
      <c r="C57" s="708">
        <v>228</v>
      </c>
      <c r="D57" s="709"/>
      <c r="E57" s="700" t="s">
        <v>86</v>
      </c>
      <c r="F57" s="700"/>
      <c r="G57" s="700"/>
      <c r="H57" s="700"/>
      <c r="I57" s="700"/>
      <c r="J57" s="700"/>
      <c r="K57" s="700"/>
      <c r="L57" s="700"/>
      <c r="M57" s="700"/>
      <c r="N57" s="309"/>
      <c r="O57" s="309" t="s">
        <v>116</v>
      </c>
      <c r="P57" s="310" t="s">
        <v>117</v>
      </c>
      <c r="Q57" s="728"/>
      <c r="R57" s="728"/>
      <c r="S57" s="311" t="s">
        <v>143</v>
      </c>
      <c r="T57" s="309"/>
      <c r="U57" s="279"/>
      <c r="V57" s="279"/>
      <c r="W57" s="664">
        <f t="shared" si="7"/>
        <v>0</v>
      </c>
      <c r="X57" s="664"/>
      <c r="Y57" s="664"/>
      <c r="Z57" s="665"/>
      <c r="AB57" s="663">
        <v>0</v>
      </c>
      <c r="AC57" s="664"/>
      <c r="AD57" s="665"/>
      <c r="AF57" s="663">
        <f t="shared" si="8"/>
        <v>0</v>
      </c>
      <c r="AG57" s="664"/>
      <c r="AH57" s="665"/>
    </row>
    <row r="58" spans="3:47" s="51" customFormat="1" ht="20.5" customHeight="1" x14ac:dyDescent="0.15">
      <c r="C58" s="708">
        <v>229</v>
      </c>
      <c r="D58" s="709"/>
      <c r="E58" s="700" t="s">
        <v>87</v>
      </c>
      <c r="F58" s="700"/>
      <c r="G58" s="700"/>
      <c r="H58" s="700"/>
      <c r="I58" s="700"/>
      <c r="J58" s="700"/>
      <c r="K58" s="700"/>
      <c r="L58" s="700"/>
      <c r="M58" s="700"/>
      <c r="N58" s="309"/>
      <c r="O58" s="309" t="s">
        <v>116</v>
      </c>
      <c r="P58" s="310" t="s">
        <v>117</v>
      </c>
      <c r="Q58" s="728"/>
      <c r="R58" s="728"/>
      <c r="S58" s="311" t="s">
        <v>143</v>
      </c>
      <c r="T58" s="309"/>
      <c r="U58" s="279"/>
      <c r="V58" s="279"/>
      <c r="W58" s="664">
        <f t="shared" si="7"/>
        <v>0</v>
      </c>
      <c r="X58" s="664"/>
      <c r="Y58" s="664"/>
      <c r="Z58" s="665"/>
      <c r="AB58" s="663">
        <v>0</v>
      </c>
      <c r="AC58" s="664"/>
      <c r="AD58" s="665"/>
      <c r="AF58" s="663">
        <f t="shared" si="8"/>
        <v>0</v>
      </c>
      <c r="AG58" s="664"/>
      <c r="AH58" s="665"/>
    </row>
    <row r="59" spans="3:47" s="51" customFormat="1" ht="20.5" customHeight="1" x14ac:dyDescent="0.15">
      <c r="C59" s="708">
        <v>230</v>
      </c>
      <c r="D59" s="709"/>
      <c r="E59" s="700" t="s">
        <v>88</v>
      </c>
      <c r="F59" s="700"/>
      <c r="G59" s="700"/>
      <c r="H59" s="700"/>
      <c r="I59" s="700"/>
      <c r="J59" s="700"/>
      <c r="K59" s="700"/>
      <c r="L59" s="700"/>
      <c r="M59" s="700"/>
      <c r="N59" s="309"/>
      <c r="O59" s="309" t="s">
        <v>116</v>
      </c>
      <c r="P59" s="310" t="s">
        <v>117</v>
      </c>
      <c r="Q59" s="728"/>
      <c r="R59" s="728"/>
      <c r="S59" s="311" t="s">
        <v>143</v>
      </c>
      <c r="T59" s="309"/>
      <c r="U59" s="279"/>
      <c r="V59" s="279"/>
      <c r="W59" s="664">
        <f t="shared" si="7"/>
        <v>0</v>
      </c>
      <c r="X59" s="664"/>
      <c r="Y59" s="664"/>
      <c r="Z59" s="665"/>
      <c r="AB59" s="663">
        <v>0</v>
      </c>
      <c r="AC59" s="664"/>
      <c r="AD59" s="665"/>
      <c r="AF59" s="663">
        <f t="shared" si="8"/>
        <v>0</v>
      </c>
      <c r="AG59" s="664"/>
      <c r="AH59" s="665"/>
    </row>
    <row r="60" spans="3:47" s="51" customFormat="1" ht="20.5" customHeight="1" x14ac:dyDescent="0.15">
      <c r="C60" s="708">
        <v>231</v>
      </c>
      <c r="D60" s="709"/>
      <c r="E60" s="700" t="s">
        <v>89</v>
      </c>
      <c r="F60" s="700"/>
      <c r="G60" s="700"/>
      <c r="H60" s="700"/>
      <c r="I60" s="700"/>
      <c r="J60" s="700"/>
      <c r="K60" s="700"/>
      <c r="L60" s="700"/>
      <c r="M60" s="700"/>
      <c r="N60" s="309"/>
      <c r="O60" s="309" t="s">
        <v>116</v>
      </c>
      <c r="P60" s="310" t="s">
        <v>117</v>
      </c>
      <c r="Q60" s="728">
        <v>12121</v>
      </c>
      <c r="R60" s="728"/>
      <c r="S60" s="311" t="s">
        <v>143</v>
      </c>
      <c r="T60" s="309"/>
      <c r="U60" s="279"/>
      <c r="V60" s="279"/>
      <c r="W60" s="664">
        <f t="shared" si="7"/>
        <v>0</v>
      </c>
      <c r="X60" s="664"/>
      <c r="Y60" s="664"/>
      <c r="Z60" s="665"/>
      <c r="AB60" s="663">
        <v>0</v>
      </c>
      <c r="AC60" s="664"/>
      <c r="AD60" s="665"/>
      <c r="AF60" s="663">
        <f t="shared" si="8"/>
        <v>0</v>
      </c>
      <c r="AG60" s="664"/>
      <c r="AH60" s="665"/>
    </row>
    <row r="61" spans="3:47" s="51" customFormat="1" ht="20.5" customHeight="1" x14ac:dyDescent="0.15">
      <c r="C61" s="708">
        <v>232</v>
      </c>
      <c r="D61" s="709"/>
      <c r="E61" s="700"/>
      <c r="F61" s="700"/>
      <c r="G61" s="700"/>
      <c r="H61" s="700"/>
      <c r="I61" s="700"/>
      <c r="J61" s="700"/>
      <c r="K61" s="700"/>
      <c r="L61" s="700"/>
      <c r="M61" s="700"/>
      <c r="N61" s="309"/>
      <c r="O61" s="309"/>
      <c r="P61" s="310" t="s">
        <v>117</v>
      </c>
      <c r="Q61" s="728"/>
      <c r="R61" s="728"/>
      <c r="S61" s="311" t="s">
        <v>143</v>
      </c>
      <c r="T61" s="309"/>
      <c r="U61" s="279"/>
      <c r="V61" s="279"/>
      <c r="W61" s="664">
        <f t="shared" si="7"/>
        <v>0</v>
      </c>
      <c r="X61" s="664"/>
      <c r="Y61" s="664"/>
      <c r="Z61" s="665"/>
      <c r="AB61" s="663">
        <v>0</v>
      </c>
      <c r="AC61" s="664"/>
      <c r="AD61" s="665"/>
      <c r="AF61" s="663">
        <f t="shared" si="8"/>
        <v>0</v>
      </c>
      <c r="AG61" s="664"/>
      <c r="AH61" s="665"/>
      <c r="AU61" s="51" t="s">
        <v>233</v>
      </c>
    </row>
    <row r="62" spans="3:47" s="51" customFormat="1" ht="20.5" customHeight="1" x14ac:dyDescent="0.15">
      <c r="C62" s="708">
        <v>233</v>
      </c>
      <c r="D62" s="709"/>
      <c r="E62" s="700"/>
      <c r="F62" s="700"/>
      <c r="G62" s="700"/>
      <c r="H62" s="700"/>
      <c r="I62" s="700"/>
      <c r="J62" s="700"/>
      <c r="K62" s="700"/>
      <c r="L62" s="700"/>
      <c r="M62" s="700"/>
      <c r="N62" s="309"/>
      <c r="O62" s="309"/>
      <c r="P62" s="310" t="s">
        <v>117</v>
      </c>
      <c r="Q62" s="728"/>
      <c r="R62" s="728"/>
      <c r="S62" s="311" t="s">
        <v>143</v>
      </c>
      <c r="T62" s="309"/>
      <c r="U62" s="279"/>
      <c r="V62" s="279"/>
      <c r="W62" s="664">
        <f t="shared" si="7"/>
        <v>0</v>
      </c>
      <c r="X62" s="664"/>
      <c r="Y62" s="664"/>
      <c r="Z62" s="665"/>
      <c r="AB62" s="663">
        <v>0</v>
      </c>
      <c r="AC62" s="664"/>
      <c r="AD62" s="665"/>
      <c r="AF62" s="663">
        <f t="shared" si="8"/>
        <v>0</v>
      </c>
      <c r="AG62" s="664"/>
      <c r="AH62" s="665"/>
    </row>
    <row r="63" spans="3:47" s="322" customFormat="1" ht="20.5" customHeight="1" x14ac:dyDescent="0.2">
      <c r="C63" s="389"/>
      <c r="D63" s="389"/>
      <c r="E63" s="389"/>
      <c r="F63" s="389"/>
      <c r="G63" s="389"/>
      <c r="H63" s="389"/>
      <c r="I63" s="389"/>
      <c r="J63" s="389"/>
      <c r="K63" s="389"/>
      <c r="L63" s="389"/>
      <c r="M63" s="389"/>
      <c r="N63" s="389"/>
      <c r="O63" s="654" t="s">
        <v>136</v>
      </c>
      <c r="P63" s="654"/>
      <c r="Q63" s="654"/>
      <c r="R63" s="654"/>
      <c r="S63" s="654"/>
      <c r="T63" s="654"/>
      <c r="U63" s="654"/>
      <c r="V63" s="655"/>
      <c r="W63" s="658">
        <f>SUM(W56:Z62)</f>
        <v>0</v>
      </c>
      <c r="X63" s="659"/>
      <c r="Y63" s="659"/>
      <c r="Z63" s="660"/>
      <c r="AB63" s="714">
        <f>SUM(AB56:AD62)</f>
        <v>0</v>
      </c>
      <c r="AC63" s="715"/>
      <c r="AD63" s="716"/>
      <c r="AF63" s="714">
        <f t="shared" si="8"/>
        <v>0</v>
      </c>
      <c r="AG63" s="715"/>
      <c r="AH63" s="716"/>
    </row>
    <row r="64" spans="3:47" ht="16.25" customHeight="1" x14ac:dyDescent="0.25">
      <c r="C64"/>
      <c r="D64"/>
      <c r="E64"/>
      <c r="F64"/>
      <c r="G64"/>
      <c r="H64"/>
      <c r="I64"/>
      <c r="J64"/>
      <c r="K64"/>
      <c r="L64"/>
      <c r="M64"/>
      <c r="N64"/>
      <c r="O64"/>
      <c r="P64"/>
      <c r="Q64" s="66"/>
      <c r="R64" s="66"/>
      <c r="S64"/>
      <c r="T64"/>
      <c r="U64"/>
      <c r="V64"/>
      <c r="W64"/>
      <c r="X64" s="23"/>
      <c r="Y64" s="23"/>
      <c r="Z64" s="23"/>
      <c r="AA64" s="1"/>
      <c r="AB64" s="23"/>
      <c r="AC64" s="23"/>
      <c r="AD64" s="23"/>
      <c r="AF64" s="23"/>
      <c r="AG64" s="23"/>
      <c r="AH64" s="23"/>
      <c r="AJ64" s="6"/>
      <c r="AK64" s="6"/>
      <c r="AL64" s="6"/>
      <c r="AM64" s="6"/>
    </row>
    <row r="65" spans="1:39" ht="16.25" customHeight="1" x14ac:dyDescent="0.25">
      <c r="C65"/>
      <c r="D65"/>
      <c r="E65"/>
      <c r="F65"/>
      <c r="G65"/>
      <c r="H65"/>
      <c r="I65"/>
      <c r="J65"/>
      <c r="K65"/>
      <c r="L65"/>
      <c r="M65"/>
      <c r="N65"/>
      <c r="O65"/>
      <c r="P65"/>
      <c r="Q65" s="66"/>
      <c r="R65" s="66"/>
      <c r="S65"/>
      <c r="T65"/>
      <c r="U65"/>
      <c r="V65"/>
      <c r="W65"/>
      <c r="X65" s="23"/>
      <c r="Y65" s="23"/>
      <c r="Z65" s="23"/>
      <c r="AA65" s="1"/>
      <c r="AB65" s="23"/>
      <c r="AC65" s="23"/>
      <c r="AD65" s="23"/>
      <c r="AF65" s="23"/>
      <c r="AG65" s="23"/>
      <c r="AH65" s="23"/>
      <c r="AJ65" s="6"/>
      <c r="AK65" s="6"/>
      <c r="AL65" s="6"/>
      <c r="AM65" s="6"/>
    </row>
    <row r="66" spans="1:39" s="6" customFormat="1" ht="16.25" customHeight="1" x14ac:dyDescent="0.25">
      <c r="A66" s="7"/>
      <c r="B66" s="7"/>
      <c r="C66"/>
      <c r="D66"/>
      <c r="E66"/>
      <c r="F66"/>
      <c r="G66"/>
      <c r="H66"/>
      <c r="I66"/>
      <c r="J66"/>
      <c r="K66"/>
      <c r="L66"/>
      <c r="M66"/>
      <c r="N66"/>
      <c r="O66"/>
      <c r="P66"/>
      <c r="Q66" s="66"/>
      <c r="R66" s="66"/>
      <c r="S66"/>
      <c r="T66"/>
      <c r="U66"/>
      <c r="V66"/>
      <c r="W66"/>
      <c r="X66" s="23"/>
      <c r="Y66" s="23"/>
      <c r="Z66" s="23"/>
      <c r="AA66" s="1"/>
      <c r="AB66" s="23"/>
      <c r="AC66" s="23"/>
      <c r="AD66" s="23"/>
      <c r="AF66" s="23"/>
      <c r="AG66" s="23"/>
      <c r="AH66" s="23"/>
    </row>
    <row r="67" spans="1:39" ht="16.25" customHeight="1" x14ac:dyDescent="0.25">
      <c r="C67"/>
      <c r="D67"/>
      <c r="E67"/>
      <c r="F67"/>
      <c r="G67"/>
      <c r="H67"/>
      <c r="I67"/>
      <c r="J67"/>
      <c r="K67"/>
      <c r="L67"/>
      <c r="M67"/>
      <c r="N67"/>
      <c r="O67"/>
      <c r="P67"/>
      <c r="Q67" s="66"/>
      <c r="R67" s="66"/>
      <c r="S67"/>
      <c r="T67"/>
      <c r="U67"/>
      <c r="V67"/>
      <c r="W67"/>
      <c r="X67" s="23"/>
      <c r="Y67" s="23"/>
      <c r="Z67" s="23"/>
      <c r="AA67" s="1"/>
      <c r="AB67" s="23"/>
      <c r="AC67" s="23"/>
      <c r="AD67" s="23"/>
      <c r="AF67" s="23"/>
      <c r="AG67" s="23"/>
      <c r="AH67" s="23"/>
      <c r="AJ67" s="6"/>
      <c r="AK67" s="6"/>
      <c r="AL67" s="6"/>
      <c r="AM67" s="6"/>
    </row>
    <row r="68" spans="1:39" ht="16.25" customHeight="1" x14ac:dyDescent="0.25">
      <c r="AA68" s="1"/>
      <c r="AJ68" s="6"/>
      <c r="AK68" s="6"/>
      <c r="AL68" s="6"/>
      <c r="AM68" s="6"/>
    </row>
    <row r="69" spans="1:39" ht="16.25" customHeight="1" x14ac:dyDescent="0.25">
      <c r="AA69" s="1"/>
      <c r="AJ69" s="6"/>
      <c r="AK69" s="6"/>
      <c r="AL69" s="6"/>
      <c r="AM69" s="6"/>
    </row>
    <row r="70" spans="1:39" ht="16.25" customHeight="1" x14ac:dyDescent="0.25">
      <c r="AA70" s="1"/>
      <c r="AJ70" s="6"/>
      <c r="AK70" s="6"/>
      <c r="AL70" s="6"/>
      <c r="AM70" s="6"/>
    </row>
    <row r="71" spans="1:39" ht="16.25" customHeight="1" x14ac:dyDescent="0.25">
      <c r="AA71" s="1"/>
      <c r="AJ71" s="6"/>
      <c r="AK71" s="6"/>
      <c r="AL71" s="6"/>
      <c r="AM71" s="6"/>
    </row>
    <row r="72" spans="1:39" ht="16.25" customHeight="1" x14ac:dyDescent="0.25">
      <c r="AA72" s="1"/>
      <c r="AJ72" s="6"/>
      <c r="AK72" s="6"/>
      <c r="AL72" s="6"/>
      <c r="AM72" s="6"/>
    </row>
    <row r="73" spans="1:39" ht="16.25" customHeight="1" x14ac:dyDescent="0.25">
      <c r="AA73" s="1"/>
      <c r="AJ73" s="6"/>
      <c r="AK73" s="6"/>
      <c r="AL73" s="6"/>
      <c r="AM73" s="6"/>
    </row>
    <row r="74" spans="1:39" ht="16.25" customHeight="1" x14ac:dyDescent="0.25">
      <c r="AA74" s="1"/>
      <c r="AJ74" s="6"/>
      <c r="AK74" s="6"/>
      <c r="AL74" s="6"/>
      <c r="AM74" s="6"/>
    </row>
    <row r="75" spans="1:39" ht="16.25" customHeight="1" x14ac:dyDescent="0.25">
      <c r="A75"/>
      <c r="B75"/>
      <c r="AA75" s="1"/>
      <c r="AJ75" s="6"/>
      <c r="AK75" s="6"/>
      <c r="AL75" s="6"/>
      <c r="AM75" s="6"/>
    </row>
    <row r="76" spans="1:39" ht="16.25" customHeight="1" x14ac:dyDescent="0.25">
      <c r="A76"/>
      <c r="B76"/>
      <c r="AA76" s="1"/>
      <c r="AJ76" s="6"/>
      <c r="AK76" s="6"/>
      <c r="AL76" s="6"/>
      <c r="AM76" s="6"/>
    </row>
    <row r="77" spans="1:39" ht="15" customHeight="1" x14ac:dyDescent="0.25">
      <c r="A77"/>
      <c r="B77"/>
      <c r="AA77" s="2"/>
      <c r="AJ77" s="6"/>
      <c r="AK77" s="6"/>
      <c r="AL77" s="6"/>
      <c r="AM77" s="6"/>
    </row>
    <row r="78" spans="1:39" ht="15" customHeight="1" x14ac:dyDescent="0.25">
      <c r="A78"/>
      <c r="B78"/>
      <c r="AA78" s="1"/>
      <c r="AJ78" s="6"/>
      <c r="AK78" s="6"/>
      <c r="AL78" s="6"/>
      <c r="AM78" s="6"/>
    </row>
    <row r="79" spans="1:39" ht="15" customHeight="1" x14ac:dyDescent="0.25">
      <c r="A79"/>
      <c r="B79"/>
      <c r="AA79" s="1"/>
      <c r="AJ79" s="6"/>
      <c r="AK79" s="6"/>
      <c r="AL79" s="6"/>
      <c r="AM79" s="6"/>
    </row>
    <row r="80" spans="1:39" ht="15" customHeight="1" x14ac:dyDescent="0.25">
      <c r="A80"/>
      <c r="B80"/>
      <c r="AA80" s="1"/>
      <c r="AJ80" s="6"/>
      <c r="AK80" s="6"/>
      <c r="AL80" s="6"/>
      <c r="AM80" s="6"/>
    </row>
    <row r="81" spans="1:39" ht="15" customHeight="1" x14ac:dyDescent="0.25">
      <c r="A81"/>
      <c r="B81"/>
      <c r="AJ81" s="6"/>
      <c r="AK81" s="6"/>
      <c r="AL81" s="6"/>
      <c r="AM81" s="6"/>
    </row>
    <row r="82" spans="1:39" ht="16.25" customHeight="1" x14ac:dyDescent="0.25">
      <c r="A82"/>
      <c r="B82"/>
      <c r="AA82" s="1"/>
      <c r="AJ82" s="6"/>
      <c r="AK82" s="6"/>
      <c r="AL82" s="6"/>
      <c r="AM82" s="6"/>
    </row>
    <row r="83" spans="1:39" ht="19" x14ac:dyDescent="0.25">
      <c r="A83"/>
      <c r="B83"/>
      <c r="AJ83" s="6"/>
      <c r="AK83" s="6"/>
      <c r="AL83" s="6"/>
      <c r="AM83" s="6"/>
    </row>
    <row r="84" spans="1:39" ht="19" x14ac:dyDescent="0.25">
      <c r="A84"/>
      <c r="B84"/>
      <c r="AJ84" s="6"/>
      <c r="AK84" s="6"/>
      <c r="AL84" s="6"/>
      <c r="AM84" s="6"/>
    </row>
    <row r="85" spans="1:39" ht="19" x14ac:dyDescent="0.25">
      <c r="A85"/>
      <c r="B85"/>
      <c r="AJ85" s="6"/>
      <c r="AK85" s="6"/>
      <c r="AL85" s="6"/>
      <c r="AM85" s="6"/>
    </row>
    <row r="86" spans="1:39" ht="19" x14ac:dyDescent="0.25">
      <c r="A86"/>
      <c r="B86"/>
      <c r="AJ86" s="6"/>
      <c r="AK86" s="6"/>
      <c r="AL86" s="6"/>
      <c r="AM86" s="6"/>
    </row>
    <row r="87" spans="1:39" ht="19" x14ac:dyDescent="0.25">
      <c r="A87"/>
      <c r="B87"/>
      <c r="AJ87" s="6"/>
      <c r="AK87" s="6"/>
      <c r="AL87" s="6"/>
      <c r="AM87" s="6"/>
    </row>
    <row r="88" spans="1:39" ht="19" x14ac:dyDescent="0.25">
      <c r="A88"/>
      <c r="B88"/>
      <c r="AJ88" s="6"/>
      <c r="AK88" s="6"/>
      <c r="AL88" s="6"/>
      <c r="AM88" s="6"/>
    </row>
    <row r="89" spans="1:39" ht="19" x14ac:dyDescent="0.25">
      <c r="A89"/>
      <c r="B89"/>
      <c r="AJ89" s="6"/>
      <c r="AK89" s="6"/>
      <c r="AL89" s="6"/>
      <c r="AM89" s="6"/>
    </row>
    <row r="90" spans="1:39" ht="19" x14ac:dyDescent="0.25">
      <c r="A90"/>
      <c r="B90"/>
      <c r="AJ90" s="6"/>
      <c r="AK90" s="6"/>
      <c r="AL90" s="6"/>
      <c r="AM90" s="6"/>
    </row>
    <row r="91" spans="1:39" ht="19" x14ac:dyDescent="0.25">
      <c r="A91"/>
      <c r="B91"/>
      <c r="AJ91" s="6"/>
      <c r="AK91" s="6"/>
      <c r="AL91" s="6"/>
      <c r="AM91" s="6"/>
    </row>
    <row r="92" spans="1:39" ht="19" x14ac:dyDescent="0.25">
      <c r="A92"/>
      <c r="B92"/>
      <c r="AJ92" s="6"/>
      <c r="AK92" s="6"/>
      <c r="AL92" s="6"/>
      <c r="AM92" s="6"/>
    </row>
    <row r="93" spans="1:39" x14ac:dyDescent="0.2">
      <c r="A93"/>
      <c r="B93"/>
    </row>
    <row r="94" spans="1:39" x14ac:dyDescent="0.2">
      <c r="A94"/>
      <c r="B94"/>
    </row>
  </sheetData>
  <sheetProtection selectLockedCells="1"/>
  <mergeCells count="293">
    <mergeCell ref="W36:Z36"/>
    <mergeCell ref="W37:Z37"/>
    <mergeCell ref="W26:Z26"/>
    <mergeCell ref="W27:Z27"/>
    <mergeCell ref="X39:Z39"/>
    <mergeCell ref="W34:Z34"/>
    <mergeCell ref="W35:Z35"/>
    <mergeCell ref="W21:Z21"/>
    <mergeCell ref="W22:Z22"/>
    <mergeCell ref="W8:Z8"/>
    <mergeCell ref="W13:Z13"/>
    <mergeCell ref="W9:Z9"/>
    <mergeCell ref="W10:Z10"/>
    <mergeCell ref="W18:Z18"/>
    <mergeCell ref="W19:Z19"/>
    <mergeCell ref="W20:Z20"/>
    <mergeCell ref="W25:Z25"/>
    <mergeCell ref="W32:Z32"/>
    <mergeCell ref="W23:Z23"/>
    <mergeCell ref="W24:Z24"/>
    <mergeCell ref="Q36:R36"/>
    <mergeCell ref="Q37:R37"/>
    <mergeCell ref="W50:Z50"/>
    <mergeCell ref="W51:Z51"/>
    <mergeCell ref="W11:Z11"/>
    <mergeCell ref="W12:Z12"/>
    <mergeCell ref="Q45:R45"/>
    <mergeCell ref="Q46:R46"/>
    <mergeCell ref="Q9:R9"/>
    <mergeCell ref="Q50:R50"/>
    <mergeCell ref="Q47:R47"/>
    <mergeCell ref="Q49:R49"/>
    <mergeCell ref="W42:Z42"/>
    <mergeCell ref="W43:Z43"/>
    <mergeCell ref="W44:Z44"/>
    <mergeCell ref="W45:Z45"/>
    <mergeCell ref="W46:Z46"/>
    <mergeCell ref="W47:Z47"/>
    <mergeCell ref="W48:Z48"/>
    <mergeCell ref="W49:Z49"/>
    <mergeCell ref="Q21:R21"/>
    <mergeCell ref="Q22:R22"/>
    <mergeCell ref="Q23:R23"/>
    <mergeCell ref="W33:Z33"/>
    <mergeCell ref="N9:O9"/>
    <mergeCell ref="Q31:R31"/>
    <mergeCell ref="N31:O31"/>
    <mergeCell ref="N41:O41"/>
    <mergeCell ref="Q41:R41"/>
    <mergeCell ref="Q24:R24"/>
    <mergeCell ref="Q25:R25"/>
    <mergeCell ref="Q27:R27"/>
    <mergeCell ref="Q26:R26"/>
    <mergeCell ref="Q18:R18"/>
    <mergeCell ref="Q19:R19"/>
    <mergeCell ref="Q20:R20"/>
    <mergeCell ref="Q10:R10"/>
    <mergeCell ref="Q11:R11"/>
    <mergeCell ref="Q12:R12"/>
    <mergeCell ref="Q16:R16"/>
    <mergeCell ref="Q17:R17"/>
    <mergeCell ref="Q13:R13"/>
    <mergeCell ref="Q14:R14"/>
    <mergeCell ref="Q15:R15"/>
    <mergeCell ref="Q34:R34"/>
    <mergeCell ref="Q35:R35"/>
    <mergeCell ref="Q32:R32"/>
    <mergeCell ref="Q33:R33"/>
    <mergeCell ref="AF63:AH63"/>
    <mergeCell ref="AF9:AH9"/>
    <mergeCell ref="AF31:AH31"/>
    <mergeCell ref="AF41:AH41"/>
    <mergeCell ref="AF55:AH55"/>
    <mergeCell ref="AF51:AH51"/>
    <mergeCell ref="AF52:AH52"/>
    <mergeCell ref="AF56:AH56"/>
    <mergeCell ref="AF57:AH57"/>
    <mergeCell ref="AF58:AH58"/>
    <mergeCell ref="AF59:AH59"/>
    <mergeCell ref="AF60:AH60"/>
    <mergeCell ref="AF61:AH61"/>
    <mergeCell ref="AF62:AH62"/>
    <mergeCell ref="AF42:AH42"/>
    <mergeCell ref="AF43:AH43"/>
    <mergeCell ref="AF44:AH44"/>
    <mergeCell ref="AF45:AH45"/>
    <mergeCell ref="AF46:AH46"/>
    <mergeCell ref="AF47:AH47"/>
    <mergeCell ref="AF48:AH48"/>
    <mergeCell ref="AF49:AH49"/>
    <mergeCell ref="AF50:AH50"/>
    <mergeCell ref="AF28:AH28"/>
    <mergeCell ref="AF33:AH33"/>
    <mergeCell ref="AF34:AH34"/>
    <mergeCell ref="AF35:AH35"/>
    <mergeCell ref="AF36:AH36"/>
    <mergeCell ref="AF37:AH37"/>
    <mergeCell ref="AF38:AH38"/>
    <mergeCell ref="AF39:AH39"/>
    <mergeCell ref="AF19:AH19"/>
    <mergeCell ref="AF20:AH20"/>
    <mergeCell ref="AF21:AH21"/>
    <mergeCell ref="AF22:AH22"/>
    <mergeCell ref="AF23:AH23"/>
    <mergeCell ref="AF24:AH24"/>
    <mergeCell ref="AF25:AH25"/>
    <mergeCell ref="AF26:AH26"/>
    <mergeCell ref="AF27:AH27"/>
    <mergeCell ref="AF10:AH10"/>
    <mergeCell ref="AF11:AH11"/>
    <mergeCell ref="AF12:AH12"/>
    <mergeCell ref="AF13:AH13"/>
    <mergeCell ref="AF14:AH14"/>
    <mergeCell ref="AF15:AH15"/>
    <mergeCell ref="AF16:AH16"/>
    <mergeCell ref="AF17:AH17"/>
    <mergeCell ref="AF18:AH18"/>
    <mergeCell ref="C50:D50"/>
    <mergeCell ref="C23:D23"/>
    <mergeCell ref="C44:D44"/>
    <mergeCell ref="C45:D45"/>
    <mergeCell ref="C35:D35"/>
    <mergeCell ref="C46:D46"/>
    <mergeCell ref="C47:D47"/>
    <mergeCell ref="C48:D48"/>
    <mergeCell ref="C49:D49"/>
    <mergeCell ref="C24:D24"/>
    <mergeCell ref="C25:D25"/>
    <mergeCell ref="C32:D32"/>
    <mergeCell ref="C33:D33"/>
    <mergeCell ref="C27:D27"/>
    <mergeCell ref="C42:D42"/>
    <mergeCell ref="C43:D43"/>
    <mergeCell ref="C34:D34"/>
    <mergeCell ref="C37:D37"/>
    <mergeCell ref="C36:D36"/>
    <mergeCell ref="Q42:R42"/>
    <mergeCell ref="Q43:R43"/>
    <mergeCell ref="Q48:R48"/>
    <mergeCell ref="Q44:R44"/>
    <mergeCell ref="E42:M42"/>
    <mergeCell ref="E43:M43"/>
    <mergeCell ref="C51:D51"/>
    <mergeCell ref="C62:D62"/>
    <mergeCell ref="C56:D56"/>
    <mergeCell ref="C57:D57"/>
    <mergeCell ref="C58:D58"/>
    <mergeCell ref="C59:D59"/>
    <mergeCell ref="C60:D60"/>
    <mergeCell ref="C61:D61"/>
    <mergeCell ref="Q62:R62"/>
    <mergeCell ref="Q59:R59"/>
    <mergeCell ref="Q60:R60"/>
    <mergeCell ref="Q61:R61"/>
    <mergeCell ref="Q56:R56"/>
    <mergeCell ref="Q57:R57"/>
    <mergeCell ref="Q58:R58"/>
    <mergeCell ref="E62:M62"/>
    <mergeCell ref="Q55:R55"/>
    <mergeCell ref="Q51:R51"/>
    <mergeCell ref="C10:D10"/>
    <mergeCell ref="C11:D11"/>
    <mergeCell ref="C12:D12"/>
    <mergeCell ref="C13:D13"/>
    <mergeCell ref="C14:D14"/>
    <mergeCell ref="C15:D15"/>
    <mergeCell ref="C26:D26"/>
    <mergeCell ref="E16:M16"/>
    <mergeCell ref="E17:M17"/>
    <mergeCell ref="C16:D16"/>
    <mergeCell ref="C17:D17"/>
    <mergeCell ref="C18:D18"/>
    <mergeCell ref="C19:D19"/>
    <mergeCell ref="C20:D20"/>
    <mergeCell ref="C21:D21"/>
    <mergeCell ref="C22:D22"/>
    <mergeCell ref="W52:Z52"/>
    <mergeCell ref="W30:Z30"/>
    <mergeCell ref="W40:Z40"/>
    <mergeCell ref="W54:Z54"/>
    <mergeCell ref="W31:Z31"/>
    <mergeCell ref="AF30:AH30"/>
    <mergeCell ref="AB30:AD30"/>
    <mergeCell ref="AB31:AD31"/>
    <mergeCell ref="AB32:AD32"/>
    <mergeCell ref="AB33:AD33"/>
    <mergeCell ref="AB34:AD34"/>
    <mergeCell ref="AB35:AD35"/>
    <mergeCell ref="AB36:AD36"/>
    <mergeCell ref="AB37:AD37"/>
    <mergeCell ref="AB38:AD38"/>
    <mergeCell ref="AB39:AD39"/>
    <mergeCell ref="AB41:AD41"/>
    <mergeCell ref="AB42:AD42"/>
    <mergeCell ref="AB43:AD43"/>
    <mergeCell ref="AB44:AD44"/>
    <mergeCell ref="AB45:AD45"/>
    <mergeCell ref="AB46:AD46"/>
    <mergeCell ref="AB47:AD47"/>
    <mergeCell ref="AF32:AH32"/>
    <mergeCell ref="AF8:AH8"/>
    <mergeCell ref="W41:Z41"/>
    <mergeCell ref="W28:Z28"/>
    <mergeCell ref="W38:Z38"/>
    <mergeCell ref="E10:M10"/>
    <mergeCell ref="E11:M11"/>
    <mergeCell ref="E12:M12"/>
    <mergeCell ref="E13:M13"/>
    <mergeCell ref="E14:M14"/>
    <mergeCell ref="E15:M15"/>
    <mergeCell ref="W14:Z14"/>
    <mergeCell ref="W15:Z15"/>
    <mergeCell ref="E24:M24"/>
    <mergeCell ref="W16:Z16"/>
    <mergeCell ref="W17:Z17"/>
    <mergeCell ref="E18:M18"/>
    <mergeCell ref="E19:M19"/>
    <mergeCell ref="E20:M20"/>
    <mergeCell ref="E21:M21"/>
    <mergeCell ref="E22:M22"/>
    <mergeCell ref="E23:M23"/>
    <mergeCell ref="AB8:AD8"/>
    <mergeCell ref="AB9:AD9"/>
    <mergeCell ref="AB10:AD10"/>
    <mergeCell ref="E50:M50"/>
    <mergeCell ref="E51:M51"/>
    <mergeCell ref="E56:M56"/>
    <mergeCell ref="E57:M57"/>
    <mergeCell ref="E58:M58"/>
    <mergeCell ref="E59:M59"/>
    <mergeCell ref="E60:M60"/>
    <mergeCell ref="E61:M61"/>
    <mergeCell ref="E25:M25"/>
    <mergeCell ref="E26:M26"/>
    <mergeCell ref="E27:M27"/>
    <mergeCell ref="E32:M32"/>
    <mergeCell ref="E33:M33"/>
    <mergeCell ref="E34:M34"/>
    <mergeCell ref="E35:M35"/>
    <mergeCell ref="E36:M36"/>
    <mergeCell ref="E37:M37"/>
    <mergeCell ref="E44:M44"/>
    <mergeCell ref="E45:M45"/>
    <mergeCell ref="E46:M46"/>
    <mergeCell ref="E47:M47"/>
    <mergeCell ref="E48:M48"/>
    <mergeCell ref="E49:M49"/>
    <mergeCell ref="AB11:AD11"/>
    <mergeCell ref="AB12:AD12"/>
    <mergeCell ref="AB13:AD13"/>
    <mergeCell ref="AB14:AD14"/>
    <mergeCell ref="AB15:AD15"/>
    <mergeCell ref="AB16:AD16"/>
    <mergeCell ref="AB17:AD17"/>
    <mergeCell ref="AB18:AD18"/>
    <mergeCell ref="AB19:AD19"/>
    <mergeCell ref="AB55:AD55"/>
    <mergeCell ref="AB56:AD56"/>
    <mergeCell ref="AB57:AD57"/>
    <mergeCell ref="AB58:AD58"/>
    <mergeCell ref="AB20:AD20"/>
    <mergeCell ref="AB21:AD21"/>
    <mergeCell ref="AB22:AD22"/>
    <mergeCell ref="AB23:AD23"/>
    <mergeCell ref="AB24:AD24"/>
    <mergeCell ref="AB25:AD25"/>
    <mergeCell ref="AB26:AD26"/>
    <mergeCell ref="AB27:AD27"/>
    <mergeCell ref="AB28:AD28"/>
    <mergeCell ref="O52:V52"/>
    <mergeCell ref="O38:V38"/>
    <mergeCell ref="O28:V28"/>
    <mergeCell ref="AB59:AD59"/>
    <mergeCell ref="AB60:AD60"/>
    <mergeCell ref="AB61:AD61"/>
    <mergeCell ref="AB62:AD62"/>
    <mergeCell ref="AB63:AD63"/>
    <mergeCell ref="N55:O55"/>
    <mergeCell ref="W55:Z55"/>
    <mergeCell ref="W56:Z56"/>
    <mergeCell ref="W57:Z57"/>
    <mergeCell ref="W58:Z58"/>
    <mergeCell ref="W59:Z59"/>
    <mergeCell ref="W60:Z60"/>
    <mergeCell ref="W61:Z61"/>
    <mergeCell ref="W62:Z62"/>
    <mergeCell ref="W63:Z63"/>
    <mergeCell ref="O63:V63"/>
    <mergeCell ref="AB48:AD48"/>
    <mergeCell ref="AB49:AD49"/>
    <mergeCell ref="AB50:AD50"/>
    <mergeCell ref="AB51:AD51"/>
    <mergeCell ref="AB52:AD52"/>
  </mergeCells>
  <pageMargins left="0.7" right="0.7" top="0.75" bottom="0.75" header="0.3" footer="0.3"/>
  <pageSetup scale="66" orientation="portrait" r:id="rId1"/>
  <legacyDrawingHF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pageSetUpPr fitToPage="1"/>
  </sheetPr>
  <dimension ref="B1:BY101"/>
  <sheetViews>
    <sheetView tabSelected="1" topLeftCell="A46" zoomScale="110" zoomScaleNormal="110" zoomScaleSheetLayoutView="100" workbookViewId="0">
      <selection activeCell="N42" sqref="N42:Y42"/>
    </sheetView>
  </sheetViews>
  <sheetFormatPr baseColWidth="10" defaultColWidth="4.6640625" defaultRowHeight="17" x14ac:dyDescent="0.2"/>
  <cols>
    <col min="1" max="1" width="4.6640625" style="7"/>
    <col min="2" max="2" width="4.6640625" style="7" customWidth="1"/>
    <col min="3" max="3" width="4.6640625" style="31"/>
    <col min="4" max="13" width="4.6640625" style="7"/>
    <col min="14" max="16" width="4.6640625" style="7" customWidth="1"/>
    <col min="17" max="18" width="4.6640625" style="44" customWidth="1"/>
    <col min="19" max="23" width="4.6640625" style="7" customWidth="1"/>
    <col min="24" max="26" width="4.6640625" style="24" customWidth="1"/>
    <col min="27" max="27" width="4.6640625" style="7" customWidth="1"/>
    <col min="28" max="30" width="4.6640625" style="24"/>
    <col min="31" max="31" width="4.6640625" style="7"/>
    <col min="32" max="34" width="4.6640625" style="24"/>
    <col min="35" max="35" width="4.6640625" style="7"/>
    <col min="42" max="42" width="4.83203125" style="7" bestFit="1" customWidth="1"/>
    <col min="43" max="16384" width="4.6640625" style="7"/>
  </cols>
  <sheetData>
    <row r="1" spans="2:77" ht="16.5" customHeight="1" x14ac:dyDescent="0.2">
      <c r="B1"/>
      <c r="C1"/>
      <c r="D1"/>
      <c r="E1"/>
      <c r="F1"/>
      <c r="G1"/>
      <c r="H1"/>
      <c r="I1"/>
      <c r="J1"/>
      <c r="K1"/>
      <c r="Q1" s="63"/>
      <c r="R1" s="63"/>
      <c r="AB1" s="7"/>
      <c r="AC1" s="7"/>
      <c r="AD1" s="7"/>
      <c r="AF1" s="7"/>
      <c r="AG1" s="7"/>
      <c r="AH1" s="7"/>
      <c r="AJ1" s="7"/>
      <c r="AK1" s="7"/>
      <c r="AL1" s="7"/>
      <c r="AM1" s="7"/>
      <c r="AN1" s="7"/>
      <c r="AO1" s="24"/>
      <c r="AP1" s="24"/>
      <c r="AQ1" s="24"/>
      <c r="BY1" s="7" t="s">
        <v>407</v>
      </c>
    </row>
    <row r="2" spans="2:77" ht="6.5" customHeight="1" x14ac:dyDescent="0.2">
      <c r="B2"/>
      <c r="C2"/>
      <c r="D2"/>
      <c r="E2"/>
      <c r="F2"/>
      <c r="G2"/>
      <c r="H2"/>
      <c r="I2"/>
      <c r="J2"/>
      <c r="K2"/>
      <c r="L2"/>
      <c r="M2"/>
      <c r="Q2" s="63"/>
      <c r="R2" s="63"/>
      <c r="AB2" s="7"/>
      <c r="AC2" s="7"/>
      <c r="AD2" s="7"/>
      <c r="AF2" s="7"/>
      <c r="AG2" s="7"/>
      <c r="AH2" s="7"/>
      <c r="AJ2" s="7"/>
      <c r="AK2" s="7"/>
      <c r="AL2" s="7"/>
      <c r="AM2" s="7"/>
      <c r="AN2" s="7"/>
      <c r="AO2" s="24"/>
      <c r="AP2" s="24"/>
      <c r="AQ2" s="24"/>
    </row>
    <row r="3" spans="2:77" ht="16.5" customHeight="1" x14ac:dyDescent="0.2">
      <c r="B3"/>
      <c r="C3"/>
      <c r="D3"/>
      <c r="E3"/>
      <c r="F3"/>
      <c r="G3"/>
      <c r="H3"/>
      <c r="I3"/>
      <c r="J3"/>
      <c r="K3"/>
      <c r="L3"/>
      <c r="M3"/>
      <c r="Q3" s="63"/>
      <c r="R3" s="7"/>
      <c r="AB3" s="7"/>
      <c r="AC3" s="7"/>
      <c r="AD3" s="7"/>
      <c r="AF3" s="7"/>
      <c r="AG3" s="7"/>
      <c r="AH3" s="7"/>
      <c r="AJ3" s="7"/>
      <c r="AK3" s="7"/>
      <c r="AL3" s="7"/>
      <c r="AM3" s="7"/>
      <c r="AN3" s="7"/>
      <c r="AO3" s="24"/>
      <c r="AP3" s="24"/>
      <c r="AQ3" s="24"/>
    </row>
    <row r="4" spans="2:77" ht="6.5" customHeight="1" x14ac:dyDescent="0.2">
      <c r="B4"/>
      <c r="C4"/>
      <c r="D4"/>
      <c r="E4"/>
      <c r="F4"/>
      <c r="G4"/>
      <c r="H4"/>
      <c r="I4"/>
      <c r="J4"/>
      <c r="K4"/>
      <c r="Q4" s="63"/>
      <c r="R4" s="7"/>
      <c r="AB4" s="7"/>
      <c r="AC4" s="7"/>
      <c r="AD4" s="7"/>
      <c r="AF4" s="7"/>
      <c r="AG4" s="7"/>
      <c r="AH4" s="7"/>
      <c r="AJ4" s="7"/>
      <c r="AK4" s="7"/>
      <c r="AL4" s="7"/>
      <c r="AM4" s="7"/>
      <c r="AN4" s="7"/>
      <c r="AO4" s="24"/>
      <c r="AP4" s="24"/>
      <c r="AQ4" s="24"/>
    </row>
    <row r="5" spans="2:77" ht="16.5" customHeight="1" x14ac:dyDescent="0.2">
      <c r="B5"/>
      <c r="C5"/>
      <c r="D5"/>
      <c r="E5"/>
      <c r="F5"/>
      <c r="G5"/>
      <c r="H5"/>
      <c r="I5"/>
      <c r="J5"/>
      <c r="K5"/>
      <c r="L5"/>
      <c r="M5"/>
      <c r="Q5" s="63"/>
      <c r="R5" s="63"/>
      <c r="AB5" s="7"/>
      <c r="AC5" s="7"/>
      <c r="AD5" s="7"/>
      <c r="AF5" s="7"/>
      <c r="AG5" s="7"/>
      <c r="AH5" s="7"/>
      <c r="AJ5" s="7"/>
      <c r="AK5" s="7"/>
      <c r="AL5" s="7"/>
      <c r="AM5" s="7"/>
      <c r="AN5" s="7"/>
      <c r="AO5" s="24"/>
      <c r="AP5" s="24"/>
      <c r="AQ5" s="24"/>
    </row>
    <row r="6" spans="2:77" ht="16.25" customHeight="1" x14ac:dyDescent="0.2">
      <c r="B6"/>
      <c r="C6"/>
      <c r="D6"/>
      <c r="E6"/>
      <c r="F6"/>
      <c r="G6"/>
      <c r="H6"/>
      <c r="I6"/>
      <c r="J6"/>
      <c r="K6"/>
    </row>
    <row r="7" spans="2:77" ht="16.25" customHeight="1" x14ac:dyDescent="0.2"/>
    <row r="8" spans="2:77" s="323" customFormat="1" ht="20" customHeight="1" x14ac:dyDescent="0.2">
      <c r="C8" s="4" t="s">
        <v>250</v>
      </c>
      <c r="D8" s="17" t="s">
        <v>276</v>
      </c>
      <c r="E8" s="5"/>
      <c r="F8" s="349"/>
      <c r="G8" s="349"/>
      <c r="H8" s="349"/>
      <c r="I8" s="349"/>
      <c r="J8" s="349"/>
      <c r="K8" s="349"/>
      <c r="L8" s="349"/>
      <c r="M8" s="349"/>
      <c r="N8" s="349"/>
      <c r="O8" s="349"/>
      <c r="P8" s="349"/>
      <c r="Q8" s="360"/>
      <c r="R8" s="360"/>
      <c r="S8" s="349"/>
      <c r="T8" s="349"/>
      <c r="U8" s="349"/>
      <c r="V8" s="349"/>
      <c r="W8" s="787"/>
      <c r="X8" s="787"/>
      <c r="Y8" s="787"/>
      <c r="Z8" s="788"/>
      <c r="AB8" s="351"/>
      <c r="AC8" s="352"/>
      <c r="AD8" s="361"/>
      <c r="AF8" s="351"/>
      <c r="AG8" s="352"/>
      <c r="AH8" s="361"/>
      <c r="AJ8" s="651" t="s">
        <v>148</v>
      </c>
      <c r="AK8" s="652"/>
      <c r="AL8" s="652"/>
      <c r="AM8" s="652"/>
      <c r="AN8" s="652"/>
      <c r="AO8" s="652"/>
      <c r="AP8" s="359"/>
      <c r="AQ8" s="359"/>
      <c r="AR8" s="653" t="s">
        <v>857</v>
      </c>
      <c r="AS8" s="652"/>
      <c r="AT8" s="652"/>
      <c r="AU8" s="652"/>
      <c r="AV8" s="652"/>
      <c r="AW8" s="652"/>
    </row>
    <row r="9" spans="2:77" s="115" customFormat="1" ht="16.25" customHeight="1" x14ac:dyDescent="0.15">
      <c r="C9" s="163"/>
      <c r="D9" s="124"/>
      <c r="E9" s="792" t="s">
        <v>384</v>
      </c>
      <c r="F9" s="792"/>
      <c r="G9" s="792"/>
      <c r="H9" s="792"/>
      <c r="I9" s="792"/>
      <c r="J9" s="145"/>
      <c r="K9" s="145"/>
      <c r="L9" s="145"/>
      <c r="M9" s="145"/>
      <c r="N9" s="668" t="s">
        <v>375</v>
      </c>
      <c r="O9" s="668"/>
      <c r="P9" s="145"/>
      <c r="Q9" s="790" t="s">
        <v>220</v>
      </c>
      <c r="R9" s="790"/>
      <c r="S9" s="145"/>
      <c r="T9" s="796" t="s">
        <v>400</v>
      </c>
      <c r="U9" s="758" t="s">
        <v>144</v>
      </c>
      <c r="V9" s="758"/>
      <c r="W9" s="794" t="s">
        <v>370</v>
      </c>
      <c r="X9" s="794"/>
      <c r="Y9" s="794"/>
      <c r="Z9" s="795"/>
      <c r="AB9" s="781" t="s">
        <v>363</v>
      </c>
      <c r="AC9" s="782"/>
      <c r="AD9" s="783"/>
      <c r="AF9" s="781" t="s">
        <v>447</v>
      </c>
      <c r="AG9" s="782"/>
      <c r="AH9" s="783"/>
      <c r="AJ9" s="688" t="s">
        <v>147</v>
      </c>
      <c r="AK9" s="688"/>
      <c r="AL9" s="688" t="s">
        <v>221</v>
      </c>
      <c r="AM9" s="688"/>
      <c r="AN9" s="688" t="s">
        <v>856</v>
      </c>
      <c r="AO9" s="688"/>
      <c r="AP9" s="683" t="s">
        <v>89</v>
      </c>
      <c r="AQ9" s="683"/>
      <c r="AR9" s="683" t="s">
        <v>353</v>
      </c>
      <c r="AS9" s="683"/>
      <c r="AT9" s="683" t="s">
        <v>858</v>
      </c>
      <c r="AU9" s="683"/>
      <c r="AV9" s="683" t="s">
        <v>858</v>
      </c>
      <c r="AW9" s="683"/>
      <c r="AX9" s="110"/>
    </row>
    <row r="10" spans="2:77" s="115" customFormat="1" ht="16.25" customHeight="1" x14ac:dyDescent="0.15">
      <c r="C10" s="164"/>
      <c r="D10" s="177"/>
      <c r="E10" s="793"/>
      <c r="F10" s="793"/>
      <c r="G10" s="793"/>
      <c r="H10" s="793"/>
      <c r="I10" s="793"/>
      <c r="J10" s="148"/>
      <c r="K10" s="148"/>
      <c r="L10" s="148"/>
      <c r="M10" s="148"/>
      <c r="N10" s="669"/>
      <c r="O10" s="669"/>
      <c r="P10" s="148"/>
      <c r="Q10" s="791"/>
      <c r="R10" s="791"/>
      <c r="S10" s="148"/>
      <c r="T10" s="797"/>
      <c r="U10" s="149">
        <v>1.5</v>
      </c>
      <c r="V10" s="149">
        <v>2</v>
      </c>
      <c r="W10" s="691"/>
      <c r="X10" s="691"/>
      <c r="Y10" s="691"/>
      <c r="Z10" s="692"/>
      <c r="AB10" s="673"/>
      <c r="AC10" s="674"/>
      <c r="AD10" s="675"/>
      <c r="AF10" s="673"/>
      <c r="AG10" s="674"/>
      <c r="AH10" s="675"/>
      <c r="AJ10" s="695" t="s">
        <v>223</v>
      </c>
      <c r="AK10" s="695"/>
      <c r="AL10" s="695" t="s">
        <v>220</v>
      </c>
      <c r="AM10" s="695"/>
      <c r="AN10" s="695" t="s">
        <v>220</v>
      </c>
      <c r="AO10" s="695"/>
      <c r="AP10" s="684" t="s">
        <v>220</v>
      </c>
      <c r="AQ10" s="684"/>
      <c r="AR10" s="684" t="s">
        <v>222</v>
      </c>
      <c r="AS10" s="684"/>
      <c r="AT10" s="684" t="s">
        <v>859</v>
      </c>
      <c r="AU10" s="684"/>
      <c r="AV10" s="684" t="s">
        <v>807</v>
      </c>
      <c r="AW10" s="684"/>
      <c r="AX10" s="110"/>
    </row>
    <row r="11" spans="2:77" s="51" customFormat="1" ht="18" customHeight="1" x14ac:dyDescent="0.15">
      <c r="C11" s="757">
        <v>234</v>
      </c>
      <c r="D11" s="419"/>
      <c r="E11" s="700" t="s">
        <v>308</v>
      </c>
      <c r="F11" s="700"/>
      <c r="G11" s="700"/>
      <c r="H11" s="700"/>
      <c r="I11" s="700"/>
      <c r="J11" s="700"/>
      <c r="K11" s="700"/>
      <c r="L11" s="700"/>
      <c r="M11" s="700"/>
      <c r="N11" s="309"/>
      <c r="O11" s="309" t="s">
        <v>116</v>
      </c>
      <c r="P11" s="310" t="s">
        <v>117</v>
      </c>
      <c r="Q11" s="789">
        <v>1000</v>
      </c>
      <c r="R11" s="789"/>
      <c r="S11" s="311" t="s">
        <v>143</v>
      </c>
      <c r="T11" s="309"/>
      <c r="U11" s="309"/>
      <c r="V11" s="309"/>
      <c r="W11" s="664">
        <f t="shared" ref="W11:W12" si="0">IF(ISNUMBER(N11),(N11*Q11*IF(ISNUMBER(T11),T11,1)+(IFERROR(U11*(Q11/AJ11)*1.5,0))+(IFERROR(V11*(Q11/AJ11)*2,0))),0)</f>
        <v>0</v>
      </c>
      <c r="X11" s="664"/>
      <c r="Y11" s="664"/>
      <c r="Z11" s="665"/>
      <c r="AB11" s="663">
        <v>0</v>
      </c>
      <c r="AC11" s="664"/>
      <c r="AD11" s="665"/>
      <c r="AF11" s="663">
        <f t="shared" ref="AF11:AF44" si="1">AB11-W11</f>
        <v>0</v>
      </c>
      <c r="AG11" s="664"/>
      <c r="AH11" s="665"/>
      <c r="AJ11" s="710">
        <v>10</v>
      </c>
      <c r="AK11" s="711"/>
      <c r="AL11" s="677">
        <f t="shared" ref="AL11:AL12" si="2">IFERROR(Q11/(AJ11+((AJ11-HourlyState_M)*0.5)),0)</f>
        <v>66.666666666666671</v>
      </c>
      <c r="AM11" s="678"/>
      <c r="AN11" s="677">
        <f>AL11*1.5</f>
        <v>100</v>
      </c>
      <c r="AO11" s="678"/>
      <c r="AP11" s="801">
        <v>0</v>
      </c>
      <c r="AQ11" s="801"/>
      <c r="AR11" s="802">
        <v>0</v>
      </c>
      <c r="AS11" s="802"/>
      <c r="AT11" s="696">
        <f t="shared" ref="AT11:AT42" si="3">AL11*HourlyState_M</f>
        <v>0</v>
      </c>
      <c r="AU11" s="697"/>
      <c r="AV11" s="696">
        <f t="shared" ref="AV11:AV42" si="4">(AJ11-HourlyState_M)*AN11</f>
        <v>1000</v>
      </c>
      <c r="AW11" s="697"/>
    </row>
    <row r="12" spans="2:77" s="51" customFormat="1" ht="18" customHeight="1" x14ac:dyDescent="0.15">
      <c r="C12" s="757">
        <v>235</v>
      </c>
      <c r="D12" s="419"/>
      <c r="E12" s="700" t="s">
        <v>814</v>
      </c>
      <c r="F12" s="700"/>
      <c r="G12" s="700"/>
      <c r="H12" s="700"/>
      <c r="I12" s="700"/>
      <c r="J12" s="700"/>
      <c r="K12" s="700"/>
      <c r="L12" s="700"/>
      <c r="M12" s="700"/>
      <c r="N12" s="309"/>
      <c r="O12" s="309" t="s">
        <v>116</v>
      </c>
      <c r="P12" s="310" t="s">
        <v>117</v>
      </c>
      <c r="Q12" s="789"/>
      <c r="R12" s="789"/>
      <c r="S12" s="311" t="s">
        <v>143</v>
      </c>
      <c r="T12" s="309"/>
      <c r="U12" s="309"/>
      <c r="V12" s="309"/>
      <c r="W12" s="664">
        <f t="shared" si="0"/>
        <v>0</v>
      </c>
      <c r="X12" s="664"/>
      <c r="Y12" s="664"/>
      <c r="Z12" s="665"/>
      <c r="AB12" s="663">
        <v>0</v>
      </c>
      <c r="AC12" s="664"/>
      <c r="AD12" s="665"/>
      <c r="AF12" s="663">
        <f t="shared" si="1"/>
        <v>0</v>
      </c>
      <c r="AG12" s="664"/>
      <c r="AH12" s="665"/>
      <c r="AJ12" s="710">
        <v>10</v>
      </c>
      <c r="AK12" s="711"/>
      <c r="AL12" s="677">
        <f t="shared" si="2"/>
        <v>0</v>
      </c>
      <c r="AM12" s="678"/>
      <c r="AN12" s="677">
        <f t="shared" ref="AN12:AN37" si="5">AL12*1.5</f>
        <v>0</v>
      </c>
      <c r="AO12" s="678"/>
      <c r="AP12" s="676"/>
      <c r="AQ12" s="461"/>
      <c r="AT12" s="696">
        <f t="shared" si="3"/>
        <v>0</v>
      </c>
      <c r="AU12" s="697"/>
      <c r="AV12" s="696">
        <f t="shared" si="4"/>
        <v>0</v>
      </c>
      <c r="AW12" s="697"/>
    </row>
    <row r="13" spans="2:77" s="51" customFormat="1" ht="18" customHeight="1" x14ac:dyDescent="0.15">
      <c r="C13" s="757">
        <v>236</v>
      </c>
      <c r="D13" s="419"/>
      <c r="E13" s="700" t="s">
        <v>308</v>
      </c>
      <c r="F13" s="700"/>
      <c r="G13" s="700"/>
      <c r="H13" s="700"/>
      <c r="I13" s="700"/>
      <c r="J13" s="700"/>
      <c r="K13" s="700"/>
      <c r="L13" s="700"/>
      <c r="M13" s="700"/>
      <c r="N13" s="309"/>
      <c r="O13" s="309" t="s">
        <v>116</v>
      </c>
      <c r="P13" s="310" t="s">
        <v>117</v>
      </c>
      <c r="Q13" s="789">
        <v>1000</v>
      </c>
      <c r="R13" s="789"/>
      <c r="S13" s="311" t="s">
        <v>143</v>
      </c>
      <c r="T13" s="309"/>
      <c r="U13" s="309"/>
      <c r="V13" s="309"/>
      <c r="W13" s="664">
        <f>IF(ISNUMBER(N13),(N13*Q13*IF(ISNUMBER(T13),T13,1)+(IFERROR(U13*(Q13/AJ13)*1.5,0))+(IFERROR(V13*(Q13/AJ13)*2,0))),0)</f>
        <v>0</v>
      </c>
      <c r="X13" s="664"/>
      <c r="Y13" s="664"/>
      <c r="Z13" s="665"/>
      <c r="AB13" s="663">
        <v>0</v>
      </c>
      <c r="AC13" s="664"/>
      <c r="AD13" s="665"/>
      <c r="AF13" s="663">
        <f t="shared" si="1"/>
        <v>0</v>
      </c>
      <c r="AG13" s="664"/>
      <c r="AH13" s="665"/>
      <c r="AJ13" s="710">
        <v>10</v>
      </c>
      <c r="AK13" s="711"/>
      <c r="AL13" s="677">
        <f t="shared" ref="AL13:AL42" si="6">IFERROR(Q13/(AJ13+((AJ13-HourlyState_M)*0.5)),0)</f>
        <v>66.666666666666671</v>
      </c>
      <c r="AM13" s="678"/>
      <c r="AN13" s="677">
        <f t="shared" si="5"/>
        <v>100</v>
      </c>
      <c r="AO13" s="678"/>
      <c r="AP13" s="676"/>
      <c r="AQ13" s="461"/>
      <c r="AT13" s="696">
        <f t="shared" si="3"/>
        <v>0</v>
      </c>
      <c r="AU13" s="697"/>
      <c r="AV13" s="696">
        <f t="shared" si="4"/>
        <v>1000</v>
      </c>
      <c r="AW13" s="697"/>
    </row>
    <row r="14" spans="2:77" s="51" customFormat="1" ht="18" customHeight="1" x14ac:dyDescent="0.15">
      <c r="C14" s="757">
        <v>237</v>
      </c>
      <c r="D14" s="419"/>
      <c r="E14" s="700" t="s">
        <v>308</v>
      </c>
      <c r="F14" s="700"/>
      <c r="G14" s="700"/>
      <c r="H14" s="700"/>
      <c r="I14" s="700"/>
      <c r="J14" s="700"/>
      <c r="K14" s="700"/>
      <c r="L14" s="700"/>
      <c r="M14" s="700"/>
      <c r="N14" s="309"/>
      <c r="O14" s="309" t="s">
        <v>116</v>
      </c>
      <c r="P14" s="310" t="s">
        <v>117</v>
      </c>
      <c r="Q14" s="789"/>
      <c r="R14" s="789"/>
      <c r="S14" s="311" t="s">
        <v>143</v>
      </c>
      <c r="T14" s="309"/>
      <c r="U14" s="309"/>
      <c r="V14" s="309"/>
      <c r="W14" s="664">
        <f t="shared" ref="W14:W42" si="7">IF(ISNUMBER(N14),(N14*Q14*IF(ISNUMBER(T14),T14,1)+(IFERROR(U14*(Q14/AJ14)*1.5,0))+(IFERROR(V14*(Q14/AJ14)*2,0))),0)</f>
        <v>0</v>
      </c>
      <c r="X14" s="664"/>
      <c r="Y14" s="664"/>
      <c r="Z14" s="665"/>
      <c r="AB14" s="663">
        <v>0</v>
      </c>
      <c r="AC14" s="664"/>
      <c r="AD14" s="665"/>
      <c r="AF14" s="663">
        <f t="shared" si="1"/>
        <v>0</v>
      </c>
      <c r="AG14" s="664"/>
      <c r="AH14" s="665"/>
      <c r="AJ14" s="710">
        <v>10</v>
      </c>
      <c r="AK14" s="711"/>
      <c r="AL14" s="677">
        <f t="shared" si="6"/>
        <v>0</v>
      </c>
      <c r="AM14" s="678"/>
      <c r="AN14" s="677">
        <f t="shared" si="5"/>
        <v>0</v>
      </c>
      <c r="AO14" s="678"/>
      <c r="AP14" s="676"/>
      <c r="AQ14" s="461"/>
      <c r="AT14" s="696">
        <f t="shared" si="3"/>
        <v>0</v>
      </c>
      <c r="AU14" s="697"/>
      <c r="AV14" s="696">
        <f t="shared" si="4"/>
        <v>0</v>
      </c>
      <c r="AW14" s="697"/>
    </row>
    <row r="15" spans="2:77" s="51" customFormat="1" ht="18" customHeight="1" x14ac:dyDescent="0.15">
      <c r="C15" s="757">
        <v>238</v>
      </c>
      <c r="D15" s="419"/>
      <c r="E15" s="700" t="s">
        <v>308</v>
      </c>
      <c r="F15" s="700"/>
      <c r="G15" s="700"/>
      <c r="H15" s="700"/>
      <c r="I15" s="700"/>
      <c r="J15" s="700"/>
      <c r="K15" s="700"/>
      <c r="L15" s="700"/>
      <c r="M15" s="700"/>
      <c r="N15" s="309"/>
      <c r="O15" s="309" t="s">
        <v>116</v>
      </c>
      <c r="P15" s="310" t="s">
        <v>117</v>
      </c>
      <c r="Q15" s="789"/>
      <c r="R15" s="789"/>
      <c r="S15" s="311" t="s">
        <v>143</v>
      </c>
      <c r="T15" s="309"/>
      <c r="U15" s="309"/>
      <c r="V15" s="309"/>
      <c r="W15" s="664">
        <f t="shared" si="7"/>
        <v>0</v>
      </c>
      <c r="X15" s="664"/>
      <c r="Y15" s="664"/>
      <c r="Z15" s="665"/>
      <c r="AB15" s="663">
        <v>0</v>
      </c>
      <c r="AC15" s="664"/>
      <c r="AD15" s="665"/>
      <c r="AF15" s="663">
        <f t="shared" si="1"/>
        <v>0</v>
      </c>
      <c r="AG15" s="664"/>
      <c r="AH15" s="665"/>
      <c r="AJ15" s="710">
        <v>10</v>
      </c>
      <c r="AK15" s="711"/>
      <c r="AL15" s="677">
        <f t="shared" si="6"/>
        <v>0</v>
      </c>
      <c r="AM15" s="678"/>
      <c r="AN15" s="677">
        <f t="shared" si="5"/>
        <v>0</v>
      </c>
      <c r="AO15" s="678"/>
      <c r="AP15" s="676"/>
      <c r="AQ15" s="461"/>
      <c r="AT15" s="696">
        <f t="shared" si="3"/>
        <v>0</v>
      </c>
      <c r="AU15" s="697"/>
      <c r="AV15" s="696">
        <f t="shared" si="4"/>
        <v>0</v>
      </c>
      <c r="AW15" s="697"/>
    </row>
    <row r="16" spans="2:77" s="51" customFormat="1" ht="18" customHeight="1" x14ac:dyDescent="0.15">
      <c r="C16" s="757">
        <v>239</v>
      </c>
      <c r="D16" s="419"/>
      <c r="E16" s="700" t="s">
        <v>308</v>
      </c>
      <c r="F16" s="700"/>
      <c r="G16" s="700"/>
      <c r="H16" s="700"/>
      <c r="I16" s="700"/>
      <c r="J16" s="700"/>
      <c r="K16" s="700"/>
      <c r="L16" s="700"/>
      <c r="M16" s="700"/>
      <c r="N16" s="309"/>
      <c r="O16" s="309" t="s">
        <v>116</v>
      </c>
      <c r="P16" s="310" t="s">
        <v>117</v>
      </c>
      <c r="Q16" s="789"/>
      <c r="R16" s="789"/>
      <c r="S16" s="311" t="s">
        <v>143</v>
      </c>
      <c r="T16" s="309"/>
      <c r="U16" s="309"/>
      <c r="V16" s="309"/>
      <c r="W16" s="664">
        <f t="shared" si="7"/>
        <v>0</v>
      </c>
      <c r="X16" s="664"/>
      <c r="Y16" s="664"/>
      <c r="Z16" s="665"/>
      <c r="AB16" s="663">
        <v>0</v>
      </c>
      <c r="AC16" s="664"/>
      <c r="AD16" s="665"/>
      <c r="AF16" s="663">
        <f t="shared" si="1"/>
        <v>0</v>
      </c>
      <c r="AG16" s="664"/>
      <c r="AH16" s="665"/>
      <c r="AJ16" s="710">
        <v>10</v>
      </c>
      <c r="AK16" s="711"/>
      <c r="AL16" s="677">
        <f t="shared" si="6"/>
        <v>0</v>
      </c>
      <c r="AM16" s="678"/>
      <c r="AN16" s="677">
        <f t="shared" si="5"/>
        <v>0</v>
      </c>
      <c r="AO16" s="678"/>
      <c r="AP16" s="676"/>
      <c r="AQ16" s="461"/>
      <c r="AT16" s="696">
        <f t="shared" si="3"/>
        <v>0</v>
      </c>
      <c r="AU16" s="697"/>
      <c r="AV16" s="696">
        <f t="shared" si="4"/>
        <v>0</v>
      </c>
      <c r="AW16" s="697"/>
    </row>
    <row r="17" spans="3:49" s="51" customFormat="1" ht="18" customHeight="1" x14ac:dyDescent="0.15">
      <c r="C17" s="757">
        <v>240</v>
      </c>
      <c r="D17" s="419"/>
      <c r="E17" s="700" t="s">
        <v>308</v>
      </c>
      <c r="F17" s="700"/>
      <c r="G17" s="700"/>
      <c r="H17" s="700"/>
      <c r="I17" s="700"/>
      <c r="J17" s="700"/>
      <c r="K17" s="700"/>
      <c r="L17" s="700"/>
      <c r="M17" s="700"/>
      <c r="N17" s="309"/>
      <c r="O17" s="309" t="s">
        <v>116</v>
      </c>
      <c r="P17" s="310" t="s">
        <v>117</v>
      </c>
      <c r="Q17" s="789"/>
      <c r="R17" s="789"/>
      <c r="S17" s="311" t="s">
        <v>143</v>
      </c>
      <c r="T17" s="309"/>
      <c r="U17" s="309"/>
      <c r="V17" s="309"/>
      <c r="W17" s="664">
        <f t="shared" si="7"/>
        <v>0</v>
      </c>
      <c r="X17" s="664"/>
      <c r="Y17" s="664"/>
      <c r="Z17" s="665"/>
      <c r="AB17" s="663">
        <v>0</v>
      </c>
      <c r="AC17" s="664"/>
      <c r="AD17" s="665"/>
      <c r="AF17" s="663">
        <f t="shared" si="1"/>
        <v>0</v>
      </c>
      <c r="AG17" s="664"/>
      <c r="AH17" s="665"/>
      <c r="AJ17" s="710">
        <v>10</v>
      </c>
      <c r="AK17" s="711"/>
      <c r="AL17" s="677">
        <f t="shared" si="6"/>
        <v>0</v>
      </c>
      <c r="AM17" s="678"/>
      <c r="AN17" s="677">
        <f t="shared" si="5"/>
        <v>0</v>
      </c>
      <c r="AO17" s="678"/>
      <c r="AP17" s="676"/>
      <c r="AQ17" s="461"/>
      <c r="AT17" s="696">
        <f t="shared" si="3"/>
        <v>0</v>
      </c>
      <c r="AU17" s="697"/>
      <c r="AV17" s="696">
        <f t="shared" si="4"/>
        <v>0</v>
      </c>
      <c r="AW17" s="697"/>
    </row>
    <row r="18" spans="3:49" s="51" customFormat="1" ht="18" customHeight="1" x14ac:dyDescent="0.15">
      <c r="C18" s="757">
        <v>241</v>
      </c>
      <c r="D18" s="419"/>
      <c r="E18" s="700" t="s">
        <v>308</v>
      </c>
      <c r="F18" s="700"/>
      <c r="G18" s="700"/>
      <c r="H18" s="700"/>
      <c r="I18" s="700"/>
      <c r="J18" s="700"/>
      <c r="K18" s="700"/>
      <c r="L18" s="700"/>
      <c r="M18" s="700"/>
      <c r="N18" s="309"/>
      <c r="O18" s="309" t="s">
        <v>116</v>
      </c>
      <c r="P18" s="310" t="s">
        <v>117</v>
      </c>
      <c r="Q18" s="789"/>
      <c r="R18" s="789"/>
      <c r="S18" s="311" t="s">
        <v>143</v>
      </c>
      <c r="T18" s="309"/>
      <c r="U18" s="309"/>
      <c r="V18" s="309"/>
      <c r="W18" s="664">
        <f t="shared" si="7"/>
        <v>0</v>
      </c>
      <c r="X18" s="664"/>
      <c r="Y18" s="664"/>
      <c r="Z18" s="665"/>
      <c r="AB18" s="663">
        <v>0</v>
      </c>
      <c r="AC18" s="664"/>
      <c r="AD18" s="665"/>
      <c r="AF18" s="663">
        <f t="shared" si="1"/>
        <v>0</v>
      </c>
      <c r="AG18" s="664"/>
      <c r="AH18" s="665"/>
      <c r="AJ18" s="710">
        <v>10</v>
      </c>
      <c r="AK18" s="711"/>
      <c r="AL18" s="677">
        <f t="shared" si="6"/>
        <v>0</v>
      </c>
      <c r="AM18" s="678"/>
      <c r="AN18" s="677">
        <f t="shared" si="5"/>
        <v>0</v>
      </c>
      <c r="AO18" s="678"/>
      <c r="AT18" s="696">
        <f t="shared" si="3"/>
        <v>0</v>
      </c>
      <c r="AU18" s="697"/>
      <c r="AV18" s="696">
        <f t="shared" si="4"/>
        <v>0</v>
      </c>
      <c r="AW18" s="697"/>
    </row>
    <row r="19" spans="3:49" s="51" customFormat="1" ht="18" customHeight="1" x14ac:dyDescent="0.15">
      <c r="C19" s="757">
        <v>242</v>
      </c>
      <c r="D19" s="419"/>
      <c r="E19" s="700" t="s">
        <v>308</v>
      </c>
      <c r="F19" s="700"/>
      <c r="G19" s="700"/>
      <c r="H19" s="700"/>
      <c r="I19" s="700"/>
      <c r="J19" s="700"/>
      <c r="K19" s="700"/>
      <c r="L19" s="700"/>
      <c r="M19" s="700"/>
      <c r="N19" s="309"/>
      <c r="O19" s="309" t="s">
        <v>116</v>
      </c>
      <c r="P19" s="310" t="s">
        <v>117</v>
      </c>
      <c r="Q19" s="789"/>
      <c r="R19" s="789"/>
      <c r="S19" s="311" t="s">
        <v>143</v>
      </c>
      <c r="T19" s="309"/>
      <c r="U19" s="309"/>
      <c r="V19" s="309"/>
      <c r="W19" s="664">
        <f t="shared" si="7"/>
        <v>0</v>
      </c>
      <c r="X19" s="664"/>
      <c r="Y19" s="664"/>
      <c r="Z19" s="665"/>
      <c r="AB19" s="663">
        <v>0</v>
      </c>
      <c r="AC19" s="664"/>
      <c r="AD19" s="665"/>
      <c r="AF19" s="663">
        <f t="shared" si="1"/>
        <v>0</v>
      </c>
      <c r="AG19" s="664"/>
      <c r="AH19" s="665"/>
      <c r="AJ19" s="710">
        <v>10</v>
      </c>
      <c r="AK19" s="711"/>
      <c r="AL19" s="677">
        <f t="shared" si="6"/>
        <v>0</v>
      </c>
      <c r="AM19" s="678"/>
      <c r="AN19" s="677">
        <f t="shared" si="5"/>
        <v>0</v>
      </c>
      <c r="AO19" s="678"/>
      <c r="AT19" s="696">
        <f t="shared" si="3"/>
        <v>0</v>
      </c>
      <c r="AU19" s="697"/>
      <c r="AV19" s="696">
        <f t="shared" si="4"/>
        <v>0</v>
      </c>
      <c r="AW19" s="697"/>
    </row>
    <row r="20" spans="3:49" s="51" customFormat="1" ht="18" customHeight="1" x14ac:dyDescent="0.15">
      <c r="C20" s="757">
        <v>243</v>
      </c>
      <c r="D20" s="419"/>
      <c r="E20" s="700"/>
      <c r="F20" s="700"/>
      <c r="G20" s="700"/>
      <c r="H20" s="700"/>
      <c r="I20" s="700"/>
      <c r="J20" s="700"/>
      <c r="K20" s="700"/>
      <c r="L20" s="700"/>
      <c r="M20" s="700"/>
      <c r="N20" s="309"/>
      <c r="O20" s="309" t="s">
        <v>116</v>
      </c>
      <c r="P20" s="310" t="s">
        <v>117</v>
      </c>
      <c r="Q20" s="789"/>
      <c r="R20" s="789"/>
      <c r="S20" s="311" t="s">
        <v>143</v>
      </c>
      <c r="T20" s="309"/>
      <c r="U20" s="309"/>
      <c r="V20" s="309"/>
      <c r="W20" s="664">
        <f t="shared" si="7"/>
        <v>0</v>
      </c>
      <c r="X20" s="664"/>
      <c r="Y20" s="664"/>
      <c r="Z20" s="665"/>
      <c r="AB20" s="663">
        <v>0</v>
      </c>
      <c r="AC20" s="664"/>
      <c r="AD20" s="665"/>
      <c r="AF20" s="663">
        <f t="shared" si="1"/>
        <v>0</v>
      </c>
      <c r="AG20" s="664"/>
      <c r="AH20" s="665"/>
      <c r="AJ20" s="710">
        <v>10</v>
      </c>
      <c r="AK20" s="711"/>
      <c r="AL20" s="677">
        <f t="shared" si="6"/>
        <v>0</v>
      </c>
      <c r="AM20" s="678"/>
      <c r="AN20" s="677">
        <f t="shared" si="5"/>
        <v>0</v>
      </c>
      <c r="AO20" s="678"/>
      <c r="AT20" s="696">
        <f t="shared" si="3"/>
        <v>0</v>
      </c>
      <c r="AU20" s="697"/>
      <c r="AV20" s="696">
        <f t="shared" si="4"/>
        <v>0</v>
      </c>
      <c r="AW20" s="697"/>
    </row>
    <row r="21" spans="3:49" s="51" customFormat="1" ht="18" customHeight="1" x14ac:dyDescent="0.15">
      <c r="C21" s="757">
        <v>244</v>
      </c>
      <c r="D21" s="419"/>
      <c r="E21" s="700" t="s">
        <v>309</v>
      </c>
      <c r="F21" s="700"/>
      <c r="G21" s="700"/>
      <c r="H21" s="700"/>
      <c r="I21" s="700"/>
      <c r="J21" s="700"/>
      <c r="K21" s="700"/>
      <c r="L21" s="700"/>
      <c r="M21" s="700"/>
      <c r="N21" s="309"/>
      <c r="O21" s="309" t="s">
        <v>116</v>
      </c>
      <c r="P21" s="310" t="s">
        <v>117</v>
      </c>
      <c r="Q21" s="789"/>
      <c r="R21" s="789"/>
      <c r="S21" s="311" t="s">
        <v>143</v>
      </c>
      <c r="T21" s="309"/>
      <c r="U21" s="309"/>
      <c r="V21" s="309"/>
      <c r="W21" s="664">
        <f t="shared" si="7"/>
        <v>0</v>
      </c>
      <c r="X21" s="664"/>
      <c r="Y21" s="664"/>
      <c r="Z21" s="665"/>
      <c r="AB21" s="663">
        <v>0</v>
      </c>
      <c r="AC21" s="664"/>
      <c r="AD21" s="665"/>
      <c r="AF21" s="663">
        <f t="shared" si="1"/>
        <v>0</v>
      </c>
      <c r="AG21" s="664"/>
      <c r="AH21" s="665"/>
      <c r="AJ21" s="710">
        <v>10</v>
      </c>
      <c r="AK21" s="711"/>
      <c r="AL21" s="677">
        <f t="shared" si="6"/>
        <v>0</v>
      </c>
      <c r="AM21" s="678"/>
      <c r="AN21" s="677">
        <f t="shared" si="5"/>
        <v>0</v>
      </c>
      <c r="AO21" s="678"/>
      <c r="AT21" s="696">
        <f t="shared" si="3"/>
        <v>0</v>
      </c>
      <c r="AU21" s="697"/>
      <c r="AV21" s="696">
        <f t="shared" si="4"/>
        <v>0</v>
      </c>
      <c r="AW21" s="697"/>
    </row>
    <row r="22" spans="3:49" s="51" customFormat="1" ht="18" customHeight="1" x14ac:dyDescent="0.15">
      <c r="C22" s="757">
        <v>245</v>
      </c>
      <c r="D22" s="419"/>
      <c r="E22" s="700"/>
      <c r="F22" s="700"/>
      <c r="G22" s="700"/>
      <c r="H22" s="700"/>
      <c r="I22" s="700"/>
      <c r="J22" s="700"/>
      <c r="K22" s="700"/>
      <c r="L22" s="700"/>
      <c r="M22" s="700"/>
      <c r="N22" s="309"/>
      <c r="O22" s="309" t="s">
        <v>116</v>
      </c>
      <c r="P22" s="310" t="s">
        <v>117</v>
      </c>
      <c r="Q22" s="789"/>
      <c r="R22" s="789"/>
      <c r="S22" s="311" t="s">
        <v>143</v>
      </c>
      <c r="T22" s="309"/>
      <c r="U22" s="309"/>
      <c r="V22" s="309"/>
      <c r="W22" s="664">
        <f t="shared" si="7"/>
        <v>0</v>
      </c>
      <c r="X22" s="664"/>
      <c r="Y22" s="664"/>
      <c r="Z22" s="665"/>
      <c r="AB22" s="663">
        <v>0</v>
      </c>
      <c r="AC22" s="664"/>
      <c r="AD22" s="665"/>
      <c r="AF22" s="663">
        <f t="shared" si="1"/>
        <v>0</v>
      </c>
      <c r="AG22" s="664"/>
      <c r="AH22" s="665"/>
      <c r="AJ22" s="710">
        <v>10</v>
      </c>
      <c r="AK22" s="711"/>
      <c r="AL22" s="677">
        <f t="shared" si="6"/>
        <v>0</v>
      </c>
      <c r="AM22" s="678"/>
      <c r="AN22" s="677">
        <f t="shared" si="5"/>
        <v>0</v>
      </c>
      <c r="AO22" s="678"/>
      <c r="AT22" s="696">
        <f t="shared" si="3"/>
        <v>0</v>
      </c>
      <c r="AU22" s="697"/>
      <c r="AV22" s="696">
        <f t="shared" si="4"/>
        <v>0</v>
      </c>
      <c r="AW22" s="697"/>
    </row>
    <row r="23" spans="3:49" s="51" customFormat="1" ht="18" customHeight="1" x14ac:dyDescent="0.15">
      <c r="C23" s="757">
        <v>246</v>
      </c>
      <c r="D23" s="419"/>
      <c r="E23" s="700" t="s">
        <v>310</v>
      </c>
      <c r="F23" s="700"/>
      <c r="G23" s="700"/>
      <c r="H23" s="700"/>
      <c r="I23" s="700"/>
      <c r="J23" s="700"/>
      <c r="K23" s="700"/>
      <c r="L23" s="700"/>
      <c r="M23" s="700"/>
      <c r="N23" s="309"/>
      <c r="O23" s="309" t="s">
        <v>116</v>
      </c>
      <c r="P23" s="310" t="s">
        <v>117</v>
      </c>
      <c r="Q23" s="789"/>
      <c r="R23" s="789"/>
      <c r="S23" s="311" t="s">
        <v>143</v>
      </c>
      <c r="T23" s="309"/>
      <c r="U23" s="309"/>
      <c r="V23" s="309"/>
      <c r="W23" s="664">
        <f t="shared" si="7"/>
        <v>0</v>
      </c>
      <c r="X23" s="664"/>
      <c r="Y23" s="664"/>
      <c r="Z23" s="665"/>
      <c r="AB23" s="663">
        <v>0</v>
      </c>
      <c r="AC23" s="664"/>
      <c r="AD23" s="665"/>
      <c r="AF23" s="663">
        <f t="shared" si="1"/>
        <v>0</v>
      </c>
      <c r="AG23" s="664"/>
      <c r="AH23" s="665"/>
      <c r="AJ23" s="710">
        <v>10</v>
      </c>
      <c r="AK23" s="711"/>
      <c r="AL23" s="677">
        <f t="shared" si="6"/>
        <v>0</v>
      </c>
      <c r="AM23" s="678"/>
      <c r="AN23" s="677">
        <f t="shared" si="5"/>
        <v>0</v>
      </c>
      <c r="AO23" s="678"/>
      <c r="AT23" s="696">
        <f t="shared" si="3"/>
        <v>0</v>
      </c>
      <c r="AU23" s="697"/>
      <c r="AV23" s="696">
        <f t="shared" si="4"/>
        <v>0</v>
      </c>
      <c r="AW23" s="697"/>
    </row>
    <row r="24" spans="3:49" s="51" customFormat="1" ht="18" customHeight="1" x14ac:dyDescent="0.15">
      <c r="C24" s="757">
        <v>247</v>
      </c>
      <c r="D24" s="419"/>
      <c r="E24" s="700" t="s">
        <v>311</v>
      </c>
      <c r="F24" s="700"/>
      <c r="G24" s="700"/>
      <c r="H24" s="700"/>
      <c r="I24" s="700"/>
      <c r="J24" s="700"/>
      <c r="K24" s="700"/>
      <c r="L24" s="700"/>
      <c r="M24" s="700"/>
      <c r="N24" s="309"/>
      <c r="O24" s="309" t="s">
        <v>116</v>
      </c>
      <c r="P24" s="310" t="s">
        <v>117</v>
      </c>
      <c r="Q24" s="789"/>
      <c r="R24" s="789"/>
      <c r="S24" s="311" t="s">
        <v>143</v>
      </c>
      <c r="T24" s="309"/>
      <c r="U24" s="309"/>
      <c r="V24" s="309"/>
      <c r="W24" s="664">
        <f t="shared" si="7"/>
        <v>0</v>
      </c>
      <c r="X24" s="664"/>
      <c r="Y24" s="664"/>
      <c r="Z24" s="665"/>
      <c r="AB24" s="663">
        <v>0</v>
      </c>
      <c r="AC24" s="664"/>
      <c r="AD24" s="665"/>
      <c r="AF24" s="663">
        <f t="shared" si="1"/>
        <v>0</v>
      </c>
      <c r="AG24" s="664"/>
      <c r="AH24" s="665"/>
      <c r="AJ24" s="710">
        <v>10</v>
      </c>
      <c r="AK24" s="711"/>
      <c r="AL24" s="677">
        <f t="shared" si="6"/>
        <v>0</v>
      </c>
      <c r="AM24" s="678"/>
      <c r="AN24" s="677">
        <f t="shared" si="5"/>
        <v>0</v>
      </c>
      <c r="AO24" s="678"/>
      <c r="AT24" s="696">
        <f t="shared" si="3"/>
        <v>0</v>
      </c>
      <c r="AU24" s="697"/>
      <c r="AV24" s="696">
        <f t="shared" si="4"/>
        <v>0</v>
      </c>
      <c r="AW24" s="697"/>
    </row>
    <row r="25" spans="3:49" s="51" customFormat="1" ht="18" customHeight="1" x14ac:dyDescent="0.15">
      <c r="C25" s="757">
        <v>248</v>
      </c>
      <c r="D25" s="419"/>
      <c r="E25" s="700" t="s">
        <v>311</v>
      </c>
      <c r="F25" s="700"/>
      <c r="G25" s="700"/>
      <c r="H25" s="700"/>
      <c r="I25" s="700"/>
      <c r="J25" s="700"/>
      <c r="K25" s="700"/>
      <c r="L25" s="700"/>
      <c r="M25" s="700"/>
      <c r="N25" s="309"/>
      <c r="O25" s="309" t="s">
        <v>116</v>
      </c>
      <c r="P25" s="310" t="s">
        <v>117</v>
      </c>
      <c r="Q25" s="789"/>
      <c r="R25" s="789"/>
      <c r="S25" s="311" t="s">
        <v>143</v>
      </c>
      <c r="T25" s="309"/>
      <c r="U25" s="309"/>
      <c r="V25" s="309"/>
      <c r="W25" s="664">
        <f t="shared" si="7"/>
        <v>0</v>
      </c>
      <c r="X25" s="664"/>
      <c r="Y25" s="664"/>
      <c r="Z25" s="665"/>
      <c r="AB25" s="663">
        <v>0</v>
      </c>
      <c r="AC25" s="664"/>
      <c r="AD25" s="665"/>
      <c r="AF25" s="663">
        <f t="shared" si="1"/>
        <v>0</v>
      </c>
      <c r="AG25" s="664"/>
      <c r="AH25" s="665"/>
      <c r="AJ25" s="710">
        <v>10</v>
      </c>
      <c r="AK25" s="711"/>
      <c r="AL25" s="677">
        <f t="shared" si="6"/>
        <v>0</v>
      </c>
      <c r="AM25" s="678"/>
      <c r="AN25" s="677">
        <f t="shared" si="5"/>
        <v>0</v>
      </c>
      <c r="AO25" s="678"/>
      <c r="AT25" s="696">
        <f t="shared" si="3"/>
        <v>0</v>
      </c>
      <c r="AU25" s="697"/>
      <c r="AV25" s="696">
        <f t="shared" si="4"/>
        <v>0</v>
      </c>
      <c r="AW25" s="697"/>
    </row>
    <row r="26" spans="3:49" s="51" customFormat="1" ht="18" customHeight="1" x14ac:dyDescent="0.15">
      <c r="C26" s="757">
        <v>249</v>
      </c>
      <c r="D26" s="419"/>
      <c r="E26" s="700" t="s">
        <v>311</v>
      </c>
      <c r="F26" s="700"/>
      <c r="G26" s="700"/>
      <c r="H26" s="700"/>
      <c r="I26" s="700"/>
      <c r="J26" s="700"/>
      <c r="K26" s="700"/>
      <c r="L26" s="700"/>
      <c r="M26" s="700"/>
      <c r="N26" s="309"/>
      <c r="O26" s="309" t="s">
        <v>116</v>
      </c>
      <c r="P26" s="310" t="s">
        <v>117</v>
      </c>
      <c r="Q26" s="789"/>
      <c r="R26" s="789"/>
      <c r="S26" s="311" t="s">
        <v>143</v>
      </c>
      <c r="T26" s="309"/>
      <c r="U26" s="309"/>
      <c r="V26" s="309"/>
      <c r="W26" s="664">
        <f t="shared" si="7"/>
        <v>0</v>
      </c>
      <c r="X26" s="664"/>
      <c r="Y26" s="664"/>
      <c r="Z26" s="665"/>
      <c r="AB26" s="663">
        <v>0</v>
      </c>
      <c r="AC26" s="664"/>
      <c r="AD26" s="665"/>
      <c r="AF26" s="663">
        <f t="shared" si="1"/>
        <v>0</v>
      </c>
      <c r="AG26" s="664"/>
      <c r="AH26" s="665"/>
      <c r="AJ26" s="710">
        <v>10</v>
      </c>
      <c r="AK26" s="711"/>
      <c r="AL26" s="677">
        <f t="shared" si="6"/>
        <v>0</v>
      </c>
      <c r="AM26" s="678"/>
      <c r="AN26" s="677">
        <f t="shared" si="5"/>
        <v>0</v>
      </c>
      <c r="AO26" s="678"/>
      <c r="AT26" s="696">
        <f t="shared" si="3"/>
        <v>0</v>
      </c>
      <c r="AU26" s="697"/>
      <c r="AV26" s="696">
        <f t="shared" si="4"/>
        <v>0</v>
      </c>
      <c r="AW26" s="697"/>
    </row>
    <row r="27" spans="3:49" s="51" customFormat="1" ht="18" customHeight="1" x14ac:dyDescent="0.15">
      <c r="C27" s="757">
        <v>250</v>
      </c>
      <c r="D27" s="419"/>
      <c r="E27" s="700" t="s">
        <v>311</v>
      </c>
      <c r="F27" s="700"/>
      <c r="G27" s="700"/>
      <c r="H27" s="700"/>
      <c r="I27" s="700"/>
      <c r="J27" s="700"/>
      <c r="K27" s="700"/>
      <c r="L27" s="700"/>
      <c r="M27" s="700"/>
      <c r="N27" s="309"/>
      <c r="O27" s="309" t="s">
        <v>116</v>
      </c>
      <c r="P27" s="310" t="s">
        <v>117</v>
      </c>
      <c r="Q27" s="789"/>
      <c r="R27" s="789"/>
      <c r="S27" s="311" t="s">
        <v>143</v>
      </c>
      <c r="T27" s="309"/>
      <c r="U27" s="309"/>
      <c r="V27" s="309"/>
      <c r="W27" s="664">
        <f t="shared" si="7"/>
        <v>0</v>
      </c>
      <c r="X27" s="664"/>
      <c r="Y27" s="664"/>
      <c r="Z27" s="665"/>
      <c r="AB27" s="663">
        <v>0</v>
      </c>
      <c r="AC27" s="664"/>
      <c r="AD27" s="665"/>
      <c r="AF27" s="663">
        <f t="shared" si="1"/>
        <v>0</v>
      </c>
      <c r="AG27" s="664"/>
      <c r="AH27" s="665"/>
      <c r="AJ27" s="710">
        <v>10</v>
      </c>
      <c r="AK27" s="711"/>
      <c r="AL27" s="677">
        <f t="shared" si="6"/>
        <v>0</v>
      </c>
      <c r="AM27" s="678"/>
      <c r="AN27" s="677">
        <f t="shared" si="5"/>
        <v>0</v>
      </c>
      <c r="AO27" s="678"/>
      <c r="AT27" s="696">
        <f t="shared" si="3"/>
        <v>0</v>
      </c>
      <c r="AU27" s="697"/>
      <c r="AV27" s="696">
        <f t="shared" si="4"/>
        <v>0</v>
      </c>
      <c r="AW27" s="697"/>
    </row>
    <row r="28" spans="3:49" s="51" customFormat="1" ht="18" customHeight="1" x14ac:dyDescent="0.15">
      <c r="C28" s="757">
        <v>251</v>
      </c>
      <c r="D28" s="419"/>
      <c r="E28" s="700" t="s">
        <v>311</v>
      </c>
      <c r="F28" s="700"/>
      <c r="G28" s="700"/>
      <c r="H28" s="700"/>
      <c r="I28" s="700"/>
      <c r="J28" s="700"/>
      <c r="K28" s="700"/>
      <c r="L28" s="700"/>
      <c r="M28" s="700"/>
      <c r="N28" s="309"/>
      <c r="O28" s="309" t="s">
        <v>116</v>
      </c>
      <c r="P28" s="310" t="s">
        <v>117</v>
      </c>
      <c r="Q28" s="789"/>
      <c r="R28" s="789"/>
      <c r="S28" s="311" t="s">
        <v>143</v>
      </c>
      <c r="T28" s="309"/>
      <c r="U28" s="309"/>
      <c r="V28" s="309"/>
      <c r="W28" s="664">
        <f t="shared" si="7"/>
        <v>0</v>
      </c>
      <c r="X28" s="664"/>
      <c r="Y28" s="664"/>
      <c r="Z28" s="665"/>
      <c r="AB28" s="663">
        <v>0</v>
      </c>
      <c r="AC28" s="664"/>
      <c r="AD28" s="665"/>
      <c r="AF28" s="663">
        <f t="shared" si="1"/>
        <v>0</v>
      </c>
      <c r="AG28" s="664"/>
      <c r="AH28" s="665"/>
      <c r="AJ28" s="710">
        <v>10</v>
      </c>
      <c r="AK28" s="711"/>
      <c r="AL28" s="677">
        <f t="shared" si="6"/>
        <v>0</v>
      </c>
      <c r="AM28" s="678"/>
      <c r="AN28" s="677">
        <f t="shared" si="5"/>
        <v>0</v>
      </c>
      <c r="AO28" s="678"/>
      <c r="AT28" s="696">
        <f t="shared" si="3"/>
        <v>0</v>
      </c>
      <c r="AU28" s="697"/>
      <c r="AV28" s="696">
        <f t="shared" si="4"/>
        <v>0</v>
      </c>
      <c r="AW28" s="697"/>
    </row>
    <row r="29" spans="3:49" s="51" customFormat="1" ht="18" customHeight="1" x14ac:dyDescent="0.15">
      <c r="C29" s="757">
        <v>252</v>
      </c>
      <c r="D29" s="419"/>
      <c r="E29" s="700"/>
      <c r="F29" s="700"/>
      <c r="G29" s="700"/>
      <c r="H29" s="700"/>
      <c r="I29" s="700"/>
      <c r="J29" s="700"/>
      <c r="K29" s="700"/>
      <c r="L29" s="700"/>
      <c r="M29" s="700"/>
      <c r="N29" s="309"/>
      <c r="O29" s="309" t="s">
        <v>116</v>
      </c>
      <c r="P29" s="310" t="s">
        <v>117</v>
      </c>
      <c r="Q29" s="789"/>
      <c r="R29" s="789"/>
      <c r="S29" s="311" t="s">
        <v>143</v>
      </c>
      <c r="T29" s="309"/>
      <c r="U29" s="309"/>
      <c r="V29" s="309"/>
      <c r="W29" s="664">
        <f t="shared" si="7"/>
        <v>0</v>
      </c>
      <c r="X29" s="664"/>
      <c r="Y29" s="664"/>
      <c r="Z29" s="665"/>
      <c r="AB29" s="663">
        <v>0</v>
      </c>
      <c r="AC29" s="664"/>
      <c r="AD29" s="665"/>
      <c r="AF29" s="663">
        <f t="shared" si="1"/>
        <v>0</v>
      </c>
      <c r="AG29" s="664"/>
      <c r="AH29" s="665"/>
      <c r="AJ29" s="710">
        <v>10</v>
      </c>
      <c r="AK29" s="711"/>
      <c r="AL29" s="677">
        <f t="shared" si="6"/>
        <v>0</v>
      </c>
      <c r="AM29" s="678"/>
      <c r="AN29" s="677">
        <f t="shared" si="5"/>
        <v>0</v>
      </c>
      <c r="AO29" s="678"/>
      <c r="AT29" s="696">
        <f t="shared" si="3"/>
        <v>0</v>
      </c>
      <c r="AU29" s="697"/>
      <c r="AV29" s="696">
        <f t="shared" si="4"/>
        <v>0</v>
      </c>
      <c r="AW29" s="697"/>
    </row>
    <row r="30" spans="3:49" s="51" customFormat="1" ht="18" customHeight="1" x14ac:dyDescent="0.15">
      <c r="C30" s="757">
        <v>253</v>
      </c>
      <c r="D30" s="419"/>
      <c r="E30" s="700"/>
      <c r="F30" s="700"/>
      <c r="G30" s="700"/>
      <c r="H30" s="700"/>
      <c r="I30" s="700"/>
      <c r="J30" s="700"/>
      <c r="K30" s="700"/>
      <c r="L30" s="700"/>
      <c r="M30" s="700"/>
      <c r="N30" s="309"/>
      <c r="O30" s="309" t="s">
        <v>116</v>
      </c>
      <c r="P30" s="310" t="s">
        <v>117</v>
      </c>
      <c r="Q30" s="789"/>
      <c r="R30" s="789"/>
      <c r="S30" s="311" t="s">
        <v>143</v>
      </c>
      <c r="T30" s="309"/>
      <c r="U30" s="309"/>
      <c r="V30" s="309"/>
      <c r="W30" s="664">
        <f t="shared" si="7"/>
        <v>0</v>
      </c>
      <c r="X30" s="664"/>
      <c r="Y30" s="664"/>
      <c r="Z30" s="665"/>
      <c r="AB30" s="663">
        <v>0</v>
      </c>
      <c r="AC30" s="664"/>
      <c r="AD30" s="665"/>
      <c r="AF30" s="663">
        <f t="shared" si="1"/>
        <v>0</v>
      </c>
      <c r="AG30" s="664"/>
      <c r="AH30" s="665"/>
      <c r="AJ30" s="710">
        <v>10</v>
      </c>
      <c r="AK30" s="711"/>
      <c r="AL30" s="677">
        <f t="shared" si="6"/>
        <v>0</v>
      </c>
      <c r="AM30" s="678"/>
      <c r="AN30" s="677">
        <f t="shared" si="5"/>
        <v>0</v>
      </c>
      <c r="AO30" s="678"/>
      <c r="AT30" s="696">
        <f t="shared" si="3"/>
        <v>0</v>
      </c>
      <c r="AU30" s="697"/>
      <c r="AV30" s="696">
        <f t="shared" si="4"/>
        <v>0</v>
      </c>
      <c r="AW30" s="697"/>
    </row>
    <row r="31" spans="3:49" s="51" customFormat="1" ht="18" customHeight="1" x14ac:dyDescent="0.15">
      <c r="C31" s="757">
        <v>254</v>
      </c>
      <c r="D31" s="419"/>
      <c r="E31" s="700"/>
      <c r="F31" s="700"/>
      <c r="G31" s="700"/>
      <c r="H31" s="700"/>
      <c r="I31" s="700"/>
      <c r="J31" s="700"/>
      <c r="K31" s="700"/>
      <c r="L31" s="700"/>
      <c r="M31" s="700"/>
      <c r="N31" s="309"/>
      <c r="O31" s="309" t="s">
        <v>116</v>
      </c>
      <c r="P31" s="310" t="s">
        <v>117</v>
      </c>
      <c r="Q31" s="789"/>
      <c r="R31" s="789"/>
      <c r="S31" s="311" t="s">
        <v>143</v>
      </c>
      <c r="T31" s="309"/>
      <c r="U31" s="309"/>
      <c r="V31" s="309"/>
      <c r="W31" s="664">
        <f t="shared" si="7"/>
        <v>0</v>
      </c>
      <c r="X31" s="664"/>
      <c r="Y31" s="664"/>
      <c r="Z31" s="665"/>
      <c r="AB31" s="663">
        <v>0</v>
      </c>
      <c r="AC31" s="664"/>
      <c r="AD31" s="665"/>
      <c r="AF31" s="663">
        <f t="shared" si="1"/>
        <v>0</v>
      </c>
      <c r="AG31" s="664"/>
      <c r="AH31" s="665"/>
      <c r="AJ31" s="710">
        <v>10</v>
      </c>
      <c r="AK31" s="711"/>
      <c r="AL31" s="677">
        <f t="shared" si="6"/>
        <v>0</v>
      </c>
      <c r="AM31" s="678"/>
      <c r="AN31" s="677">
        <f t="shared" si="5"/>
        <v>0</v>
      </c>
      <c r="AO31" s="678"/>
      <c r="AT31" s="696">
        <f t="shared" si="3"/>
        <v>0</v>
      </c>
      <c r="AU31" s="697"/>
      <c r="AV31" s="696">
        <f t="shared" si="4"/>
        <v>0</v>
      </c>
      <c r="AW31" s="697"/>
    </row>
    <row r="32" spans="3:49" s="51" customFormat="1" ht="18" customHeight="1" x14ac:dyDescent="0.15">
      <c r="C32" s="757">
        <v>255</v>
      </c>
      <c r="D32" s="419"/>
      <c r="E32" s="700" t="s">
        <v>312</v>
      </c>
      <c r="F32" s="700"/>
      <c r="G32" s="700"/>
      <c r="H32" s="700"/>
      <c r="I32" s="700"/>
      <c r="J32" s="700"/>
      <c r="K32" s="700"/>
      <c r="L32" s="700"/>
      <c r="M32" s="700"/>
      <c r="N32" s="309"/>
      <c r="O32" s="309" t="s">
        <v>116</v>
      </c>
      <c r="P32" s="310" t="s">
        <v>117</v>
      </c>
      <c r="Q32" s="789"/>
      <c r="R32" s="789"/>
      <c r="S32" s="311" t="s">
        <v>143</v>
      </c>
      <c r="T32" s="309"/>
      <c r="U32" s="309"/>
      <c r="V32" s="309"/>
      <c r="W32" s="664">
        <f t="shared" si="7"/>
        <v>0</v>
      </c>
      <c r="X32" s="664"/>
      <c r="Y32" s="664"/>
      <c r="Z32" s="665"/>
      <c r="AB32" s="663">
        <v>0</v>
      </c>
      <c r="AC32" s="664"/>
      <c r="AD32" s="665"/>
      <c r="AF32" s="663">
        <f t="shared" si="1"/>
        <v>0</v>
      </c>
      <c r="AG32" s="664"/>
      <c r="AH32" s="665"/>
      <c r="AJ32" s="710">
        <v>10</v>
      </c>
      <c r="AK32" s="711"/>
      <c r="AL32" s="677">
        <f t="shared" si="6"/>
        <v>0</v>
      </c>
      <c r="AM32" s="678"/>
      <c r="AN32" s="677">
        <f t="shared" si="5"/>
        <v>0</v>
      </c>
      <c r="AO32" s="678"/>
      <c r="AT32" s="696">
        <f t="shared" si="3"/>
        <v>0</v>
      </c>
      <c r="AU32" s="697"/>
      <c r="AV32" s="696">
        <f t="shared" si="4"/>
        <v>0</v>
      </c>
      <c r="AW32" s="697"/>
    </row>
    <row r="33" spans="3:49" s="51" customFormat="1" ht="18" customHeight="1" x14ac:dyDescent="0.15">
      <c r="C33" s="757">
        <v>256</v>
      </c>
      <c r="D33" s="419"/>
      <c r="E33" s="700"/>
      <c r="F33" s="700"/>
      <c r="G33" s="700"/>
      <c r="H33" s="700"/>
      <c r="I33" s="700"/>
      <c r="J33" s="700"/>
      <c r="K33" s="700"/>
      <c r="L33" s="700"/>
      <c r="M33" s="700"/>
      <c r="N33" s="309"/>
      <c r="O33" s="309" t="s">
        <v>116</v>
      </c>
      <c r="P33" s="310" t="s">
        <v>117</v>
      </c>
      <c r="Q33" s="789"/>
      <c r="R33" s="789"/>
      <c r="S33" s="311" t="s">
        <v>143</v>
      </c>
      <c r="T33" s="309"/>
      <c r="U33" s="309"/>
      <c r="V33" s="309"/>
      <c r="W33" s="664">
        <f t="shared" si="7"/>
        <v>0</v>
      </c>
      <c r="X33" s="664"/>
      <c r="Y33" s="664"/>
      <c r="Z33" s="665"/>
      <c r="AB33" s="663">
        <v>0</v>
      </c>
      <c r="AC33" s="664"/>
      <c r="AD33" s="665"/>
      <c r="AF33" s="663">
        <f t="shared" si="1"/>
        <v>0</v>
      </c>
      <c r="AG33" s="664"/>
      <c r="AH33" s="665"/>
      <c r="AJ33" s="710">
        <v>10</v>
      </c>
      <c r="AK33" s="711"/>
      <c r="AL33" s="677">
        <f t="shared" si="6"/>
        <v>0</v>
      </c>
      <c r="AM33" s="678"/>
      <c r="AN33" s="677">
        <f t="shared" si="5"/>
        <v>0</v>
      </c>
      <c r="AO33" s="678"/>
      <c r="AT33" s="696">
        <f t="shared" si="3"/>
        <v>0</v>
      </c>
      <c r="AU33" s="697"/>
      <c r="AV33" s="696">
        <f t="shared" si="4"/>
        <v>0</v>
      </c>
      <c r="AW33" s="697"/>
    </row>
    <row r="34" spans="3:49" s="51" customFormat="1" ht="18" customHeight="1" x14ac:dyDescent="0.15">
      <c r="C34" s="757">
        <v>257</v>
      </c>
      <c r="D34" s="419"/>
      <c r="E34" s="700"/>
      <c r="F34" s="700"/>
      <c r="G34" s="700"/>
      <c r="H34" s="700"/>
      <c r="I34" s="700"/>
      <c r="J34" s="700"/>
      <c r="K34" s="700"/>
      <c r="L34" s="700"/>
      <c r="M34" s="700"/>
      <c r="N34" s="309"/>
      <c r="O34" s="309" t="s">
        <v>116</v>
      </c>
      <c r="P34" s="310" t="s">
        <v>117</v>
      </c>
      <c r="Q34" s="789"/>
      <c r="R34" s="789"/>
      <c r="S34" s="311" t="s">
        <v>143</v>
      </c>
      <c r="T34" s="309"/>
      <c r="U34" s="309"/>
      <c r="V34" s="309"/>
      <c r="W34" s="664">
        <f t="shared" si="7"/>
        <v>0</v>
      </c>
      <c r="X34" s="664"/>
      <c r="Y34" s="664"/>
      <c r="Z34" s="665"/>
      <c r="AB34" s="663">
        <v>0</v>
      </c>
      <c r="AC34" s="664"/>
      <c r="AD34" s="665"/>
      <c r="AF34" s="663">
        <f t="shared" si="1"/>
        <v>0</v>
      </c>
      <c r="AG34" s="664"/>
      <c r="AH34" s="665"/>
      <c r="AJ34" s="710">
        <v>10</v>
      </c>
      <c r="AK34" s="711"/>
      <c r="AL34" s="677">
        <f t="shared" si="6"/>
        <v>0</v>
      </c>
      <c r="AM34" s="678"/>
      <c r="AN34" s="677">
        <f t="shared" si="5"/>
        <v>0</v>
      </c>
      <c r="AO34" s="678"/>
      <c r="AT34" s="696">
        <f t="shared" si="3"/>
        <v>0</v>
      </c>
      <c r="AU34" s="697"/>
      <c r="AV34" s="696">
        <f t="shared" si="4"/>
        <v>0</v>
      </c>
      <c r="AW34" s="697"/>
    </row>
    <row r="35" spans="3:49" s="51" customFormat="1" ht="18" customHeight="1" x14ac:dyDescent="0.15">
      <c r="C35" s="757">
        <v>258</v>
      </c>
      <c r="D35" s="419"/>
      <c r="E35" s="700" t="s">
        <v>313</v>
      </c>
      <c r="F35" s="700"/>
      <c r="G35" s="700"/>
      <c r="H35" s="700"/>
      <c r="I35" s="700"/>
      <c r="J35" s="700"/>
      <c r="K35" s="700"/>
      <c r="L35" s="700"/>
      <c r="M35" s="700"/>
      <c r="N35" s="309"/>
      <c r="O35" s="309" t="s">
        <v>116</v>
      </c>
      <c r="P35" s="310" t="s">
        <v>117</v>
      </c>
      <c r="Q35" s="789"/>
      <c r="R35" s="789"/>
      <c r="S35" s="311" t="s">
        <v>143</v>
      </c>
      <c r="T35" s="309"/>
      <c r="U35" s="309"/>
      <c r="V35" s="309"/>
      <c r="W35" s="664">
        <f t="shared" si="7"/>
        <v>0</v>
      </c>
      <c r="X35" s="664"/>
      <c r="Y35" s="664"/>
      <c r="Z35" s="665"/>
      <c r="AB35" s="663">
        <v>0</v>
      </c>
      <c r="AC35" s="664"/>
      <c r="AD35" s="665"/>
      <c r="AF35" s="663">
        <f t="shared" si="1"/>
        <v>0</v>
      </c>
      <c r="AG35" s="664"/>
      <c r="AH35" s="665"/>
      <c r="AJ35" s="710">
        <v>10</v>
      </c>
      <c r="AK35" s="711"/>
      <c r="AL35" s="677">
        <f t="shared" si="6"/>
        <v>0</v>
      </c>
      <c r="AM35" s="678"/>
      <c r="AN35" s="677">
        <f t="shared" si="5"/>
        <v>0</v>
      </c>
      <c r="AO35" s="678"/>
      <c r="AT35" s="696">
        <f t="shared" si="3"/>
        <v>0</v>
      </c>
      <c r="AU35" s="697"/>
      <c r="AV35" s="696">
        <f t="shared" si="4"/>
        <v>0</v>
      </c>
      <c r="AW35" s="697"/>
    </row>
    <row r="36" spans="3:49" s="51" customFormat="1" ht="18" customHeight="1" x14ac:dyDescent="0.15">
      <c r="C36" s="757">
        <v>259</v>
      </c>
      <c r="D36" s="419"/>
      <c r="E36" s="700" t="s">
        <v>314</v>
      </c>
      <c r="F36" s="700"/>
      <c r="G36" s="700"/>
      <c r="H36" s="700"/>
      <c r="I36" s="700"/>
      <c r="J36" s="700"/>
      <c r="K36" s="700"/>
      <c r="L36" s="700"/>
      <c r="M36" s="700"/>
      <c r="N36" s="309"/>
      <c r="O36" s="309" t="s">
        <v>116</v>
      </c>
      <c r="P36" s="310" t="s">
        <v>117</v>
      </c>
      <c r="Q36" s="789"/>
      <c r="R36" s="789"/>
      <c r="S36" s="311" t="s">
        <v>143</v>
      </c>
      <c r="T36" s="309"/>
      <c r="U36" s="309"/>
      <c r="V36" s="309"/>
      <c r="W36" s="664">
        <f t="shared" si="7"/>
        <v>0</v>
      </c>
      <c r="X36" s="664"/>
      <c r="Y36" s="664"/>
      <c r="Z36" s="665"/>
      <c r="AB36" s="663">
        <v>0</v>
      </c>
      <c r="AC36" s="664"/>
      <c r="AD36" s="665"/>
      <c r="AF36" s="663">
        <f t="shared" si="1"/>
        <v>0</v>
      </c>
      <c r="AG36" s="664"/>
      <c r="AH36" s="665"/>
      <c r="AJ36" s="710">
        <v>10</v>
      </c>
      <c r="AK36" s="711"/>
      <c r="AL36" s="677">
        <f t="shared" si="6"/>
        <v>0</v>
      </c>
      <c r="AM36" s="678"/>
      <c r="AN36" s="677">
        <f t="shared" si="5"/>
        <v>0</v>
      </c>
      <c r="AO36" s="678"/>
      <c r="AT36" s="696">
        <f t="shared" si="3"/>
        <v>0</v>
      </c>
      <c r="AU36" s="697"/>
      <c r="AV36" s="696">
        <f t="shared" si="4"/>
        <v>0</v>
      </c>
      <c r="AW36" s="697"/>
    </row>
    <row r="37" spans="3:49" s="51" customFormat="1" ht="18" customHeight="1" x14ac:dyDescent="0.15">
      <c r="C37" s="757">
        <v>260</v>
      </c>
      <c r="D37" s="419"/>
      <c r="E37" s="700" t="s">
        <v>314</v>
      </c>
      <c r="F37" s="700"/>
      <c r="G37" s="700"/>
      <c r="H37" s="700"/>
      <c r="I37" s="700"/>
      <c r="J37" s="700"/>
      <c r="K37" s="700"/>
      <c r="L37" s="700"/>
      <c r="M37" s="700"/>
      <c r="N37" s="309"/>
      <c r="O37" s="309" t="s">
        <v>116</v>
      </c>
      <c r="P37" s="310" t="s">
        <v>117</v>
      </c>
      <c r="Q37" s="789"/>
      <c r="R37" s="789"/>
      <c r="S37" s="311" t="s">
        <v>143</v>
      </c>
      <c r="T37" s="309"/>
      <c r="U37" s="309"/>
      <c r="V37" s="309"/>
      <c r="W37" s="664">
        <f t="shared" si="7"/>
        <v>0</v>
      </c>
      <c r="X37" s="664"/>
      <c r="Y37" s="664"/>
      <c r="Z37" s="665"/>
      <c r="AB37" s="663">
        <v>0</v>
      </c>
      <c r="AC37" s="664"/>
      <c r="AD37" s="665"/>
      <c r="AF37" s="663">
        <f t="shared" si="1"/>
        <v>0</v>
      </c>
      <c r="AG37" s="664"/>
      <c r="AH37" s="665"/>
      <c r="AJ37" s="710">
        <v>10</v>
      </c>
      <c r="AK37" s="711"/>
      <c r="AL37" s="677">
        <f t="shared" si="6"/>
        <v>0</v>
      </c>
      <c r="AM37" s="678"/>
      <c r="AN37" s="677">
        <f t="shared" si="5"/>
        <v>0</v>
      </c>
      <c r="AO37" s="678"/>
      <c r="AT37" s="696">
        <f t="shared" si="3"/>
        <v>0</v>
      </c>
      <c r="AU37" s="697"/>
      <c r="AV37" s="696">
        <f t="shared" si="4"/>
        <v>0</v>
      </c>
      <c r="AW37" s="697"/>
    </row>
    <row r="38" spans="3:49" s="51" customFormat="1" ht="18" customHeight="1" x14ac:dyDescent="0.15">
      <c r="C38" s="757">
        <v>261</v>
      </c>
      <c r="D38" s="419"/>
      <c r="E38" s="700"/>
      <c r="F38" s="700"/>
      <c r="G38" s="700"/>
      <c r="H38" s="700"/>
      <c r="I38" s="700"/>
      <c r="J38" s="700"/>
      <c r="K38" s="700"/>
      <c r="L38" s="700"/>
      <c r="M38" s="700"/>
      <c r="N38" s="309"/>
      <c r="O38" s="309" t="s">
        <v>116</v>
      </c>
      <c r="P38" s="310" t="s">
        <v>117</v>
      </c>
      <c r="Q38" s="789"/>
      <c r="R38" s="789"/>
      <c r="S38" s="311" t="s">
        <v>143</v>
      </c>
      <c r="T38" s="309"/>
      <c r="U38" s="309"/>
      <c r="V38" s="309"/>
      <c r="W38" s="664">
        <f t="shared" si="7"/>
        <v>0</v>
      </c>
      <c r="X38" s="664"/>
      <c r="Y38" s="664"/>
      <c r="Z38" s="665"/>
      <c r="AB38" s="663">
        <v>0</v>
      </c>
      <c r="AC38" s="664"/>
      <c r="AD38" s="665"/>
      <c r="AF38" s="663">
        <f t="shared" si="1"/>
        <v>0</v>
      </c>
      <c r="AG38" s="664"/>
      <c r="AH38" s="665"/>
      <c r="AJ38" s="710">
        <v>10</v>
      </c>
      <c r="AK38" s="711"/>
      <c r="AL38" s="677">
        <f t="shared" si="6"/>
        <v>0</v>
      </c>
      <c r="AM38" s="678"/>
      <c r="AN38" s="677">
        <f>AL38*1.5</f>
        <v>0</v>
      </c>
      <c r="AO38" s="678"/>
      <c r="AT38" s="696">
        <f t="shared" si="3"/>
        <v>0</v>
      </c>
      <c r="AU38" s="697"/>
      <c r="AV38" s="696">
        <f t="shared" si="4"/>
        <v>0</v>
      </c>
      <c r="AW38" s="697"/>
    </row>
    <row r="39" spans="3:49" s="51" customFormat="1" ht="18" customHeight="1" x14ac:dyDescent="0.15">
      <c r="C39" s="757">
        <v>262</v>
      </c>
      <c r="D39" s="419"/>
      <c r="E39" s="700" t="s">
        <v>315</v>
      </c>
      <c r="F39" s="700"/>
      <c r="G39" s="700"/>
      <c r="H39" s="700"/>
      <c r="I39" s="700"/>
      <c r="J39" s="700"/>
      <c r="K39" s="700"/>
      <c r="L39" s="700"/>
      <c r="M39" s="700"/>
      <c r="N39" s="309"/>
      <c r="O39" s="309" t="s">
        <v>116</v>
      </c>
      <c r="P39" s="310" t="s">
        <v>117</v>
      </c>
      <c r="Q39" s="789"/>
      <c r="R39" s="789"/>
      <c r="S39" s="311" t="s">
        <v>143</v>
      </c>
      <c r="T39" s="309"/>
      <c r="U39" s="309"/>
      <c r="V39" s="309"/>
      <c r="W39" s="664">
        <f t="shared" si="7"/>
        <v>0</v>
      </c>
      <c r="X39" s="664"/>
      <c r="Y39" s="664"/>
      <c r="Z39" s="665"/>
      <c r="AB39" s="663">
        <v>0</v>
      </c>
      <c r="AC39" s="664"/>
      <c r="AD39" s="665"/>
      <c r="AF39" s="663">
        <f t="shared" si="1"/>
        <v>0</v>
      </c>
      <c r="AG39" s="664"/>
      <c r="AH39" s="665"/>
      <c r="AJ39" s="710">
        <v>10</v>
      </c>
      <c r="AK39" s="711"/>
      <c r="AL39" s="677">
        <f t="shared" si="6"/>
        <v>0</v>
      </c>
      <c r="AM39" s="678"/>
      <c r="AN39" s="677">
        <f>AL39*1.5</f>
        <v>0</v>
      </c>
      <c r="AO39" s="678"/>
      <c r="AT39" s="696">
        <f t="shared" si="3"/>
        <v>0</v>
      </c>
      <c r="AU39" s="697"/>
      <c r="AV39" s="696">
        <f t="shared" si="4"/>
        <v>0</v>
      </c>
      <c r="AW39" s="697"/>
    </row>
    <row r="40" spans="3:49" s="51" customFormat="1" ht="18" customHeight="1" x14ac:dyDescent="0.15">
      <c r="C40" s="757">
        <v>263</v>
      </c>
      <c r="D40" s="419"/>
      <c r="E40" s="700" t="s">
        <v>315</v>
      </c>
      <c r="F40" s="700"/>
      <c r="G40" s="700"/>
      <c r="H40" s="700"/>
      <c r="I40" s="700"/>
      <c r="J40" s="700"/>
      <c r="K40" s="700"/>
      <c r="L40" s="700"/>
      <c r="M40" s="700"/>
      <c r="N40" s="309"/>
      <c r="O40" s="309" t="s">
        <v>116</v>
      </c>
      <c r="P40" s="310" t="s">
        <v>117</v>
      </c>
      <c r="Q40" s="789"/>
      <c r="R40" s="789"/>
      <c r="S40" s="311" t="s">
        <v>143</v>
      </c>
      <c r="T40" s="309"/>
      <c r="U40" s="309"/>
      <c r="V40" s="309"/>
      <c r="W40" s="664">
        <f t="shared" si="7"/>
        <v>0</v>
      </c>
      <c r="X40" s="664"/>
      <c r="Y40" s="664"/>
      <c r="Z40" s="665"/>
      <c r="AB40" s="663">
        <v>0</v>
      </c>
      <c r="AC40" s="664"/>
      <c r="AD40" s="665"/>
      <c r="AF40" s="663">
        <f t="shared" si="1"/>
        <v>0</v>
      </c>
      <c r="AG40" s="664"/>
      <c r="AH40" s="665"/>
      <c r="AJ40" s="710">
        <v>10</v>
      </c>
      <c r="AK40" s="711"/>
      <c r="AL40" s="677">
        <f t="shared" si="6"/>
        <v>0</v>
      </c>
      <c r="AM40" s="678"/>
      <c r="AN40" s="677">
        <f>AL40*1.5</f>
        <v>0</v>
      </c>
      <c r="AO40" s="678"/>
      <c r="AT40" s="696">
        <f t="shared" si="3"/>
        <v>0</v>
      </c>
      <c r="AU40" s="697"/>
      <c r="AV40" s="696">
        <f t="shared" si="4"/>
        <v>0</v>
      </c>
      <c r="AW40" s="697"/>
    </row>
    <row r="41" spans="3:49" s="51" customFormat="1" ht="18" customHeight="1" x14ac:dyDescent="0.15">
      <c r="C41" s="757">
        <v>264</v>
      </c>
      <c r="D41" s="419"/>
      <c r="E41" s="700"/>
      <c r="F41" s="700"/>
      <c r="G41" s="700"/>
      <c r="H41" s="700"/>
      <c r="I41" s="700"/>
      <c r="J41" s="700"/>
      <c r="K41" s="700"/>
      <c r="L41" s="700"/>
      <c r="M41" s="700"/>
      <c r="N41" s="309"/>
      <c r="O41" s="309" t="s">
        <v>116</v>
      </c>
      <c r="P41" s="310" t="s">
        <v>117</v>
      </c>
      <c r="Q41" s="789"/>
      <c r="R41" s="789"/>
      <c r="S41" s="311" t="s">
        <v>143</v>
      </c>
      <c r="T41" s="309"/>
      <c r="U41" s="309"/>
      <c r="V41" s="309"/>
      <c r="W41" s="664">
        <f t="shared" si="7"/>
        <v>0</v>
      </c>
      <c r="X41" s="664"/>
      <c r="Y41" s="664"/>
      <c r="Z41" s="665"/>
      <c r="AB41" s="663">
        <v>0</v>
      </c>
      <c r="AC41" s="664"/>
      <c r="AD41" s="665"/>
      <c r="AF41" s="663">
        <f t="shared" si="1"/>
        <v>0</v>
      </c>
      <c r="AG41" s="664"/>
      <c r="AH41" s="665"/>
      <c r="AJ41" s="710">
        <v>10</v>
      </c>
      <c r="AK41" s="711"/>
      <c r="AL41" s="677">
        <f t="shared" si="6"/>
        <v>0</v>
      </c>
      <c r="AM41" s="678"/>
      <c r="AN41" s="677">
        <f>AL41*1.5</f>
        <v>0</v>
      </c>
      <c r="AO41" s="678"/>
      <c r="AT41" s="696">
        <f t="shared" si="3"/>
        <v>0</v>
      </c>
      <c r="AU41" s="697"/>
      <c r="AV41" s="696">
        <f t="shared" si="4"/>
        <v>0</v>
      </c>
      <c r="AW41" s="697"/>
    </row>
    <row r="42" spans="3:49" s="51" customFormat="1" ht="18" customHeight="1" x14ac:dyDescent="0.15">
      <c r="C42" s="757">
        <v>265</v>
      </c>
      <c r="D42" s="419"/>
      <c r="E42" s="700"/>
      <c r="F42" s="700"/>
      <c r="G42" s="700"/>
      <c r="H42" s="700"/>
      <c r="I42" s="700"/>
      <c r="J42" s="700"/>
      <c r="K42" s="700"/>
      <c r="L42" s="700"/>
      <c r="M42" s="700"/>
      <c r="N42" s="309"/>
      <c r="O42" s="309" t="s">
        <v>116</v>
      </c>
      <c r="P42" s="310" t="s">
        <v>117</v>
      </c>
      <c r="Q42" s="789"/>
      <c r="R42" s="789"/>
      <c r="S42" s="311" t="s">
        <v>143</v>
      </c>
      <c r="T42" s="309"/>
      <c r="U42" s="309"/>
      <c r="V42" s="309"/>
      <c r="W42" s="664">
        <f t="shared" si="7"/>
        <v>0</v>
      </c>
      <c r="X42" s="664"/>
      <c r="Y42" s="664"/>
      <c r="Z42" s="665"/>
      <c r="AB42" s="663">
        <v>0</v>
      </c>
      <c r="AC42" s="664"/>
      <c r="AD42" s="665"/>
      <c r="AF42" s="663">
        <f t="shared" si="1"/>
        <v>0</v>
      </c>
      <c r="AG42" s="664"/>
      <c r="AH42" s="665"/>
      <c r="AJ42" s="710">
        <v>10</v>
      </c>
      <c r="AK42" s="711"/>
      <c r="AL42" s="677">
        <f t="shared" si="6"/>
        <v>0</v>
      </c>
      <c r="AM42" s="678"/>
      <c r="AN42" s="677">
        <f>AL42*1.5</f>
        <v>0</v>
      </c>
      <c r="AO42" s="678"/>
      <c r="AT42" s="696">
        <f t="shared" si="3"/>
        <v>0</v>
      </c>
      <c r="AU42" s="697"/>
      <c r="AV42" s="696">
        <f t="shared" si="4"/>
        <v>0</v>
      </c>
      <c r="AW42" s="697"/>
    </row>
    <row r="43" spans="3:49" s="322" customFormat="1" ht="18" customHeight="1" x14ac:dyDescent="0.2">
      <c r="C43" s="388"/>
      <c r="D43" s="389"/>
      <c r="E43" s="389"/>
      <c r="F43" s="389"/>
      <c r="G43" s="389"/>
      <c r="H43" s="389"/>
      <c r="I43" s="389"/>
      <c r="J43" s="389"/>
      <c r="K43" s="389"/>
      <c r="L43" s="389"/>
      <c r="M43" s="389"/>
      <c r="N43" s="389"/>
      <c r="O43" s="654" t="s">
        <v>145</v>
      </c>
      <c r="P43" s="654"/>
      <c r="Q43" s="654"/>
      <c r="R43" s="654"/>
      <c r="S43" s="654"/>
      <c r="T43" s="654"/>
      <c r="U43" s="654"/>
      <c r="V43" s="655"/>
      <c r="W43" s="658">
        <f>SUM(W11:Z42)</f>
        <v>0</v>
      </c>
      <c r="X43" s="659"/>
      <c r="Y43" s="659"/>
      <c r="Z43" s="660"/>
      <c r="AB43" s="658">
        <f>SUM(AB11:AD42)</f>
        <v>0</v>
      </c>
      <c r="AC43" s="659"/>
      <c r="AD43" s="660"/>
      <c r="AF43" s="714">
        <f t="shared" si="1"/>
        <v>0</v>
      </c>
      <c r="AG43" s="715"/>
      <c r="AH43" s="716"/>
    </row>
    <row r="44" spans="3:49" s="322" customFormat="1" ht="18" customHeight="1" x14ac:dyDescent="0.2">
      <c r="C44" s="390"/>
      <c r="O44" s="656" t="s">
        <v>89</v>
      </c>
      <c r="P44" s="656"/>
      <c r="Q44" s="656"/>
      <c r="R44" s="656"/>
      <c r="S44" s="656"/>
      <c r="T44" s="656"/>
      <c r="U44" s="656"/>
      <c r="V44" s="657"/>
      <c r="W44" s="658">
        <f>W43*AP11</f>
        <v>0</v>
      </c>
      <c r="X44" s="659"/>
      <c r="Y44" s="659"/>
      <c r="Z44" s="660"/>
      <c r="AB44" s="658">
        <v>0</v>
      </c>
      <c r="AC44" s="659"/>
      <c r="AD44" s="660"/>
      <c r="AF44" s="714">
        <f t="shared" si="1"/>
        <v>0</v>
      </c>
      <c r="AG44" s="715"/>
      <c r="AH44" s="716"/>
    </row>
    <row r="45" spans="3:49" s="111" customFormat="1" ht="18" customHeight="1" x14ac:dyDescent="0.2">
      <c r="C45" s="188"/>
      <c r="D45" s="189"/>
      <c r="E45" s="189"/>
      <c r="F45" s="189"/>
      <c r="G45" s="189"/>
      <c r="H45" s="189"/>
      <c r="I45" s="189"/>
      <c r="J45" s="189"/>
      <c r="K45" s="189"/>
      <c r="L45" s="189"/>
      <c r="M45" s="189"/>
      <c r="N45" s="189"/>
      <c r="O45" s="189"/>
      <c r="P45" s="190"/>
      <c r="Q45" s="191"/>
      <c r="R45" s="191"/>
      <c r="S45" s="192"/>
      <c r="T45" s="189"/>
      <c r="U45" s="189"/>
      <c r="V45" s="189"/>
      <c r="W45" s="189"/>
      <c r="X45" s="193"/>
      <c r="Y45" s="193"/>
      <c r="Z45" s="194"/>
      <c r="AB45" s="195"/>
      <c r="AC45" s="195"/>
      <c r="AD45" s="196"/>
      <c r="AF45" s="195"/>
      <c r="AG45" s="195"/>
      <c r="AH45" s="196"/>
    </row>
    <row r="46" spans="3:49" s="110" customFormat="1" ht="16.25" customHeight="1" x14ac:dyDescent="0.2">
      <c r="C46" s="152"/>
      <c r="D46" s="116"/>
      <c r="E46" s="116" t="s">
        <v>146</v>
      </c>
      <c r="F46" s="130"/>
      <c r="G46" s="130"/>
      <c r="H46" s="130"/>
      <c r="I46" s="130"/>
      <c r="J46" s="130"/>
      <c r="K46" s="130"/>
      <c r="L46" s="130"/>
      <c r="M46" s="130"/>
      <c r="N46" s="800"/>
      <c r="O46" s="800"/>
      <c r="P46" s="130"/>
      <c r="Q46" s="800"/>
      <c r="R46" s="800"/>
      <c r="S46" s="130"/>
      <c r="T46" s="130"/>
      <c r="U46" s="130"/>
      <c r="V46" s="130"/>
      <c r="W46" s="130"/>
      <c r="X46" s="724" t="s">
        <v>370</v>
      </c>
      <c r="Y46" s="724"/>
      <c r="Z46" s="725"/>
      <c r="AA46" s="111"/>
      <c r="AB46" s="746" t="s">
        <v>363</v>
      </c>
      <c r="AC46" s="747"/>
      <c r="AD46" s="748"/>
      <c r="AF46" s="746" t="s">
        <v>447</v>
      </c>
      <c r="AG46" s="747"/>
      <c r="AH46" s="748"/>
      <c r="AJ46" s="811" t="s">
        <v>389</v>
      </c>
      <c r="AK46" s="812"/>
      <c r="AL46" s="812"/>
      <c r="AM46" s="812"/>
      <c r="AN46" s="812"/>
      <c r="AO46" s="812"/>
    </row>
    <row r="47" spans="3:49" s="51" customFormat="1" ht="18" customHeight="1" x14ac:dyDescent="0.15">
      <c r="C47" s="757">
        <v>266</v>
      </c>
      <c r="D47" s="419"/>
      <c r="E47" s="700" t="s">
        <v>305</v>
      </c>
      <c r="F47" s="700"/>
      <c r="G47" s="700"/>
      <c r="H47" s="700"/>
      <c r="I47" s="700"/>
      <c r="J47" s="700"/>
      <c r="K47" s="700"/>
      <c r="L47" s="700"/>
      <c r="M47" s="700"/>
      <c r="N47" s="799"/>
      <c r="O47" s="799"/>
      <c r="P47" s="310"/>
      <c r="Q47" s="321"/>
      <c r="R47" s="321"/>
      <c r="S47" s="321"/>
      <c r="T47" s="321"/>
      <c r="U47" s="321"/>
      <c r="V47" s="321"/>
      <c r="W47" s="664">
        <f>W43*AJ48*0.01</f>
        <v>0</v>
      </c>
      <c r="X47" s="664"/>
      <c r="Y47" s="664"/>
      <c r="Z47" s="665"/>
      <c r="AB47" s="663">
        <v>0</v>
      </c>
      <c r="AC47" s="664"/>
      <c r="AD47" s="665"/>
      <c r="AF47" s="663">
        <f t="shared" ref="AF47:AF53" si="8">AB47-W47</f>
        <v>0</v>
      </c>
      <c r="AG47" s="664"/>
      <c r="AH47" s="665"/>
      <c r="AJ47" s="813" t="s">
        <v>390</v>
      </c>
      <c r="AK47" s="814"/>
      <c r="AL47" s="814"/>
      <c r="AM47" s="813" t="s">
        <v>391</v>
      </c>
      <c r="AN47" s="814"/>
      <c r="AO47" s="815"/>
    </row>
    <row r="48" spans="3:49" s="51" customFormat="1" ht="18" customHeight="1" x14ac:dyDescent="0.15">
      <c r="C48" s="757">
        <v>267</v>
      </c>
      <c r="D48" s="419"/>
      <c r="E48" s="700" t="s">
        <v>306</v>
      </c>
      <c r="F48" s="700"/>
      <c r="G48" s="700"/>
      <c r="H48" s="700"/>
      <c r="I48" s="700"/>
      <c r="J48" s="700"/>
      <c r="K48" s="700"/>
      <c r="L48" s="700"/>
      <c r="M48" s="700"/>
      <c r="N48" s="799"/>
      <c r="O48" s="799"/>
      <c r="P48" s="310"/>
      <c r="Q48" s="321"/>
      <c r="R48" s="321"/>
      <c r="S48" s="321"/>
      <c r="T48" s="321"/>
      <c r="U48" s="321"/>
      <c r="V48" s="321"/>
      <c r="W48" s="664">
        <f>W43*AM48*0.01</f>
        <v>0</v>
      </c>
      <c r="X48" s="664"/>
      <c r="Y48" s="664"/>
      <c r="Z48" s="665"/>
      <c r="AB48" s="663">
        <v>0</v>
      </c>
      <c r="AC48" s="664"/>
      <c r="AD48" s="665"/>
      <c r="AF48" s="663">
        <f t="shared" si="8"/>
        <v>0</v>
      </c>
      <c r="AG48" s="664"/>
      <c r="AH48" s="665"/>
      <c r="AJ48" s="816">
        <v>0</v>
      </c>
      <c r="AK48" s="817"/>
      <c r="AL48" s="818"/>
      <c r="AM48" s="816">
        <v>0</v>
      </c>
      <c r="AN48" s="817"/>
      <c r="AO48" s="818"/>
    </row>
    <row r="49" spans="3:42" s="51" customFormat="1" ht="18" customHeight="1" x14ac:dyDescent="0.15">
      <c r="C49" s="757">
        <v>268</v>
      </c>
      <c r="D49" s="419"/>
      <c r="E49" s="700" t="s">
        <v>307</v>
      </c>
      <c r="F49" s="700"/>
      <c r="G49" s="700"/>
      <c r="H49" s="700"/>
      <c r="I49" s="700"/>
      <c r="J49" s="700"/>
      <c r="K49" s="700"/>
      <c r="L49" s="700"/>
      <c r="M49" s="700"/>
      <c r="N49" s="309"/>
      <c r="O49" s="309"/>
      <c r="P49" s="310"/>
      <c r="Q49" s="789"/>
      <c r="R49" s="789"/>
      <c r="S49" s="311" t="s">
        <v>143</v>
      </c>
      <c r="T49" s="309"/>
      <c r="U49" s="419" t="s">
        <v>815</v>
      </c>
      <c r="V49" s="419"/>
      <c r="W49" s="664">
        <f>N49*Q49*(IF(ISNUMBER(T49),T49,IF(ISNUMBER(N49),1,0)))</f>
        <v>0</v>
      </c>
      <c r="X49" s="664"/>
      <c r="Y49" s="664"/>
      <c r="Z49" s="665"/>
      <c r="AB49" s="663">
        <v>0</v>
      </c>
      <c r="AC49" s="664"/>
      <c r="AD49" s="665"/>
      <c r="AF49" s="663">
        <f t="shared" si="8"/>
        <v>0</v>
      </c>
      <c r="AG49" s="664"/>
      <c r="AH49" s="665"/>
    </row>
    <row r="50" spans="3:42" s="51" customFormat="1" ht="18" customHeight="1" x14ac:dyDescent="0.15">
      <c r="C50" s="757">
        <v>269</v>
      </c>
      <c r="D50" s="419"/>
      <c r="E50" s="700"/>
      <c r="F50" s="700"/>
      <c r="G50" s="700"/>
      <c r="H50" s="700"/>
      <c r="I50" s="700"/>
      <c r="J50" s="700"/>
      <c r="K50" s="700"/>
      <c r="L50" s="700"/>
      <c r="M50" s="700"/>
      <c r="N50" s="309"/>
      <c r="O50" s="309"/>
      <c r="P50" s="310"/>
      <c r="Q50" s="789"/>
      <c r="R50" s="789"/>
      <c r="S50" s="311" t="s">
        <v>143</v>
      </c>
      <c r="T50" s="309"/>
      <c r="U50" s="419" t="s">
        <v>815</v>
      </c>
      <c r="V50" s="419"/>
      <c r="W50" s="664">
        <f>N50*Q50*(IF(ISNUMBER(T50),T50,IF(ISNUMBER(N50),1,0)))</f>
        <v>0</v>
      </c>
      <c r="X50" s="664"/>
      <c r="Y50" s="664"/>
      <c r="Z50" s="665"/>
      <c r="AB50" s="663">
        <v>0</v>
      </c>
      <c r="AC50" s="664"/>
      <c r="AD50" s="665"/>
      <c r="AF50" s="663">
        <f t="shared" si="8"/>
        <v>0</v>
      </c>
      <c r="AG50" s="664"/>
      <c r="AH50" s="665"/>
      <c r="AJ50" s="819" t="s">
        <v>387</v>
      </c>
      <c r="AK50" s="820"/>
      <c r="AL50" s="820"/>
      <c r="AM50" s="820"/>
      <c r="AN50" s="820"/>
      <c r="AO50" s="820"/>
    </row>
    <row r="51" spans="3:42" s="51" customFormat="1" ht="18" customHeight="1" x14ac:dyDescent="0.15">
      <c r="C51" s="757">
        <v>270</v>
      </c>
      <c r="D51" s="419"/>
      <c r="E51" s="700"/>
      <c r="F51" s="700"/>
      <c r="G51" s="700"/>
      <c r="H51" s="700"/>
      <c r="I51" s="700"/>
      <c r="J51" s="700"/>
      <c r="K51" s="700"/>
      <c r="L51" s="700"/>
      <c r="M51" s="700"/>
      <c r="N51" s="309"/>
      <c r="O51" s="309"/>
      <c r="P51" s="310"/>
      <c r="Q51" s="789"/>
      <c r="R51" s="789"/>
      <c r="S51" s="311" t="s">
        <v>143</v>
      </c>
      <c r="T51" s="309"/>
      <c r="U51" s="419" t="s">
        <v>815</v>
      </c>
      <c r="V51" s="419"/>
      <c r="W51" s="664">
        <f>N51*Q51*(IF(ISNUMBER(T51),T51,IF(ISNUMBER(N51),1,0)))</f>
        <v>0</v>
      </c>
      <c r="X51" s="664"/>
      <c r="Y51" s="664"/>
      <c r="Z51" s="665"/>
      <c r="AB51" s="663">
        <v>0</v>
      </c>
      <c r="AC51" s="664"/>
      <c r="AD51" s="665"/>
      <c r="AF51" s="663">
        <f t="shared" si="8"/>
        <v>0</v>
      </c>
      <c r="AG51" s="664"/>
      <c r="AH51" s="665"/>
      <c r="AJ51" s="813" t="s">
        <v>380</v>
      </c>
      <c r="AK51" s="814"/>
      <c r="AL51" s="814"/>
      <c r="AM51" s="813" t="s">
        <v>381</v>
      </c>
      <c r="AN51" s="814"/>
      <c r="AO51" s="815"/>
    </row>
    <row r="52" spans="3:42" s="322" customFormat="1" ht="18" customHeight="1" x14ac:dyDescent="0.2">
      <c r="C52" s="390"/>
      <c r="O52" s="779" t="s">
        <v>386</v>
      </c>
      <c r="P52" s="779"/>
      <c r="Q52" s="779"/>
      <c r="R52" s="779"/>
      <c r="S52" s="779"/>
      <c r="T52" s="779"/>
      <c r="U52" s="779"/>
      <c r="V52" s="780"/>
      <c r="W52" s="803">
        <f>(SUM(W47:Z51)+(W43+W44))*HandleM</f>
        <v>0</v>
      </c>
      <c r="X52" s="804"/>
      <c r="Y52" s="804"/>
      <c r="Z52" s="805"/>
      <c r="AB52" s="806">
        <f>Markup_M</f>
        <v>0</v>
      </c>
      <c r="AC52" s="807"/>
      <c r="AD52" s="808"/>
      <c r="AF52" s="806">
        <f t="shared" si="8"/>
        <v>0</v>
      </c>
      <c r="AG52" s="807"/>
      <c r="AH52" s="808"/>
      <c r="AJ52" s="821">
        <v>0</v>
      </c>
      <c r="AK52" s="822"/>
      <c r="AL52" s="823"/>
      <c r="AM52" s="821">
        <v>0</v>
      </c>
      <c r="AN52" s="822"/>
      <c r="AO52" s="823"/>
    </row>
    <row r="53" spans="3:42" s="322" customFormat="1" ht="18" customHeight="1" x14ac:dyDescent="0.2">
      <c r="C53" s="390"/>
      <c r="O53" s="777" t="s">
        <v>137</v>
      </c>
      <c r="P53" s="777"/>
      <c r="Q53" s="777"/>
      <c r="R53" s="777"/>
      <c r="S53" s="777"/>
      <c r="T53" s="777"/>
      <c r="U53" s="777"/>
      <c r="V53" s="778"/>
      <c r="W53" s="784">
        <f>Markup_M+W44+W43+SUM(W47:Z51)</f>
        <v>0</v>
      </c>
      <c r="X53" s="785"/>
      <c r="Y53" s="785"/>
      <c r="Z53" s="786"/>
      <c r="AB53" s="714">
        <v>0</v>
      </c>
      <c r="AC53" s="715"/>
      <c r="AD53" s="716"/>
      <c r="AF53" s="806">
        <f t="shared" si="8"/>
        <v>0</v>
      </c>
      <c r="AG53" s="807"/>
      <c r="AH53" s="808"/>
    </row>
    <row r="54" spans="3:42" ht="18" customHeight="1" x14ac:dyDescent="0.2">
      <c r="C54" s="32"/>
      <c r="D54" s="10"/>
      <c r="E54" s="10"/>
      <c r="F54" s="11"/>
      <c r="G54" s="11"/>
      <c r="H54" s="11"/>
      <c r="I54" s="11"/>
      <c r="J54" s="11"/>
      <c r="K54" s="11"/>
      <c r="L54" s="11"/>
      <c r="M54" s="11"/>
      <c r="N54" s="10"/>
      <c r="O54" s="10"/>
      <c r="P54" s="10"/>
      <c r="Q54" s="16"/>
      <c r="R54" s="16"/>
      <c r="S54" s="10"/>
      <c r="T54" s="10"/>
      <c r="U54" s="10"/>
      <c r="V54" s="10"/>
      <c r="W54" s="10"/>
      <c r="X54" s="26"/>
      <c r="Y54" s="26"/>
      <c r="Z54" s="26"/>
      <c r="AB54" s="52"/>
      <c r="AC54" s="52"/>
      <c r="AD54" s="52"/>
      <c r="AF54" s="52"/>
      <c r="AG54" s="52"/>
      <c r="AH54" s="52"/>
      <c r="AP54"/>
    </row>
    <row r="55" spans="3:42" s="323" customFormat="1" ht="20" customHeight="1" x14ac:dyDescent="0.2">
      <c r="C55" s="4" t="s">
        <v>277</v>
      </c>
      <c r="D55" s="17" t="s">
        <v>278</v>
      </c>
      <c r="E55" s="5"/>
      <c r="F55" s="349"/>
      <c r="G55" s="349"/>
      <c r="H55" s="349"/>
      <c r="I55" s="349"/>
      <c r="J55" s="349"/>
      <c r="K55" s="349"/>
      <c r="L55" s="349"/>
      <c r="M55" s="349"/>
      <c r="N55" s="349"/>
      <c r="O55" s="349"/>
      <c r="P55" s="349"/>
      <c r="Q55" s="360"/>
      <c r="R55" s="360"/>
      <c r="S55" s="349"/>
      <c r="T55" s="349"/>
      <c r="U55" s="349"/>
      <c r="V55" s="349"/>
      <c r="W55" s="809"/>
      <c r="X55" s="809"/>
      <c r="Y55" s="809"/>
      <c r="Z55" s="810"/>
      <c r="AB55" s="354"/>
      <c r="AC55" s="354"/>
      <c r="AD55" s="354"/>
      <c r="AF55" s="354"/>
      <c r="AG55" s="354"/>
      <c r="AH55" s="354"/>
    </row>
    <row r="56" spans="3:42" s="110" customFormat="1" ht="18" customHeight="1" x14ac:dyDescent="0.2">
      <c r="C56" s="152"/>
      <c r="D56" s="116"/>
      <c r="E56" s="116" t="s">
        <v>384</v>
      </c>
      <c r="F56" s="130"/>
      <c r="G56" s="130"/>
      <c r="H56" s="130"/>
      <c r="I56" s="130"/>
      <c r="J56" s="130"/>
      <c r="K56" s="130"/>
      <c r="L56" s="130"/>
      <c r="M56" s="130"/>
      <c r="N56" s="800" t="s">
        <v>400</v>
      </c>
      <c r="O56" s="800"/>
      <c r="P56" s="130"/>
      <c r="Q56" s="800" t="s">
        <v>220</v>
      </c>
      <c r="R56" s="800"/>
      <c r="S56" s="130"/>
      <c r="T56" s="116" t="s">
        <v>375</v>
      </c>
      <c r="U56" s="130"/>
      <c r="V56" s="130"/>
      <c r="W56" s="130"/>
      <c r="X56" s="724" t="s">
        <v>370</v>
      </c>
      <c r="Y56" s="724"/>
      <c r="Z56" s="725"/>
      <c r="AB56" s="746" t="s">
        <v>363</v>
      </c>
      <c r="AC56" s="747"/>
      <c r="AD56" s="748"/>
      <c r="AF56" s="746" t="s">
        <v>447</v>
      </c>
      <c r="AG56" s="747"/>
      <c r="AH56" s="748"/>
      <c r="AP56" s="111"/>
    </row>
    <row r="57" spans="3:42" s="51" customFormat="1" ht="18" customHeight="1" x14ac:dyDescent="0.15">
      <c r="C57" s="757">
        <v>271</v>
      </c>
      <c r="D57" s="419"/>
      <c r="E57" s="419" t="s">
        <v>90</v>
      </c>
      <c r="F57" s="419"/>
      <c r="G57" s="419"/>
      <c r="H57" s="419"/>
      <c r="I57" s="419"/>
      <c r="J57" s="419"/>
      <c r="K57" s="419"/>
      <c r="L57" s="419"/>
      <c r="M57" s="419"/>
      <c r="N57" s="318"/>
      <c r="O57" s="318" t="s">
        <v>140</v>
      </c>
      <c r="P57" s="318" t="s">
        <v>117</v>
      </c>
      <c r="Q57" s="798">
        <v>1000</v>
      </c>
      <c r="R57" s="798"/>
      <c r="S57" s="319" t="s">
        <v>143</v>
      </c>
      <c r="T57" s="318"/>
      <c r="U57" s="320"/>
      <c r="V57" s="320"/>
      <c r="W57" s="663">
        <f t="shared" ref="W57:W62" si="9">N57*Q57*(IF(ISNUMBER(T57),T57,IF(ISNUMBER(N57),1,0)))</f>
        <v>0</v>
      </c>
      <c r="X57" s="664"/>
      <c r="Y57" s="664"/>
      <c r="Z57" s="665"/>
      <c r="AB57" s="663">
        <v>0</v>
      </c>
      <c r="AC57" s="664"/>
      <c r="AD57" s="665"/>
      <c r="AF57" s="663">
        <f t="shared" ref="AF57:AF65" si="10">AB57-W57</f>
        <v>0</v>
      </c>
      <c r="AG57" s="664"/>
      <c r="AH57" s="665"/>
    </row>
    <row r="58" spans="3:42" s="51" customFormat="1" ht="18" customHeight="1" x14ac:dyDescent="0.15">
      <c r="C58" s="757">
        <v>272</v>
      </c>
      <c r="D58" s="419"/>
      <c r="E58" s="419" t="s">
        <v>91</v>
      </c>
      <c r="F58" s="419"/>
      <c r="G58" s="419"/>
      <c r="H58" s="419"/>
      <c r="I58" s="419"/>
      <c r="J58" s="419"/>
      <c r="K58" s="419"/>
      <c r="L58" s="419"/>
      <c r="M58" s="419"/>
      <c r="N58" s="318"/>
      <c r="O58" s="318" t="s">
        <v>140</v>
      </c>
      <c r="P58" s="318" t="s">
        <v>117</v>
      </c>
      <c r="Q58" s="798"/>
      <c r="R58" s="798"/>
      <c r="S58" s="319" t="s">
        <v>143</v>
      </c>
      <c r="T58" s="318"/>
      <c r="U58" s="318"/>
      <c r="V58" s="318"/>
      <c r="W58" s="663">
        <f t="shared" si="9"/>
        <v>0</v>
      </c>
      <c r="X58" s="664"/>
      <c r="Y58" s="664"/>
      <c r="Z58" s="665"/>
      <c r="AB58" s="663">
        <v>0</v>
      </c>
      <c r="AC58" s="664"/>
      <c r="AD58" s="665"/>
      <c r="AF58" s="663">
        <f t="shared" si="10"/>
        <v>0</v>
      </c>
      <c r="AG58" s="664"/>
      <c r="AH58" s="665"/>
    </row>
    <row r="59" spans="3:42" s="51" customFormat="1" ht="18" customHeight="1" x14ac:dyDescent="0.15">
      <c r="C59" s="757">
        <v>273</v>
      </c>
      <c r="D59" s="419"/>
      <c r="E59" s="419" t="s">
        <v>229</v>
      </c>
      <c r="F59" s="419"/>
      <c r="G59" s="419"/>
      <c r="H59" s="419"/>
      <c r="I59" s="419"/>
      <c r="J59" s="419"/>
      <c r="K59" s="419"/>
      <c r="L59" s="419"/>
      <c r="M59" s="419"/>
      <c r="N59" s="318"/>
      <c r="O59" s="318" t="s">
        <v>140</v>
      </c>
      <c r="P59" s="318" t="s">
        <v>117</v>
      </c>
      <c r="Q59" s="798"/>
      <c r="R59" s="798"/>
      <c r="S59" s="319" t="s">
        <v>143</v>
      </c>
      <c r="T59" s="318"/>
      <c r="U59" s="318"/>
      <c r="V59" s="318"/>
      <c r="W59" s="663">
        <f t="shared" si="9"/>
        <v>0</v>
      </c>
      <c r="X59" s="664"/>
      <c r="Y59" s="664"/>
      <c r="Z59" s="665"/>
      <c r="AB59" s="663">
        <v>0</v>
      </c>
      <c r="AC59" s="664"/>
      <c r="AD59" s="665"/>
      <c r="AF59" s="663">
        <f t="shared" si="10"/>
        <v>0</v>
      </c>
      <c r="AG59" s="664"/>
      <c r="AH59" s="665"/>
    </row>
    <row r="60" spans="3:42" s="51" customFormat="1" ht="18" customHeight="1" x14ac:dyDescent="0.15">
      <c r="C60" s="757">
        <v>274</v>
      </c>
      <c r="D60" s="419"/>
      <c r="E60" s="419"/>
      <c r="F60" s="419"/>
      <c r="G60" s="419"/>
      <c r="H60" s="419"/>
      <c r="I60" s="419"/>
      <c r="J60" s="419"/>
      <c r="K60" s="419"/>
      <c r="L60" s="419"/>
      <c r="M60" s="419"/>
      <c r="N60" s="318"/>
      <c r="O60" s="318" t="s">
        <v>140</v>
      </c>
      <c r="P60" s="318" t="s">
        <v>117</v>
      </c>
      <c r="Q60" s="798"/>
      <c r="R60" s="798"/>
      <c r="S60" s="319" t="s">
        <v>143</v>
      </c>
      <c r="T60" s="318"/>
      <c r="U60" s="318"/>
      <c r="V60" s="318"/>
      <c r="W60" s="663">
        <f t="shared" si="9"/>
        <v>0</v>
      </c>
      <c r="X60" s="664"/>
      <c r="Y60" s="664"/>
      <c r="Z60" s="665"/>
      <c r="AB60" s="663">
        <v>0</v>
      </c>
      <c r="AC60" s="664"/>
      <c r="AD60" s="665"/>
      <c r="AF60" s="663">
        <f t="shared" si="10"/>
        <v>0</v>
      </c>
      <c r="AG60" s="664"/>
      <c r="AH60" s="665"/>
    </row>
    <row r="61" spans="3:42" s="51" customFormat="1" ht="18" customHeight="1" x14ac:dyDescent="0.15">
      <c r="C61" s="757">
        <v>275</v>
      </c>
      <c r="D61" s="419"/>
      <c r="E61" s="419"/>
      <c r="F61" s="419"/>
      <c r="G61" s="419"/>
      <c r="H61" s="419"/>
      <c r="I61" s="419"/>
      <c r="J61" s="419"/>
      <c r="K61" s="419"/>
      <c r="L61" s="419"/>
      <c r="M61" s="419"/>
      <c r="N61" s="318"/>
      <c r="O61" s="318" t="s">
        <v>140</v>
      </c>
      <c r="P61" s="318" t="s">
        <v>117</v>
      </c>
      <c r="Q61" s="798"/>
      <c r="R61" s="798"/>
      <c r="S61" s="319" t="s">
        <v>143</v>
      </c>
      <c r="T61" s="318"/>
      <c r="U61" s="318"/>
      <c r="V61" s="318"/>
      <c r="W61" s="663">
        <f t="shared" si="9"/>
        <v>0</v>
      </c>
      <c r="X61" s="664"/>
      <c r="Y61" s="664"/>
      <c r="Z61" s="665"/>
      <c r="AB61" s="663">
        <v>0</v>
      </c>
      <c r="AC61" s="664"/>
      <c r="AD61" s="665"/>
      <c r="AF61" s="663">
        <f t="shared" si="10"/>
        <v>0</v>
      </c>
      <c r="AG61" s="664"/>
      <c r="AH61" s="665"/>
    </row>
    <row r="62" spans="3:42" s="51" customFormat="1" ht="18" customHeight="1" x14ac:dyDescent="0.15">
      <c r="C62" s="757">
        <v>276</v>
      </c>
      <c r="D62" s="419"/>
      <c r="E62" s="419"/>
      <c r="F62" s="419"/>
      <c r="G62" s="419"/>
      <c r="H62" s="419"/>
      <c r="I62" s="419"/>
      <c r="J62" s="419"/>
      <c r="K62" s="419"/>
      <c r="L62" s="419"/>
      <c r="M62" s="419"/>
      <c r="N62" s="318"/>
      <c r="O62" s="318" t="s">
        <v>140</v>
      </c>
      <c r="P62" s="318" t="s">
        <v>117</v>
      </c>
      <c r="Q62" s="798"/>
      <c r="R62" s="798"/>
      <c r="S62" s="319" t="s">
        <v>143</v>
      </c>
      <c r="T62" s="318"/>
      <c r="U62" s="318"/>
      <c r="V62" s="318"/>
      <c r="W62" s="663">
        <f t="shared" si="9"/>
        <v>0</v>
      </c>
      <c r="X62" s="664"/>
      <c r="Y62" s="664"/>
      <c r="Z62" s="665"/>
      <c r="AB62" s="663">
        <v>0</v>
      </c>
      <c r="AC62" s="664"/>
      <c r="AD62" s="665"/>
      <c r="AF62" s="663">
        <f t="shared" si="10"/>
        <v>0</v>
      </c>
      <c r="AG62" s="664"/>
      <c r="AH62" s="665"/>
    </row>
    <row r="63" spans="3:42" s="322" customFormat="1" ht="18" customHeight="1" x14ac:dyDescent="0.2">
      <c r="C63" s="390"/>
      <c r="O63" s="777" t="s">
        <v>371</v>
      </c>
      <c r="P63" s="777"/>
      <c r="Q63" s="777"/>
      <c r="R63" s="777"/>
      <c r="S63" s="777"/>
      <c r="T63" s="777"/>
      <c r="U63" s="777"/>
      <c r="V63" s="778"/>
      <c r="W63" s="658">
        <f>SUM(W57:Z62)</f>
        <v>0</v>
      </c>
      <c r="X63" s="659"/>
      <c r="Y63" s="659"/>
      <c r="Z63" s="660"/>
      <c r="AB63" s="714">
        <f>SUM(AB57:AD62)</f>
        <v>0</v>
      </c>
      <c r="AC63" s="715"/>
      <c r="AD63" s="716"/>
      <c r="AF63" s="714">
        <f t="shared" si="10"/>
        <v>0</v>
      </c>
      <c r="AG63" s="715"/>
      <c r="AH63" s="716"/>
    </row>
    <row r="64" spans="3:42" s="322" customFormat="1" ht="18" customHeight="1" x14ac:dyDescent="0.2">
      <c r="C64" s="390"/>
      <c r="O64" s="777" t="s">
        <v>388</v>
      </c>
      <c r="P64" s="777"/>
      <c r="Q64" s="777"/>
      <c r="R64" s="777"/>
      <c r="S64" s="777"/>
      <c r="T64" s="777"/>
      <c r="U64" s="777"/>
      <c r="V64" s="778"/>
      <c r="W64" s="658">
        <f>W63*HandleN</f>
        <v>0</v>
      </c>
      <c r="X64" s="659"/>
      <c r="Y64" s="659"/>
      <c r="Z64" s="660"/>
      <c r="AB64" s="714">
        <f>Markup_N</f>
        <v>0</v>
      </c>
      <c r="AC64" s="715"/>
      <c r="AD64" s="716"/>
      <c r="AF64" s="714">
        <f t="shared" si="10"/>
        <v>0</v>
      </c>
      <c r="AG64" s="715"/>
      <c r="AH64" s="716"/>
    </row>
    <row r="65" spans="3:34" s="322" customFormat="1" ht="18" customHeight="1" x14ac:dyDescent="0.2">
      <c r="C65" s="390"/>
      <c r="O65" s="777" t="s">
        <v>138</v>
      </c>
      <c r="P65" s="777"/>
      <c r="Q65" s="777"/>
      <c r="R65" s="777"/>
      <c r="S65" s="777"/>
      <c r="T65" s="777"/>
      <c r="U65" s="777"/>
      <c r="V65" s="778"/>
      <c r="W65" s="784">
        <f>SUM(W63:Z64)</f>
        <v>0</v>
      </c>
      <c r="X65" s="785"/>
      <c r="Y65" s="785"/>
      <c r="Z65" s="786"/>
      <c r="AB65" s="714">
        <f>SUM(AB63:AD64)</f>
        <v>0</v>
      </c>
      <c r="AC65" s="715"/>
      <c r="AD65" s="716"/>
      <c r="AF65" s="714">
        <f t="shared" si="10"/>
        <v>0</v>
      </c>
      <c r="AG65" s="715"/>
      <c r="AH65" s="716"/>
    </row>
    <row r="67" spans="3:34" customFormat="1" ht="16.25" customHeight="1" x14ac:dyDescent="0.2">
      <c r="C67" s="27"/>
      <c r="Q67" s="45"/>
      <c r="R67" s="45"/>
      <c r="X67" s="23"/>
      <c r="Y67" s="23"/>
      <c r="Z67" s="23"/>
      <c r="AB67" s="23"/>
      <c r="AC67" s="23"/>
      <c r="AD67" s="23"/>
      <c r="AF67" s="23"/>
      <c r="AG67" s="23"/>
      <c r="AH67" s="23"/>
    </row>
    <row r="68" spans="3:34" customFormat="1" ht="16.25" customHeight="1" x14ac:dyDescent="0.2">
      <c r="C68" s="27"/>
      <c r="Q68" s="45"/>
      <c r="R68" s="45"/>
      <c r="S68" s="7"/>
      <c r="T68" s="7"/>
      <c r="U68" s="7"/>
      <c r="V68" s="7"/>
      <c r="W68" s="7"/>
      <c r="X68" s="23"/>
      <c r="Y68" s="23"/>
      <c r="Z68" s="23"/>
      <c r="AB68" s="23"/>
      <c r="AC68" s="23"/>
      <c r="AD68" s="23"/>
      <c r="AF68" s="23"/>
      <c r="AG68" s="23"/>
      <c r="AH68" s="23"/>
    </row>
    <row r="69" spans="3:34" customFormat="1" ht="16.25" customHeight="1" x14ac:dyDescent="0.2">
      <c r="C69" s="27"/>
      <c r="Q69" s="45"/>
      <c r="R69" s="45"/>
      <c r="S69" s="7"/>
      <c r="T69" s="7"/>
      <c r="U69" s="7"/>
      <c r="V69" s="7"/>
      <c r="W69" s="7"/>
      <c r="X69" s="23"/>
      <c r="Y69" s="23"/>
      <c r="Z69" s="23"/>
      <c r="AB69" s="23"/>
      <c r="AC69" s="23"/>
      <c r="AD69" s="23"/>
      <c r="AF69" s="23"/>
      <c r="AG69" s="23"/>
      <c r="AH69" s="23"/>
    </row>
    <row r="72" spans="3:34" customFormat="1" ht="16.25" customHeight="1" x14ac:dyDescent="0.2">
      <c r="C72" s="27"/>
      <c r="Q72" s="45"/>
      <c r="R72" s="45"/>
      <c r="X72" s="23"/>
      <c r="Y72" s="23"/>
      <c r="Z72" s="23"/>
      <c r="AB72" s="23"/>
      <c r="AC72" s="23"/>
      <c r="AD72" s="23"/>
      <c r="AF72" s="23"/>
      <c r="AG72" s="23"/>
      <c r="AH72" s="23"/>
    </row>
    <row r="73" spans="3:34" customFormat="1" ht="16.25" customHeight="1" x14ac:dyDescent="0.2">
      <c r="C73" s="27"/>
      <c r="Q73" s="45"/>
      <c r="R73" s="45"/>
      <c r="X73" s="23"/>
      <c r="Y73" s="23"/>
      <c r="Z73" s="23"/>
      <c r="AB73" s="23"/>
      <c r="AC73" s="23"/>
      <c r="AD73" s="23"/>
      <c r="AF73" s="23"/>
      <c r="AG73" s="23"/>
      <c r="AH73" s="23"/>
    </row>
    <row r="74" spans="3:34" customFormat="1" ht="16.25" customHeight="1" x14ac:dyDescent="0.2">
      <c r="C74" s="27"/>
      <c r="Q74" s="45"/>
      <c r="R74" s="45"/>
      <c r="X74" s="23"/>
      <c r="Y74" s="23"/>
      <c r="Z74" s="23"/>
      <c r="AB74" s="23"/>
      <c r="AC74" s="23"/>
      <c r="AD74" s="23"/>
      <c r="AF74" s="23"/>
      <c r="AG74" s="23"/>
      <c r="AH74" s="23"/>
    </row>
    <row r="75" spans="3:34" customFormat="1" ht="16.25" customHeight="1" x14ac:dyDescent="0.2">
      <c r="C75" s="27"/>
      <c r="Q75" s="45"/>
      <c r="R75" s="45"/>
      <c r="X75" s="23"/>
      <c r="Y75" s="23"/>
      <c r="Z75" s="23"/>
      <c r="AB75" s="23"/>
      <c r="AC75" s="23"/>
      <c r="AD75" s="23"/>
      <c r="AF75" s="23"/>
      <c r="AG75" s="23"/>
      <c r="AH75" s="23"/>
    </row>
    <row r="76" spans="3:34" customFormat="1" ht="16.25" customHeight="1" x14ac:dyDescent="0.2">
      <c r="C76" s="27"/>
      <c r="Q76" s="45"/>
      <c r="R76" s="45"/>
      <c r="X76" s="23"/>
      <c r="Y76" s="23"/>
      <c r="Z76" s="23"/>
      <c r="AB76" s="23"/>
      <c r="AC76" s="23"/>
      <c r="AD76" s="23"/>
      <c r="AF76" s="23"/>
      <c r="AG76" s="23"/>
      <c r="AH76" s="23"/>
    </row>
    <row r="77" spans="3:34" customFormat="1" ht="16.25" customHeight="1" x14ac:dyDescent="0.2">
      <c r="C77" s="27"/>
      <c r="Q77" s="45"/>
      <c r="R77" s="45"/>
      <c r="X77" s="23"/>
      <c r="Y77" s="23"/>
      <c r="Z77" s="23"/>
      <c r="AB77" s="23"/>
      <c r="AC77" s="23"/>
      <c r="AD77" s="23"/>
      <c r="AF77" s="23"/>
      <c r="AG77" s="23"/>
      <c r="AH77" s="23"/>
    </row>
    <row r="78" spans="3:34" customFormat="1" ht="16.25" customHeight="1" x14ac:dyDescent="0.2">
      <c r="C78" s="27"/>
      <c r="Q78" s="45"/>
      <c r="R78" s="45"/>
      <c r="X78" s="23"/>
      <c r="Y78" s="23"/>
      <c r="Z78" s="23"/>
      <c r="AB78" s="23"/>
      <c r="AC78" s="23"/>
      <c r="AD78" s="23"/>
      <c r="AF78" s="23"/>
      <c r="AG78" s="23"/>
      <c r="AH78" s="23"/>
    </row>
    <row r="79" spans="3:34" customFormat="1" ht="16.25" customHeight="1" x14ac:dyDescent="0.2">
      <c r="C79" s="27"/>
      <c r="Q79" s="45"/>
      <c r="R79" s="45"/>
      <c r="X79" s="23"/>
      <c r="Y79" s="23"/>
      <c r="Z79" s="23"/>
      <c r="AB79" s="23"/>
      <c r="AC79" s="23"/>
      <c r="AD79" s="23"/>
      <c r="AF79" s="23"/>
      <c r="AG79" s="23"/>
      <c r="AH79" s="23"/>
    </row>
    <row r="80" spans="3:34" customFormat="1" ht="16.25" customHeight="1" x14ac:dyDescent="0.2">
      <c r="C80" s="27"/>
      <c r="Q80" s="45"/>
      <c r="R80" s="45"/>
      <c r="X80" s="23"/>
      <c r="Y80" s="23"/>
      <c r="Z80" s="23"/>
      <c r="AB80" s="23"/>
      <c r="AC80" s="23"/>
      <c r="AD80" s="23"/>
      <c r="AF80" s="23"/>
      <c r="AG80" s="23"/>
      <c r="AH80" s="23"/>
    </row>
    <row r="81" spans="3:34" customFormat="1" ht="15" customHeight="1" x14ac:dyDescent="0.2">
      <c r="C81" s="27"/>
      <c r="Q81" s="45"/>
      <c r="R81" s="45"/>
      <c r="X81" s="23"/>
      <c r="Y81" s="23"/>
      <c r="Z81" s="23"/>
      <c r="AB81" s="23"/>
      <c r="AC81" s="23"/>
      <c r="AD81" s="23"/>
      <c r="AF81" s="23"/>
      <c r="AG81" s="23"/>
      <c r="AH81" s="23"/>
    </row>
    <row r="82" spans="3:34" customFormat="1" ht="15" customHeight="1" x14ac:dyDescent="0.2">
      <c r="C82" s="27"/>
      <c r="Q82" s="45"/>
      <c r="R82" s="45"/>
      <c r="X82" s="23"/>
      <c r="Y82" s="23"/>
      <c r="Z82" s="23"/>
      <c r="AB82" s="23"/>
      <c r="AC82" s="23"/>
      <c r="AD82" s="23"/>
      <c r="AF82" s="23"/>
      <c r="AG82" s="23"/>
      <c r="AH82" s="23"/>
    </row>
    <row r="83" spans="3:34" customFormat="1" ht="15" customHeight="1" x14ac:dyDescent="0.2">
      <c r="C83" s="27"/>
      <c r="Q83" s="45"/>
      <c r="R83" s="45"/>
      <c r="X83" s="23"/>
      <c r="Y83" s="23"/>
      <c r="Z83" s="23"/>
      <c r="AB83" s="23"/>
      <c r="AC83" s="23"/>
      <c r="AD83" s="23"/>
      <c r="AF83" s="23"/>
      <c r="AG83" s="23"/>
      <c r="AH83" s="23"/>
    </row>
    <row r="84" spans="3:34" customFormat="1" ht="15" customHeight="1" x14ac:dyDescent="0.2">
      <c r="C84" s="27"/>
      <c r="Q84" s="45"/>
      <c r="R84" s="45"/>
      <c r="X84" s="23"/>
      <c r="Y84" s="23"/>
      <c r="Z84" s="23"/>
      <c r="AB84" s="23"/>
      <c r="AC84" s="23"/>
      <c r="AD84" s="23"/>
      <c r="AF84" s="23"/>
      <c r="AG84" s="23"/>
      <c r="AH84" s="23"/>
    </row>
    <row r="85" spans="3:34" customFormat="1" ht="15" customHeight="1" x14ac:dyDescent="0.2">
      <c r="C85" s="27"/>
      <c r="Q85" s="45"/>
      <c r="R85" s="45"/>
      <c r="X85" s="23"/>
      <c r="Y85" s="23"/>
      <c r="Z85" s="23"/>
      <c r="AB85" s="23"/>
      <c r="AC85" s="23"/>
      <c r="AD85" s="23"/>
      <c r="AF85" s="23"/>
      <c r="AG85" s="23"/>
      <c r="AH85" s="23"/>
    </row>
    <row r="86" spans="3:34" customFormat="1" ht="15" customHeight="1" x14ac:dyDescent="0.2">
      <c r="C86" s="27"/>
      <c r="Q86" s="45"/>
      <c r="R86" s="45"/>
      <c r="X86" s="23"/>
      <c r="Y86" s="23"/>
      <c r="Z86" s="23"/>
      <c r="AB86" s="23"/>
      <c r="AC86" s="23"/>
      <c r="AD86" s="23"/>
      <c r="AF86" s="23"/>
      <c r="AG86" s="23"/>
      <c r="AH86" s="23"/>
    </row>
    <row r="87" spans="3:34" customFormat="1" ht="16.25" customHeight="1" x14ac:dyDescent="0.2">
      <c r="C87" s="27"/>
      <c r="Q87" s="45"/>
      <c r="R87" s="45"/>
      <c r="X87" s="23"/>
      <c r="Y87" s="23"/>
      <c r="Z87" s="23"/>
      <c r="AB87" s="23"/>
      <c r="AC87" s="23"/>
      <c r="AD87" s="23"/>
      <c r="AF87" s="23"/>
      <c r="AG87" s="23"/>
      <c r="AH87" s="23"/>
    </row>
    <row r="88" spans="3:34" customFormat="1" ht="16" x14ac:dyDescent="0.2">
      <c r="C88" s="27"/>
      <c r="Q88" s="45"/>
      <c r="R88" s="45"/>
      <c r="X88" s="23"/>
      <c r="Y88" s="23"/>
      <c r="Z88" s="23"/>
      <c r="AB88" s="23"/>
      <c r="AC88" s="23"/>
      <c r="AD88" s="23"/>
      <c r="AF88" s="23"/>
      <c r="AG88" s="23"/>
      <c r="AH88" s="23"/>
    </row>
    <row r="89" spans="3:34" customFormat="1" ht="16" x14ac:dyDescent="0.2">
      <c r="C89" s="27"/>
      <c r="Q89" s="45"/>
      <c r="R89" s="45"/>
      <c r="X89" s="23"/>
      <c r="Y89" s="23"/>
      <c r="Z89" s="23"/>
      <c r="AB89" s="23"/>
      <c r="AC89" s="23"/>
      <c r="AD89" s="23"/>
      <c r="AF89" s="23"/>
      <c r="AG89" s="23"/>
      <c r="AH89" s="23"/>
    </row>
    <row r="90" spans="3:34" customFormat="1" ht="16" x14ac:dyDescent="0.2">
      <c r="C90" s="27"/>
      <c r="Q90" s="45"/>
      <c r="R90" s="45"/>
      <c r="X90" s="23"/>
      <c r="Y90" s="23"/>
      <c r="Z90" s="23"/>
      <c r="AB90" s="23"/>
      <c r="AC90" s="23"/>
      <c r="AD90" s="23"/>
      <c r="AF90" s="23"/>
      <c r="AG90" s="23"/>
      <c r="AH90" s="23"/>
    </row>
    <row r="91" spans="3:34" customFormat="1" ht="16" x14ac:dyDescent="0.2">
      <c r="C91" s="27"/>
      <c r="Q91" s="45"/>
      <c r="R91" s="45"/>
      <c r="X91" s="23"/>
      <c r="Y91" s="23"/>
      <c r="Z91" s="23"/>
      <c r="AB91" s="23"/>
      <c r="AC91" s="23"/>
      <c r="AD91" s="23"/>
      <c r="AF91" s="23"/>
      <c r="AG91" s="23"/>
      <c r="AH91" s="23"/>
    </row>
    <row r="92" spans="3:34" customFormat="1" ht="16" x14ac:dyDescent="0.2">
      <c r="C92" s="27"/>
      <c r="Q92" s="45"/>
      <c r="R92" s="45"/>
      <c r="X92" s="23"/>
      <c r="Y92" s="23"/>
      <c r="Z92" s="23"/>
      <c r="AB92" s="23"/>
      <c r="AC92" s="23"/>
      <c r="AD92" s="23"/>
      <c r="AF92" s="23"/>
      <c r="AG92" s="23"/>
      <c r="AH92" s="23"/>
    </row>
    <row r="93" spans="3:34" customFormat="1" ht="16" x14ac:dyDescent="0.2">
      <c r="C93" s="27"/>
      <c r="Q93" s="45"/>
      <c r="R93" s="45"/>
      <c r="X93" s="23"/>
      <c r="Y93" s="23"/>
      <c r="Z93" s="23"/>
      <c r="AB93" s="23"/>
      <c r="AC93" s="23"/>
      <c r="AD93" s="23"/>
      <c r="AF93" s="23"/>
      <c r="AG93" s="23"/>
      <c r="AH93" s="23"/>
    </row>
    <row r="94" spans="3:34" customFormat="1" ht="16" x14ac:dyDescent="0.2">
      <c r="C94" s="27"/>
      <c r="Q94" s="45"/>
      <c r="R94" s="45"/>
      <c r="X94" s="23"/>
      <c r="Y94" s="23"/>
      <c r="Z94" s="23"/>
      <c r="AB94" s="23"/>
      <c r="AC94" s="23"/>
      <c r="AD94" s="23"/>
      <c r="AF94" s="23"/>
      <c r="AG94" s="23"/>
      <c r="AH94" s="23"/>
    </row>
    <row r="95" spans="3:34" customFormat="1" ht="16" x14ac:dyDescent="0.2">
      <c r="C95" s="27"/>
      <c r="Q95" s="45"/>
      <c r="R95" s="45"/>
      <c r="X95" s="23"/>
      <c r="Y95" s="23"/>
      <c r="Z95" s="23"/>
      <c r="AB95" s="23"/>
      <c r="AC95" s="23"/>
      <c r="AD95" s="23"/>
      <c r="AF95" s="23"/>
      <c r="AG95" s="23"/>
      <c r="AH95" s="23"/>
    </row>
    <row r="96" spans="3:34" customFormat="1" ht="16" x14ac:dyDescent="0.2">
      <c r="C96" s="27"/>
      <c r="Q96" s="45"/>
      <c r="R96" s="45"/>
      <c r="X96" s="23"/>
      <c r="Y96" s="23"/>
      <c r="Z96" s="23"/>
      <c r="AB96" s="23"/>
      <c r="AC96" s="23"/>
      <c r="AD96" s="23"/>
      <c r="AF96" s="23"/>
      <c r="AG96" s="23"/>
      <c r="AH96" s="23"/>
    </row>
    <row r="97" spans="3:34" customFormat="1" ht="16" x14ac:dyDescent="0.2">
      <c r="C97" s="27"/>
      <c r="Q97" s="45"/>
      <c r="R97" s="45"/>
      <c r="X97" s="23"/>
      <c r="Y97" s="23"/>
      <c r="Z97" s="23"/>
      <c r="AB97" s="23"/>
      <c r="AC97" s="23"/>
      <c r="AD97" s="23"/>
      <c r="AF97" s="23"/>
      <c r="AG97" s="23"/>
      <c r="AH97" s="23"/>
    </row>
    <row r="98" spans="3:34" customFormat="1" ht="16" x14ac:dyDescent="0.2">
      <c r="C98" s="27"/>
      <c r="Q98" s="45"/>
      <c r="R98" s="45"/>
      <c r="X98" s="23"/>
      <c r="Y98" s="23"/>
      <c r="Z98" s="23"/>
      <c r="AB98" s="23"/>
      <c r="AC98" s="23"/>
      <c r="AD98" s="23"/>
      <c r="AF98" s="23"/>
      <c r="AG98" s="23"/>
      <c r="AH98" s="23"/>
    </row>
    <row r="99" spans="3:34" customFormat="1" ht="16" x14ac:dyDescent="0.2">
      <c r="C99" s="27"/>
      <c r="Q99" s="45"/>
      <c r="R99" s="45"/>
      <c r="X99" s="23"/>
      <c r="Y99" s="23"/>
      <c r="Z99" s="23"/>
      <c r="AB99" s="23"/>
      <c r="AC99" s="23"/>
      <c r="AD99" s="23"/>
      <c r="AF99" s="23"/>
      <c r="AG99" s="23"/>
      <c r="AH99" s="23"/>
    </row>
    <row r="100" spans="3:34" customFormat="1" ht="16" x14ac:dyDescent="0.2">
      <c r="C100" s="27"/>
      <c r="Q100" s="45"/>
      <c r="R100" s="45"/>
      <c r="X100" s="23"/>
      <c r="Y100" s="23"/>
      <c r="Z100" s="23"/>
      <c r="AB100" s="23"/>
      <c r="AC100" s="23"/>
      <c r="AD100" s="23"/>
      <c r="AF100" s="23"/>
      <c r="AG100" s="23"/>
      <c r="AH100" s="23"/>
    </row>
    <row r="101" spans="3:34" customFormat="1" ht="16" x14ac:dyDescent="0.2">
      <c r="C101" s="27"/>
      <c r="Q101" s="45"/>
      <c r="R101" s="45"/>
      <c r="X101" s="23"/>
      <c r="Y101" s="23"/>
      <c r="Z101" s="23"/>
      <c r="AB101" s="23"/>
      <c r="AC101" s="23"/>
      <c r="AD101" s="23"/>
      <c r="AF101" s="23"/>
      <c r="AG101" s="23"/>
      <c r="AH101" s="23"/>
    </row>
  </sheetData>
  <sheetProtection selectLockedCells="1"/>
  <mergeCells count="503">
    <mergeCell ref="AF65:AH65"/>
    <mergeCell ref="AJ46:AO46"/>
    <mergeCell ref="AJ47:AL47"/>
    <mergeCell ref="AM47:AO47"/>
    <mergeCell ref="AJ48:AL48"/>
    <mergeCell ref="AM48:AO48"/>
    <mergeCell ref="AJ50:AO50"/>
    <mergeCell ref="AJ51:AL51"/>
    <mergeCell ref="AM51:AO51"/>
    <mergeCell ref="AJ52:AL52"/>
    <mergeCell ref="AM52:AO52"/>
    <mergeCell ref="AF63:AH63"/>
    <mergeCell ref="AF64:AH64"/>
    <mergeCell ref="AF56:AH56"/>
    <mergeCell ref="AF57:AH57"/>
    <mergeCell ref="AF58:AH58"/>
    <mergeCell ref="AF59:AH59"/>
    <mergeCell ref="AF60:AH60"/>
    <mergeCell ref="AF61:AH61"/>
    <mergeCell ref="AF62:AH62"/>
    <mergeCell ref="AF9:AH10"/>
    <mergeCell ref="AF11:AH11"/>
    <mergeCell ref="AF12:AH12"/>
    <mergeCell ref="AF13:AH13"/>
    <mergeCell ref="AF14:AH14"/>
    <mergeCell ref="AF15:AH15"/>
    <mergeCell ref="AF16:AH16"/>
    <mergeCell ref="AF17:AH17"/>
    <mergeCell ref="AF23:AH23"/>
    <mergeCell ref="AF19:AH19"/>
    <mergeCell ref="AF20:AH20"/>
    <mergeCell ref="AF21:AH21"/>
    <mergeCell ref="AF22:AH22"/>
    <mergeCell ref="AF18:AH18"/>
    <mergeCell ref="Q62:R62"/>
    <mergeCell ref="AJ41:AK41"/>
    <mergeCell ref="Q42:R42"/>
    <mergeCell ref="X56:Z56"/>
    <mergeCell ref="X46:Z46"/>
    <mergeCell ref="W52:Z52"/>
    <mergeCell ref="AF53:AH53"/>
    <mergeCell ref="AF43:AH43"/>
    <mergeCell ref="AF44:AH44"/>
    <mergeCell ref="AF47:AH47"/>
    <mergeCell ref="AF46:AH46"/>
    <mergeCell ref="AF48:AH48"/>
    <mergeCell ref="AF49:AH49"/>
    <mergeCell ref="AF50:AH50"/>
    <mergeCell ref="AF51:AH51"/>
    <mergeCell ref="AF52:AH52"/>
    <mergeCell ref="W53:Z53"/>
    <mergeCell ref="U49:V49"/>
    <mergeCell ref="U50:V50"/>
    <mergeCell ref="U51:V51"/>
    <mergeCell ref="W55:Z55"/>
    <mergeCell ref="W51:Z51"/>
    <mergeCell ref="Q61:R61"/>
    <mergeCell ref="AB52:AD52"/>
    <mergeCell ref="AL41:AM41"/>
    <mergeCell ref="AN41:AO41"/>
    <mergeCell ref="AJ42:AK42"/>
    <mergeCell ref="AL42:AM42"/>
    <mergeCell ref="AN42:AO42"/>
    <mergeCell ref="Q49:R49"/>
    <mergeCell ref="Q50:R50"/>
    <mergeCell ref="W42:Z42"/>
    <mergeCell ref="W50:Z50"/>
    <mergeCell ref="AF41:AH41"/>
    <mergeCell ref="AF42:AH42"/>
    <mergeCell ref="W49:Z49"/>
    <mergeCell ref="W44:Z44"/>
    <mergeCell ref="AL33:AM33"/>
    <mergeCell ref="AN33:AO33"/>
    <mergeCell ref="AJ34:AK34"/>
    <mergeCell ref="AL34:AM34"/>
    <mergeCell ref="AN34:AO34"/>
    <mergeCell ref="AJ35:AK35"/>
    <mergeCell ref="AL35:AM35"/>
    <mergeCell ref="AN35:AO35"/>
    <mergeCell ref="AJ36:AK36"/>
    <mergeCell ref="AL36:AM36"/>
    <mergeCell ref="AN36:AO36"/>
    <mergeCell ref="AJ33:AK33"/>
    <mergeCell ref="AF24:AH24"/>
    <mergeCell ref="AF25:AH25"/>
    <mergeCell ref="AF26:AH26"/>
    <mergeCell ref="AF27:AH27"/>
    <mergeCell ref="AF28:AH28"/>
    <mergeCell ref="AF29:AH29"/>
    <mergeCell ref="AF30:AH30"/>
    <mergeCell ref="AF31:AH31"/>
    <mergeCell ref="AF32:AH32"/>
    <mergeCell ref="AN29:AO29"/>
    <mergeCell ref="AJ30:AK30"/>
    <mergeCell ref="AL30:AM30"/>
    <mergeCell ref="AN30:AO30"/>
    <mergeCell ref="AJ31:AK31"/>
    <mergeCell ref="AL31:AM31"/>
    <mergeCell ref="AN31:AO31"/>
    <mergeCell ref="AJ32:AK32"/>
    <mergeCell ref="AL32:AM32"/>
    <mergeCell ref="AN32:AO32"/>
    <mergeCell ref="AJ29:AK29"/>
    <mergeCell ref="AL29:AM29"/>
    <mergeCell ref="AL28:AM28"/>
    <mergeCell ref="AN28:AO28"/>
    <mergeCell ref="AJ23:AK23"/>
    <mergeCell ref="AL23:AM23"/>
    <mergeCell ref="AN23:AO23"/>
    <mergeCell ref="AJ18:AK18"/>
    <mergeCell ref="AL18:AM18"/>
    <mergeCell ref="AN18:AO18"/>
    <mergeCell ref="AJ19:AK19"/>
    <mergeCell ref="AL19:AM19"/>
    <mergeCell ref="AN19:AO19"/>
    <mergeCell ref="AJ20:AK20"/>
    <mergeCell ref="AL20:AM20"/>
    <mergeCell ref="AN20:AO20"/>
    <mergeCell ref="AL24:AM24"/>
    <mergeCell ref="AN24:AO24"/>
    <mergeCell ref="AJ25:AK25"/>
    <mergeCell ref="AJ24:AK24"/>
    <mergeCell ref="AJ21:AK21"/>
    <mergeCell ref="AL21:AM21"/>
    <mergeCell ref="AN21:AO21"/>
    <mergeCell ref="AJ22:AK22"/>
    <mergeCell ref="AL22:AM22"/>
    <mergeCell ref="AN22:AO22"/>
    <mergeCell ref="AN27:AO27"/>
    <mergeCell ref="AL25:AM25"/>
    <mergeCell ref="AN25:AO25"/>
    <mergeCell ref="AJ26:AK26"/>
    <mergeCell ref="AL26:AM26"/>
    <mergeCell ref="AN26:AO26"/>
    <mergeCell ref="AJ27:AK27"/>
    <mergeCell ref="AL27:AM27"/>
    <mergeCell ref="W14:Z14"/>
    <mergeCell ref="AJ16:AK16"/>
    <mergeCell ref="AL16:AM16"/>
    <mergeCell ref="AN16:AO16"/>
    <mergeCell ref="W15:Z15"/>
    <mergeCell ref="W16:Z16"/>
    <mergeCell ref="W17:Z17"/>
    <mergeCell ref="W24:Z24"/>
    <mergeCell ref="W25:Z25"/>
    <mergeCell ref="W26:Z26"/>
    <mergeCell ref="W27:Z27"/>
    <mergeCell ref="W18:Z18"/>
    <mergeCell ref="W19:Z19"/>
    <mergeCell ref="W20:Z20"/>
    <mergeCell ref="W21:Z21"/>
    <mergeCell ref="W22:Z22"/>
    <mergeCell ref="AT9:AU9"/>
    <mergeCell ref="AV9:AW9"/>
    <mergeCell ref="AT10:AU10"/>
    <mergeCell ref="AV10:AW10"/>
    <mergeCell ref="AP16:AQ16"/>
    <mergeCell ref="AJ17:AK17"/>
    <mergeCell ref="AL17:AM17"/>
    <mergeCell ref="AN17:AO17"/>
    <mergeCell ref="AP17:AQ17"/>
    <mergeCell ref="AL15:AM15"/>
    <mergeCell ref="AN15:AO15"/>
    <mergeCell ref="AP15:AQ15"/>
    <mergeCell ref="AJ14:AK14"/>
    <mergeCell ref="AL14:AM14"/>
    <mergeCell ref="AN14:AO14"/>
    <mergeCell ref="AP14:AQ14"/>
    <mergeCell ref="AJ15:AK15"/>
    <mergeCell ref="AJ9:AK9"/>
    <mergeCell ref="AL9:AM9"/>
    <mergeCell ref="AN9:AO9"/>
    <mergeCell ref="AP9:AQ9"/>
    <mergeCell ref="AR9:AS9"/>
    <mergeCell ref="AJ10:AK10"/>
    <mergeCell ref="AL10:AM10"/>
    <mergeCell ref="AN10:AO10"/>
    <mergeCell ref="AP10:AQ10"/>
    <mergeCell ref="AR10:AS10"/>
    <mergeCell ref="AJ11:AK11"/>
    <mergeCell ref="AL11:AM11"/>
    <mergeCell ref="AR11:AS11"/>
    <mergeCell ref="AJ12:AK12"/>
    <mergeCell ref="AL12:AM12"/>
    <mergeCell ref="AN12:AO12"/>
    <mergeCell ref="AP12:AQ12"/>
    <mergeCell ref="AJ13:AK13"/>
    <mergeCell ref="AL13:AM13"/>
    <mergeCell ref="AN13:AO13"/>
    <mergeCell ref="AP13:AQ13"/>
    <mergeCell ref="AN11:AO11"/>
    <mergeCell ref="AP11:AQ11"/>
    <mergeCell ref="W30:Z30"/>
    <mergeCell ref="W31:Z31"/>
    <mergeCell ref="AJ37:AK37"/>
    <mergeCell ref="AJ28:AK28"/>
    <mergeCell ref="W32:Z32"/>
    <mergeCell ref="W28:Z28"/>
    <mergeCell ref="W29:Z29"/>
    <mergeCell ref="W23:Z23"/>
    <mergeCell ref="W11:Z11"/>
    <mergeCell ref="W12:Z12"/>
    <mergeCell ref="W13:Z13"/>
    <mergeCell ref="AB19:AD19"/>
    <mergeCell ref="AB20:AD20"/>
    <mergeCell ref="AB21:AD21"/>
    <mergeCell ref="AB22:AD22"/>
    <mergeCell ref="AB23:AD23"/>
    <mergeCell ref="AB24:AD24"/>
    <mergeCell ref="AB25:AD25"/>
    <mergeCell ref="AF34:AH34"/>
    <mergeCell ref="AF35:AH35"/>
    <mergeCell ref="AF36:AH36"/>
    <mergeCell ref="AF37:AH37"/>
    <mergeCell ref="AF38:AH38"/>
    <mergeCell ref="W33:Z33"/>
    <mergeCell ref="AB35:AD35"/>
    <mergeCell ref="AB36:AD36"/>
    <mergeCell ref="AJ38:AK38"/>
    <mergeCell ref="W34:Z34"/>
    <mergeCell ref="W35:Z35"/>
    <mergeCell ref="W36:Z36"/>
    <mergeCell ref="W37:Z37"/>
    <mergeCell ref="W38:Z38"/>
    <mergeCell ref="AB37:AD37"/>
    <mergeCell ref="AB38:AD38"/>
    <mergeCell ref="AF33:AH33"/>
    <mergeCell ref="N56:O56"/>
    <mergeCell ref="Q56:R56"/>
    <mergeCell ref="N46:O46"/>
    <mergeCell ref="C36:D36"/>
    <mergeCell ref="Q38:R38"/>
    <mergeCell ref="Q35:R35"/>
    <mergeCell ref="Q36:R36"/>
    <mergeCell ref="Q32:R32"/>
    <mergeCell ref="Q33:R33"/>
    <mergeCell ref="Q34:R34"/>
    <mergeCell ref="C37:D37"/>
    <mergeCell ref="C38:D38"/>
    <mergeCell ref="C39:D39"/>
    <mergeCell ref="C40:D40"/>
    <mergeCell ref="C32:D32"/>
    <mergeCell ref="C33:D33"/>
    <mergeCell ref="E49:M49"/>
    <mergeCell ref="E50:M50"/>
    <mergeCell ref="Q39:R39"/>
    <mergeCell ref="C29:D29"/>
    <mergeCell ref="C30:D30"/>
    <mergeCell ref="C31:D31"/>
    <mergeCell ref="N47:O47"/>
    <mergeCell ref="N48:O48"/>
    <mergeCell ref="Q41:R41"/>
    <mergeCell ref="C24:D24"/>
    <mergeCell ref="W39:Z39"/>
    <mergeCell ref="W40:Z40"/>
    <mergeCell ref="W41:Z41"/>
    <mergeCell ref="Q46:R46"/>
    <mergeCell ref="W43:Z43"/>
    <mergeCell ref="Q40:R40"/>
    <mergeCell ref="W47:Z47"/>
    <mergeCell ref="W48:Z48"/>
    <mergeCell ref="C14:D14"/>
    <mergeCell ref="C15:D15"/>
    <mergeCell ref="C16:D16"/>
    <mergeCell ref="C62:D62"/>
    <mergeCell ref="Q25:R25"/>
    <mergeCell ref="Q26:R26"/>
    <mergeCell ref="Q27:R27"/>
    <mergeCell ref="Q28:R28"/>
    <mergeCell ref="Q29:R29"/>
    <mergeCell ref="C51:D51"/>
    <mergeCell ref="C57:D57"/>
    <mergeCell ref="C58:D58"/>
    <mergeCell ref="C59:D59"/>
    <mergeCell ref="C60:D60"/>
    <mergeCell ref="C61:D61"/>
    <mergeCell ref="C41:D41"/>
    <mergeCell ref="C42:D42"/>
    <mergeCell ref="C47:D47"/>
    <mergeCell ref="C48:D48"/>
    <mergeCell ref="C49:D49"/>
    <mergeCell ref="C50:D50"/>
    <mergeCell ref="C35:D35"/>
    <mergeCell ref="E25:M25"/>
    <mergeCell ref="E26:M26"/>
    <mergeCell ref="Q59:R59"/>
    <mergeCell ref="Q37:R37"/>
    <mergeCell ref="C34:D34"/>
    <mergeCell ref="Q57:R57"/>
    <mergeCell ref="Q58:R58"/>
    <mergeCell ref="Q51:R51"/>
    <mergeCell ref="Q60:R60"/>
    <mergeCell ref="C17:D17"/>
    <mergeCell ref="C18:D18"/>
    <mergeCell ref="C19:D19"/>
    <mergeCell ref="C20:D20"/>
    <mergeCell ref="C21:D21"/>
    <mergeCell ref="C22:D22"/>
    <mergeCell ref="E27:M27"/>
    <mergeCell ref="E51:M51"/>
    <mergeCell ref="E57:M57"/>
    <mergeCell ref="C25:D25"/>
    <mergeCell ref="C26:D26"/>
    <mergeCell ref="C27:D27"/>
    <mergeCell ref="C28:D28"/>
    <mergeCell ref="E22:M22"/>
    <mergeCell ref="E23:M23"/>
    <mergeCell ref="E24:M24"/>
    <mergeCell ref="C23:D23"/>
    <mergeCell ref="Q14:R14"/>
    <mergeCell ref="Q30:R30"/>
    <mergeCell ref="Q31:R31"/>
    <mergeCell ref="Q15:R15"/>
    <mergeCell ref="Q16:R16"/>
    <mergeCell ref="Q17:R17"/>
    <mergeCell ref="Q18:R18"/>
    <mergeCell ref="Q19:R19"/>
    <mergeCell ref="E14:M14"/>
    <mergeCell ref="E15:M15"/>
    <mergeCell ref="E16:M16"/>
    <mergeCell ref="E17:M17"/>
    <mergeCell ref="E18:M18"/>
    <mergeCell ref="E19:M19"/>
    <mergeCell ref="E20:M20"/>
    <mergeCell ref="E21:M21"/>
    <mergeCell ref="Q23:R23"/>
    <mergeCell ref="Q24:R24"/>
    <mergeCell ref="Q20:R20"/>
    <mergeCell ref="Q21:R21"/>
    <mergeCell ref="Q22:R22"/>
    <mergeCell ref="W8:Z8"/>
    <mergeCell ref="C11:D11"/>
    <mergeCell ref="C12:D12"/>
    <mergeCell ref="C13:D13"/>
    <mergeCell ref="Q11:R11"/>
    <mergeCell ref="Q12:R12"/>
    <mergeCell ref="Q13:R13"/>
    <mergeCell ref="Q9:R10"/>
    <mergeCell ref="N9:O10"/>
    <mergeCell ref="E9:I10"/>
    <mergeCell ref="U9:V9"/>
    <mergeCell ref="E11:M11"/>
    <mergeCell ref="E12:M12"/>
    <mergeCell ref="E13:M13"/>
    <mergeCell ref="W9:Z10"/>
    <mergeCell ref="T9:T10"/>
    <mergeCell ref="W63:Z63"/>
    <mergeCell ref="W64:Z64"/>
    <mergeCell ref="W65:Z65"/>
    <mergeCell ref="W57:Z57"/>
    <mergeCell ref="W58:Z58"/>
    <mergeCell ref="W59:Z59"/>
    <mergeCell ref="W60:Z60"/>
    <mergeCell ref="W61:Z61"/>
    <mergeCell ref="W62:Z62"/>
    <mergeCell ref="E62:M62"/>
    <mergeCell ref="E28:M28"/>
    <mergeCell ref="E29:M29"/>
    <mergeCell ref="E30:M30"/>
    <mergeCell ref="E31:M31"/>
    <mergeCell ref="E32:M32"/>
    <mergeCell ref="E33:M33"/>
    <mergeCell ref="E34:M34"/>
    <mergeCell ref="E35:M35"/>
    <mergeCell ref="E36:M36"/>
    <mergeCell ref="E37:M37"/>
    <mergeCell ref="E38:M38"/>
    <mergeCell ref="E39:M39"/>
    <mergeCell ref="E40:M40"/>
    <mergeCell ref="E41:M41"/>
    <mergeCell ref="E42:M42"/>
    <mergeCell ref="E47:M47"/>
    <mergeCell ref="E48:M48"/>
    <mergeCell ref="E58:M58"/>
    <mergeCell ref="E59:M59"/>
    <mergeCell ref="E60:M60"/>
    <mergeCell ref="E61:M61"/>
    <mergeCell ref="AB9:AD10"/>
    <mergeCell ref="AB11:AD11"/>
    <mergeCell ref="AB12:AD12"/>
    <mergeCell ref="AB13:AD13"/>
    <mergeCell ref="AB14:AD14"/>
    <mergeCell ref="AB15:AD15"/>
    <mergeCell ref="AB16:AD16"/>
    <mergeCell ref="AB17:AD17"/>
    <mergeCell ref="AB18:AD18"/>
    <mergeCell ref="AB53:AD53"/>
    <mergeCell ref="AB56:AD56"/>
    <mergeCell ref="AB57:AD57"/>
    <mergeCell ref="AB26:AD26"/>
    <mergeCell ref="AB27:AD27"/>
    <mergeCell ref="AB28:AD28"/>
    <mergeCell ref="AB29:AD29"/>
    <mergeCell ref="AB30:AD30"/>
    <mergeCell ref="AB31:AD31"/>
    <mergeCell ref="AB32:AD32"/>
    <mergeCell ref="AB33:AD33"/>
    <mergeCell ref="AB34:AD34"/>
    <mergeCell ref="AB46:AD46"/>
    <mergeCell ref="AB39:AD39"/>
    <mergeCell ref="AB40:AD40"/>
    <mergeCell ref="AB41:AD41"/>
    <mergeCell ref="AB42:AD42"/>
    <mergeCell ref="AB43:AD43"/>
    <mergeCell ref="AB44:AD44"/>
    <mergeCell ref="AB50:AD50"/>
    <mergeCell ref="AB51:AD51"/>
    <mergeCell ref="AT11:AU11"/>
    <mergeCell ref="AV11:AW11"/>
    <mergeCell ref="AT12:AU12"/>
    <mergeCell ref="AV12:AW12"/>
    <mergeCell ref="AT13:AU13"/>
    <mergeCell ref="AV13:AW13"/>
    <mergeCell ref="AT14:AU14"/>
    <mergeCell ref="AV14:AW14"/>
    <mergeCell ref="AT15:AU15"/>
    <mergeCell ref="AV15:AW15"/>
    <mergeCell ref="AT16:AU16"/>
    <mergeCell ref="AV16:AW16"/>
    <mergeCell ref="AT17:AU17"/>
    <mergeCell ref="AV17:AW17"/>
    <mergeCell ref="AT18:AU18"/>
    <mergeCell ref="AV18:AW18"/>
    <mergeCell ref="AT19:AU19"/>
    <mergeCell ref="AV19:AW19"/>
    <mergeCell ref="AT20:AU20"/>
    <mergeCell ref="AV20:AW20"/>
    <mergeCell ref="AT21:AU21"/>
    <mergeCell ref="AV21:AW21"/>
    <mergeCell ref="AT22:AU22"/>
    <mergeCell ref="AV22:AW22"/>
    <mergeCell ref="AT23:AU23"/>
    <mergeCell ref="AV23:AW23"/>
    <mergeCell ref="AT24:AU24"/>
    <mergeCell ref="AV24:AW24"/>
    <mergeCell ref="AT25:AU25"/>
    <mergeCell ref="AV25:AW25"/>
    <mergeCell ref="AT26:AU26"/>
    <mergeCell ref="AV26:AW26"/>
    <mergeCell ref="AT27:AU27"/>
    <mergeCell ref="AV27:AW27"/>
    <mergeCell ref="AT28:AU28"/>
    <mergeCell ref="AV28:AW28"/>
    <mergeCell ref="AT29:AU29"/>
    <mergeCell ref="AV29:AW29"/>
    <mergeCell ref="AT30:AU30"/>
    <mergeCell ref="AV30:AW30"/>
    <mergeCell ref="AT31:AU31"/>
    <mergeCell ref="AV31:AW31"/>
    <mergeCell ref="AT32:AU32"/>
    <mergeCell ref="AV32:AW32"/>
    <mergeCell ref="AT33:AU33"/>
    <mergeCell ref="AV33:AW33"/>
    <mergeCell ref="AT34:AU34"/>
    <mergeCell ref="AV34:AW34"/>
    <mergeCell ref="AT35:AU35"/>
    <mergeCell ref="AV35:AW35"/>
    <mergeCell ref="AT36:AU36"/>
    <mergeCell ref="AV36:AW36"/>
    <mergeCell ref="AT37:AU37"/>
    <mergeCell ref="AV37:AW37"/>
    <mergeCell ref="AT38:AU38"/>
    <mergeCell ref="AV38:AW38"/>
    <mergeCell ref="AT39:AU39"/>
    <mergeCell ref="AV39:AW39"/>
    <mergeCell ref="AT40:AU40"/>
    <mergeCell ref="AV40:AW40"/>
    <mergeCell ref="AF39:AH39"/>
    <mergeCell ref="AL37:AM37"/>
    <mergeCell ref="AN37:AO37"/>
    <mergeCell ref="AL38:AM38"/>
    <mergeCell ref="AN38:AO38"/>
    <mergeCell ref="AJ39:AK39"/>
    <mergeCell ref="AL39:AM39"/>
    <mergeCell ref="AN39:AO39"/>
    <mergeCell ref="AJ40:AK40"/>
    <mergeCell ref="AL40:AM40"/>
    <mergeCell ref="AN40:AO40"/>
    <mergeCell ref="AF40:AH40"/>
    <mergeCell ref="AJ8:AO8"/>
    <mergeCell ref="AR8:AW8"/>
    <mergeCell ref="O63:V63"/>
    <mergeCell ref="O64:V64"/>
    <mergeCell ref="O65:V65"/>
    <mergeCell ref="O52:V52"/>
    <mergeCell ref="O53:V53"/>
    <mergeCell ref="O43:V43"/>
    <mergeCell ref="O44:V44"/>
    <mergeCell ref="AT41:AU41"/>
    <mergeCell ref="AV41:AW41"/>
    <mergeCell ref="AT42:AU42"/>
    <mergeCell ref="AV42:AW42"/>
    <mergeCell ref="AB58:AD58"/>
    <mergeCell ref="AB59:AD59"/>
    <mergeCell ref="AB60:AD60"/>
    <mergeCell ref="AB61:AD61"/>
    <mergeCell ref="AB62:AD62"/>
    <mergeCell ref="AB63:AD63"/>
    <mergeCell ref="AB64:AD64"/>
    <mergeCell ref="AB65:AD65"/>
    <mergeCell ref="AB47:AD47"/>
    <mergeCell ref="AB48:AD48"/>
    <mergeCell ref="AB49:AD49"/>
  </mergeCells>
  <pageMargins left="0.7" right="0.7" top="0.75" bottom="0.75" header="0.3" footer="0.3"/>
  <pageSetup scale="69" orientation="portrait" r:id="rId1"/>
  <legacyDrawingHF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pageSetUpPr fitToPage="1"/>
  </sheetPr>
  <dimension ref="B1:CD164"/>
  <sheetViews>
    <sheetView tabSelected="1" zoomScale="110" zoomScaleNormal="110" zoomScaleSheetLayoutView="90" workbookViewId="0">
      <pane ySplit="9" topLeftCell="A114" activePane="bottomLeft" state="frozen"/>
      <selection activeCell="N42" sqref="N42:Y42"/>
      <selection pane="bottomLeft" activeCell="N42" sqref="N42:Y42"/>
    </sheetView>
  </sheetViews>
  <sheetFormatPr baseColWidth="10" defaultColWidth="4.6640625" defaultRowHeight="17" x14ac:dyDescent="0.2"/>
  <cols>
    <col min="1" max="13" width="4.6640625" style="7"/>
    <col min="14" max="20" width="4.6640625" style="7" customWidth="1"/>
    <col min="21" max="22" width="4.6640625" style="44" customWidth="1"/>
    <col min="23" max="27" width="4.6640625" style="7" customWidth="1"/>
    <col min="28" max="36" width="4.6640625" style="7"/>
    <col min="37" max="37" width="4.6640625" style="34"/>
    <col min="38" max="16384" width="4.6640625" style="7"/>
  </cols>
  <sheetData>
    <row r="1" spans="2:77" ht="16.5" customHeight="1" x14ac:dyDescent="0.2">
      <c r="B1"/>
      <c r="C1"/>
      <c r="D1"/>
      <c r="E1"/>
      <c r="F1"/>
      <c r="G1"/>
      <c r="H1"/>
      <c r="I1"/>
      <c r="J1"/>
      <c r="K1"/>
      <c r="L1"/>
      <c r="Q1" s="63"/>
      <c r="R1" s="63"/>
      <c r="U1" s="7"/>
      <c r="V1" s="7"/>
      <c r="X1" s="24"/>
      <c r="Y1" s="24"/>
      <c r="Z1" s="24"/>
      <c r="AJ1" s="63"/>
      <c r="AK1" s="7"/>
      <c r="BY1" s="7" t="s">
        <v>407</v>
      </c>
    </row>
    <row r="2" spans="2:77" ht="6.5" customHeight="1" x14ac:dyDescent="0.2">
      <c r="B2"/>
      <c r="C2"/>
      <c r="D2"/>
      <c r="E2"/>
      <c r="F2"/>
      <c r="G2"/>
      <c r="H2"/>
      <c r="I2"/>
      <c r="J2"/>
      <c r="K2"/>
      <c r="L2"/>
      <c r="M2"/>
      <c r="Q2" s="63"/>
      <c r="R2" s="63"/>
      <c r="U2" s="7"/>
      <c r="V2" s="7"/>
      <c r="X2" s="24"/>
      <c r="Y2" s="24"/>
      <c r="Z2" s="24"/>
      <c r="AJ2" s="63"/>
      <c r="AK2" s="7"/>
    </row>
    <row r="3" spans="2:77" ht="16.5" customHeight="1" x14ac:dyDescent="0.2">
      <c r="B3"/>
      <c r="C3"/>
      <c r="D3"/>
      <c r="E3"/>
      <c r="F3"/>
      <c r="G3"/>
      <c r="H3"/>
      <c r="I3"/>
      <c r="J3"/>
      <c r="K3"/>
      <c r="L3"/>
      <c r="M3"/>
      <c r="Q3" s="63"/>
      <c r="U3" s="7"/>
      <c r="V3" s="7"/>
      <c r="X3" s="24"/>
      <c r="Y3" s="24"/>
      <c r="Z3" s="24"/>
      <c r="AJ3" s="63"/>
      <c r="AK3" s="7"/>
    </row>
    <row r="4" spans="2:77" ht="6.5" customHeight="1" x14ac:dyDescent="0.2">
      <c r="B4"/>
      <c r="C4"/>
      <c r="D4"/>
      <c r="E4"/>
      <c r="F4"/>
      <c r="G4"/>
      <c r="H4"/>
      <c r="I4"/>
      <c r="J4"/>
      <c r="K4"/>
      <c r="L4"/>
      <c r="Q4" s="63"/>
      <c r="U4" s="7"/>
      <c r="V4" s="7"/>
      <c r="X4" s="24"/>
      <c r="Y4" s="24"/>
      <c r="Z4" s="24"/>
      <c r="AJ4" s="63"/>
      <c r="AK4" s="7"/>
    </row>
    <row r="5" spans="2:77" ht="16.5" customHeight="1" x14ac:dyDescent="0.2">
      <c r="B5"/>
      <c r="C5"/>
      <c r="D5"/>
      <c r="E5"/>
      <c r="F5"/>
      <c r="G5"/>
      <c r="H5"/>
      <c r="I5"/>
      <c r="J5"/>
      <c r="K5"/>
      <c r="L5"/>
      <c r="M5"/>
      <c r="Q5" s="63"/>
      <c r="R5" s="63"/>
      <c r="U5" s="7"/>
      <c r="V5" s="7"/>
      <c r="X5" s="24"/>
      <c r="Y5" s="24"/>
      <c r="Z5" s="24"/>
      <c r="AJ5" s="63"/>
      <c r="AK5" s="7"/>
    </row>
    <row r="6" spans="2:77" ht="16.25" customHeight="1" x14ac:dyDescent="0.2">
      <c r="C6"/>
      <c r="D6"/>
      <c r="E6"/>
      <c r="BI6" s="46"/>
    </row>
    <row r="7" spans="2:77" ht="16" customHeight="1" x14ac:dyDescent="0.2">
      <c r="AK7" s="35"/>
      <c r="AL7" s="2"/>
      <c r="AM7" s="2"/>
      <c r="AN7" s="2"/>
    </row>
    <row r="8" spans="2:77" s="362" customFormat="1" ht="20" customHeight="1" x14ac:dyDescent="0.2">
      <c r="C8" s="363" t="s">
        <v>279</v>
      </c>
      <c r="D8" s="364" t="s">
        <v>819</v>
      </c>
      <c r="E8" s="365"/>
      <c r="F8" s="366"/>
      <c r="G8" s="366"/>
      <c r="H8" s="366"/>
      <c r="I8" s="366"/>
      <c r="J8" s="366"/>
      <c r="K8" s="366"/>
      <c r="L8" s="366"/>
      <c r="M8" s="366"/>
      <c r="N8" s="366"/>
      <c r="O8" s="366"/>
      <c r="P8" s="366"/>
      <c r="Q8" s="366"/>
      <c r="R8" s="366"/>
      <c r="S8" s="366"/>
      <c r="T8" s="366"/>
      <c r="U8" s="367"/>
      <c r="V8" s="367"/>
      <c r="W8" s="844"/>
      <c r="X8" s="844"/>
      <c r="Y8" s="844"/>
      <c r="Z8" s="844"/>
      <c r="AB8" s="845"/>
      <c r="AC8" s="845"/>
      <c r="AD8" s="846"/>
      <c r="AF8" s="847"/>
      <c r="AG8" s="845"/>
      <c r="AH8" s="846"/>
      <c r="AK8" s="368"/>
      <c r="AL8" s="369"/>
      <c r="AM8" s="369"/>
      <c r="AN8" s="369"/>
    </row>
    <row r="9" spans="2:77" s="110" customFormat="1" ht="16.25" customHeight="1" x14ac:dyDescent="0.15">
      <c r="C9" s="152"/>
      <c r="D9" s="116"/>
      <c r="E9" s="116" t="s">
        <v>384</v>
      </c>
      <c r="F9" s="130"/>
      <c r="G9" s="130"/>
      <c r="H9" s="130"/>
      <c r="I9" s="130"/>
      <c r="J9" s="130"/>
      <c r="K9" s="130"/>
      <c r="L9" s="130"/>
      <c r="M9" s="130"/>
      <c r="N9" s="800" t="s">
        <v>811</v>
      </c>
      <c r="O9" s="800"/>
      <c r="P9" s="130"/>
      <c r="Q9" s="800" t="s">
        <v>220</v>
      </c>
      <c r="R9" s="800"/>
      <c r="S9" s="130"/>
      <c r="T9" s="116" t="s">
        <v>400</v>
      </c>
      <c r="U9" s="130"/>
      <c r="V9" s="130"/>
      <c r="W9" s="130"/>
      <c r="X9" s="724" t="s">
        <v>370</v>
      </c>
      <c r="Y9" s="724"/>
      <c r="Z9" s="725"/>
      <c r="AB9" s="848" t="s">
        <v>363</v>
      </c>
      <c r="AC9" s="849"/>
      <c r="AD9" s="850"/>
      <c r="AF9" s="848" t="s">
        <v>447</v>
      </c>
      <c r="AG9" s="849"/>
      <c r="AH9" s="850"/>
      <c r="AK9" s="165"/>
      <c r="AL9" s="166"/>
    </row>
    <row r="10" spans="2:77" s="51" customFormat="1" ht="16" customHeight="1" x14ac:dyDescent="0.15">
      <c r="C10" s="828">
        <v>277</v>
      </c>
      <c r="D10" s="829"/>
      <c r="E10" s="604"/>
      <c r="F10" s="604"/>
      <c r="G10" s="604"/>
      <c r="H10" s="604"/>
      <c r="I10" s="604"/>
      <c r="J10" s="604"/>
      <c r="K10" s="604"/>
      <c r="L10" s="604"/>
      <c r="M10" s="604"/>
      <c r="N10" s="58"/>
      <c r="O10" s="58" t="s">
        <v>140</v>
      </c>
      <c r="P10" s="59" t="s">
        <v>117</v>
      </c>
      <c r="Q10" s="831"/>
      <c r="R10" s="831"/>
      <c r="S10" s="67" t="s">
        <v>143</v>
      </c>
      <c r="T10" s="324"/>
      <c r="U10" s="88"/>
      <c r="V10" s="88"/>
      <c r="W10" s="664">
        <f>N10*Q10*(IF(ISNUMBER(T10),T10,IF(ISNUMBER(N10),1,0)))</f>
        <v>0</v>
      </c>
      <c r="X10" s="664"/>
      <c r="Y10" s="664"/>
      <c r="Z10" s="665"/>
      <c r="AB10" s="832">
        <v>0</v>
      </c>
      <c r="AC10" s="833"/>
      <c r="AD10" s="834"/>
      <c r="AF10" s="832">
        <f>AB10-W10</f>
        <v>0</v>
      </c>
      <c r="AG10" s="833"/>
      <c r="AH10" s="834"/>
      <c r="AM10" s="316"/>
      <c r="AN10" s="316"/>
    </row>
    <row r="11" spans="2:77" s="51" customFormat="1" ht="16" customHeight="1" x14ac:dyDescent="0.15">
      <c r="C11" s="828">
        <v>278</v>
      </c>
      <c r="D11" s="829"/>
      <c r="E11" s="830"/>
      <c r="F11" s="830"/>
      <c r="G11" s="830"/>
      <c r="H11" s="830"/>
      <c r="I11" s="830"/>
      <c r="J11" s="830"/>
      <c r="K11" s="830"/>
      <c r="L11" s="830"/>
      <c r="M11" s="830"/>
      <c r="N11" s="58"/>
      <c r="O11" s="58" t="s">
        <v>140</v>
      </c>
      <c r="P11" s="59" t="s">
        <v>117</v>
      </c>
      <c r="Q11" s="831">
        <v>500</v>
      </c>
      <c r="R11" s="831"/>
      <c r="S11" s="67" t="s">
        <v>143</v>
      </c>
      <c r="T11" s="324"/>
      <c r="U11" s="88"/>
      <c r="V11" s="88"/>
      <c r="W11" s="664">
        <f>N11*Q11*(IF(ISNUMBER(T11),T11,IF(ISNUMBER(N11),1,0)))</f>
        <v>0</v>
      </c>
      <c r="X11" s="664"/>
      <c r="Y11" s="664"/>
      <c r="Z11" s="665"/>
      <c r="AB11" s="832">
        <v>0</v>
      </c>
      <c r="AC11" s="833"/>
      <c r="AD11" s="834"/>
      <c r="AF11" s="832">
        <f t="shared" ref="AF11:AF69" si="0">AB11-W11</f>
        <v>0</v>
      </c>
      <c r="AG11" s="833"/>
      <c r="AH11" s="834"/>
      <c r="AK11" s="325"/>
    </row>
    <row r="12" spans="2:77" s="51" customFormat="1" ht="16" customHeight="1" x14ac:dyDescent="0.15">
      <c r="C12" s="828">
        <v>279</v>
      </c>
      <c r="D12" s="829"/>
      <c r="E12" s="830"/>
      <c r="F12" s="830"/>
      <c r="G12" s="830"/>
      <c r="H12" s="830"/>
      <c r="I12" s="830"/>
      <c r="J12" s="830"/>
      <c r="K12" s="830"/>
      <c r="L12" s="830"/>
      <c r="M12" s="830"/>
      <c r="N12" s="58"/>
      <c r="O12" s="58" t="s">
        <v>140</v>
      </c>
      <c r="P12" s="59" t="s">
        <v>117</v>
      </c>
      <c r="Q12" s="831"/>
      <c r="R12" s="831"/>
      <c r="S12" s="67" t="s">
        <v>143</v>
      </c>
      <c r="T12" s="324"/>
      <c r="U12" s="88"/>
      <c r="V12" s="88"/>
      <c r="W12" s="664">
        <f>N12*Q12*(IF(ISNUMBER(T12),T12,IF(ISNUMBER(N12),1,0)))</f>
        <v>0</v>
      </c>
      <c r="X12" s="664"/>
      <c r="Y12" s="664"/>
      <c r="Z12" s="665"/>
      <c r="AB12" s="832">
        <v>0</v>
      </c>
      <c r="AC12" s="833"/>
      <c r="AD12" s="834"/>
      <c r="AF12" s="832">
        <f t="shared" si="0"/>
        <v>0</v>
      </c>
      <c r="AG12" s="833"/>
      <c r="AH12" s="834"/>
      <c r="AK12" s="325"/>
    </row>
    <row r="13" spans="2:77" s="51" customFormat="1" ht="16" customHeight="1" x14ac:dyDescent="0.15">
      <c r="C13" s="828">
        <v>280</v>
      </c>
      <c r="D13" s="829"/>
      <c r="E13" s="830"/>
      <c r="F13" s="830"/>
      <c r="G13" s="830"/>
      <c r="H13" s="830"/>
      <c r="I13" s="830"/>
      <c r="J13" s="830"/>
      <c r="K13" s="830"/>
      <c r="L13" s="830"/>
      <c r="M13" s="830"/>
      <c r="N13" s="58"/>
      <c r="O13" s="58" t="s">
        <v>140</v>
      </c>
      <c r="P13" s="59" t="s">
        <v>117</v>
      </c>
      <c r="Q13" s="831"/>
      <c r="R13" s="831"/>
      <c r="S13" s="67" t="s">
        <v>143</v>
      </c>
      <c r="T13" s="324"/>
      <c r="U13" s="88"/>
      <c r="V13" s="88"/>
      <c r="W13" s="664">
        <f t="shared" ref="W13:W39" si="1">N13*Q13*(IF(ISNUMBER(T13),T13,IF(ISNUMBER(N13),1,0)))</f>
        <v>0</v>
      </c>
      <c r="X13" s="664"/>
      <c r="Y13" s="664"/>
      <c r="Z13" s="665"/>
      <c r="AB13" s="832">
        <v>0</v>
      </c>
      <c r="AC13" s="833"/>
      <c r="AD13" s="834"/>
      <c r="AF13" s="832">
        <f t="shared" si="0"/>
        <v>0</v>
      </c>
      <c r="AG13" s="833"/>
      <c r="AH13" s="834"/>
      <c r="AK13" s="325"/>
    </row>
    <row r="14" spans="2:77" s="51" customFormat="1" ht="16" customHeight="1" x14ac:dyDescent="0.15">
      <c r="C14" s="828">
        <v>281</v>
      </c>
      <c r="D14" s="829"/>
      <c r="E14" s="830"/>
      <c r="F14" s="830"/>
      <c r="G14" s="830"/>
      <c r="H14" s="830"/>
      <c r="I14" s="830"/>
      <c r="J14" s="830"/>
      <c r="K14" s="830"/>
      <c r="L14" s="830"/>
      <c r="M14" s="830"/>
      <c r="N14" s="58"/>
      <c r="O14" s="58" t="s">
        <v>140</v>
      </c>
      <c r="P14" s="59" t="s">
        <v>117</v>
      </c>
      <c r="Q14" s="831"/>
      <c r="R14" s="831"/>
      <c r="S14" s="67" t="s">
        <v>143</v>
      </c>
      <c r="T14" s="324"/>
      <c r="U14" s="88"/>
      <c r="V14" s="88"/>
      <c r="W14" s="664">
        <f t="shared" si="1"/>
        <v>0</v>
      </c>
      <c r="X14" s="664"/>
      <c r="Y14" s="664"/>
      <c r="Z14" s="665"/>
      <c r="AB14" s="832">
        <v>0</v>
      </c>
      <c r="AC14" s="833"/>
      <c r="AD14" s="834"/>
      <c r="AF14" s="832">
        <f t="shared" si="0"/>
        <v>0</v>
      </c>
      <c r="AG14" s="833"/>
      <c r="AH14" s="834"/>
      <c r="AK14" s="325"/>
    </row>
    <row r="15" spans="2:77" s="51" customFormat="1" ht="16" customHeight="1" x14ac:dyDescent="0.15">
      <c r="C15" s="828">
        <v>282</v>
      </c>
      <c r="D15" s="829"/>
      <c r="E15" s="830"/>
      <c r="F15" s="830"/>
      <c r="G15" s="830"/>
      <c r="H15" s="830"/>
      <c r="I15" s="830"/>
      <c r="J15" s="830"/>
      <c r="K15" s="830"/>
      <c r="L15" s="830"/>
      <c r="M15" s="830"/>
      <c r="N15" s="58"/>
      <c r="O15" s="58" t="s">
        <v>140</v>
      </c>
      <c r="P15" s="59" t="s">
        <v>117</v>
      </c>
      <c r="Q15" s="831"/>
      <c r="R15" s="831"/>
      <c r="S15" s="67" t="s">
        <v>143</v>
      </c>
      <c r="T15" s="324"/>
      <c r="U15" s="88"/>
      <c r="V15" s="88"/>
      <c r="W15" s="664">
        <f t="shared" si="1"/>
        <v>0</v>
      </c>
      <c r="X15" s="664"/>
      <c r="Y15" s="664"/>
      <c r="Z15" s="665"/>
      <c r="AB15" s="832">
        <v>0</v>
      </c>
      <c r="AC15" s="833"/>
      <c r="AD15" s="834"/>
      <c r="AF15" s="832">
        <f t="shared" si="0"/>
        <v>0</v>
      </c>
      <c r="AG15" s="833"/>
      <c r="AH15" s="834"/>
      <c r="AK15" s="325"/>
    </row>
    <row r="16" spans="2:77" s="51" customFormat="1" ht="16" customHeight="1" x14ac:dyDescent="0.15">
      <c r="C16" s="828">
        <v>283</v>
      </c>
      <c r="D16" s="829"/>
      <c r="E16" s="830"/>
      <c r="F16" s="830"/>
      <c r="G16" s="830"/>
      <c r="H16" s="830"/>
      <c r="I16" s="830"/>
      <c r="J16" s="830"/>
      <c r="K16" s="830"/>
      <c r="L16" s="830"/>
      <c r="M16" s="830"/>
      <c r="N16" s="58"/>
      <c r="O16" s="58" t="s">
        <v>140</v>
      </c>
      <c r="P16" s="59" t="s">
        <v>117</v>
      </c>
      <c r="Q16" s="831"/>
      <c r="R16" s="831"/>
      <c r="S16" s="67" t="s">
        <v>143</v>
      </c>
      <c r="T16" s="324"/>
      <c r="U16" s="88"/>
      <c r="V16" s="88"/>
      <c r="W16" s="664">
        <f t="shared" si="1"/>
        <v>0</v>
      </c>
      <c r="X16" s="664"/>
      <c r="Y16" s="664"/>
      <c r="Z16" s="665"/>
      <c r="AB16" s="832">
        <v>0</v>
      </c>
      <c r="AC16" s="833"/>
      <c r="AD16" s="834"/>
      <c r="AF16" s="832">
        <f t="shared" si="0"/>
        <v>0</v>
      </c>
      <c r="AG16" s="833"/>
      <c r="AH16" s="834"/>
      <c r="AK16" s="325"/>
    </row>
    <row r="17" spans="3:37" s="51" customFormat="1" ht="16" customHeight="1" x14ac:dyDescent="0.15">
      <c r="C17" s="828">
        <v>284</v>
      </c>
      <c r="D17" s="829"/>
      <c r="E17" s="830"/>
      <c r="F17" s="830"/>
      <c r="G17" s="830"/>
      <c r="H17" s="830"/>
      <c r="I17" s="830"/>
      <c r="J17" s="830"/>
      <c r="K17" s="830"/>
      <c r="L17" s="830"/>
      <c r="M17" s="830"/>
      <c r="N17" s="58"/>
      <c r="O17" s="58" t="s">
        <v>140</v>
      </c>
      <c r="P17" s="59" t="s">
        <v>117</v>
      </c>
      <c r="Q17" s="831"/>
      <c r="R17" s="831"/>
      <c r="S17" s="67" t="s">
        <v>143</v>
      </c>
      <c r="T17" s="324"/>
      <c r="U17" s="88"/>
      <c r="V17" s="88"/>
      <c r="W17" s="664">
        <f t="shared" si="1"/>
        <v>0</v>
      </c>
      <c r="X17" s="664"/>
      <c r="Y17" s="664"/>
      <c r="Z17" s="665"/>
      <c r="AB17" s="832">
        <v>0</v>
      </c>
      <c r="AC17" s="833"/>
      <c r="AD17" s="834"/>
      <c r="AF17" s="832">
        <f t="shared" si="0"/>
        <v>0</v>
      </c>
      <c r="AG17" s="833"/>
      <c r="AH17" s="834"/>
      <c r="AK17" s="325"/>
    </row>
    <row r="18" spans="3:37" s="51" customFormat="1" ht="16" customHeight="1" x14ac:dyDescent="0.15">
      <c r="C18" s="828">
        <v>285</v>
      </c>
      <c r="D18" s="829"/>
      <c r="E18" s="830"/>
      <c r="F18" s="830"/>
      <c r="G18" s="830"/>
      <c r="H18" s="830"/>
      <c r="I18" s="830"/>
      <c r="J18" s="830"/>
      <c r="K18" s="830"/>
      <c r="L18" s="830"/>
      <c r="M18" s="830"/>
      <c r="N18" s="58"/>
      <c r="O18" s="58" t="s">
        <v>140</v>
      </c>
      <c r="P18" s="59" t="s">
        <v>117</v>
      </c>
      <c r="Q18" s="831"/>
      <c r="R18" s="831"/>
      <c r="S18" s="67" t="s">
        <v>143</v>
      </c>
      <c r="T18" s="324"/>
      <c r="U18" s="88"/>
      <c r="V18" s="88"/>
      <c r="W18" s="664">
        <f t="shared" si="1"/>
        <v>0</v>
      </c>
      <c r="X18" s="664"/>
      <c r="Y18" s="664"/>
      <c r="Z18" s="665"/>
      <c r="AB18" s="832">
        <v>0</v>
      </c>
      <c r="AC18" s="833"/>
      <c r="AD18" s="834"/>
      <c r="AF18" s="832">
        <f t="shared" si="0"/>
        <v>0</v>
      </c>
      <c r="AG18" s="833"/>
      <c r="AH18" s="834"/>
      <c r="AK18" s="325"/>
    </row>
    <row r="19" spans="3:37" s="51" customFormat="1" ht="16" customHeight="1" x14ac:dyDescent="0.15">
      <c r="C19" s="828">
        <v>286</v>
      </c>
      <c r="D19" s="829"/>
      <c r="E19" s="830"/>
      <c r="F19" s="830"/>
      <c r="G19" s="830"/>
      <c r="H19" s="830"/>
      <c r="I19" s="830"/>
      <c r="J19" s="830"/>
      <c r="K19" s="830"/>
      <c r="L19" s="830"/>
      <c r="M19" s="830"/>
      <c r="N19" s="58"/>
      <c r="O19" s="58" t="s">
        <v>140</v>
      </c>
      <c r="P19" s="59" t="s">
        <v>117</v>
      </c>
      <c r="Q19" s="831"/>
      <c r="R19" s="831"/>
      <c r="S19" s="67" t="s">
        <v>143</v>
      </c>
      <c r="T19" s="324"/>
      <c r="U19" s="88"/>
      <c r="V19" s="88"/>
      <c r="W19" s="664">
        <f t="shared" si="1"/>
        <v>0</v>
      </c>
      <c r="X19" s="664"/>
      <c r="Y19" s="664"/>
      <c r="Z19" s="665"/>
      <c r="AB19" s="832">
        <v>0</v>
      </c>
      <c r="AC19" s="833"/>
      <c r="AD19" s="834"/>
      <c r="AF19" s="832">
        <f t="shared" si="0"/>
        <v>0</v>
      </c>
      <c r="AG19" s="833"/>
      <c r="AH19" s="834"/>
      <c r="AK19" s="325"/>
    </row>
    <row r="20" spans="3:37" s="51" customFormat="1" ht="16" customHeight="1" x14ac:dyDescent="0.15">
      <c r="C20" s="828">
        <v>287</v>
      </c>
      <c r="D20" s="829"/>
      <c r="E20" s="830"/>
      <c r="F20" s="830"/>
      <c r="G20" s="830"/>
      <c r="H20" s="830"/>
      <c r="I20" s="830"/>
      <c r="J20" s="830"/>
      <c r="K20" s="830"/>
      <c r="L20" s="830"/>
      <c r="M20" s="830"/>
      <c r="N20" s="58"/>
      <c r="O20" s="58" t="s">
        <v>140</v>
      </c>
      <c r="P20" s="59" t="s">
        <v>117</v>
      </c>
      <c r="Q20" s="831"/>
      <c r="R20" s="831"/>
      <c r="S20" s="67" t="s">
        <v>143</v>
      </c>
      <c r="T20" s="324"/>
      <c r="U20" s="88"/>
      <c r="V20" s="88"/>
      <c r="W20" s="664">
        <f t="shared" si="1"/>
        <v>0</v>
      </c>
      <c r="X20" s="664"/>
      <c r="Y20" s="664"/>
      <c r="Z20" s="665"/>
      <c r="AB20" s="832">
        <v>0</v>
      </c>
      <c r="AC20" s="833"/>
      <c r="AD20" s="834"/>
      <c r="AF20" s="832">
        <f t="shared" si="0"/>
        <v>0</v>
      </c>
      <c r="AG20" s="833"/>
      <c r="AH20" s="834"/>
      <c r="AK20" s="325"/>
    </row>
    <row r="21" spans="3:37" s="51" customFormat="1" ht="16" customHeight="1" x14ac:dyDescent="0.15">
      <c r="C21" s="828">
        <v>288</v>
      </c>
      <c r="D21" s="829"/>
      <c r="E21" s="830"/>
      <c r="F21" s="830"/>
      <c r="G21" s="830"/>
      <c r="H21" s="830"/>
      <c r="I21" s="830"/>
      <c r="J21" s="830"/>
      <c r="K21" s="830"/>
      <c r="L21" s="830"/>
      <c r="M21" s="830"/>
      <c r="N21" s="58"/>
      <c r="O21" s="58" t="s">
        <v>140</v>
      </c>
      <c r="P21" s="59" t="s">
        <v>117</v>
      </c>
      <c r="Q21" s="831"/>
      <c r="R21" s="831"/>
      <c r="S21" s="67" t="s">
        <v>143</v>
      </c>
      <c r="T21" s="324"/>
      <c r="U21" s="88"/>
      <c r="V21" s="88"/>
      <c r="W21" s="664">
        <f t="shared" si="1"/>
        <v>0</v>
      </c>
      <c r="X21" s="664"/>
      <c r="Y21" s="664"/>
      <c r="Z21" s="665"/>
      <c r="AB21" s="832">
        <v>0</v>
      </c>
      <c r="AC21" s="833"/>
      <c r="AD21" s="834"/>
      <c r="AF21" s="832">
        <f t="shared" si="0"/>
        <v>0</v>
      </c>
      <c r="AG21" s="833"/>
      <c r="AH21" s="834"/>
      <c r="AK21" s="325"/>
    </row>
    <row r="22" spans="3:37" s="51" customFormat="1" ht="16" customHeight="1" x14ac:dyDescent="0.15">
      <c r="C22" s="828">
        <v>289</v>
      </c>
      <c r="D22" s="829"/>
      <c r="E22" s="830"/>
      <c r="F22" s="830"/>
      <c r="G22" s="830"/>
      <c r="H22" s="830"/>
      <c r="I22" s="830"/>
      <c r="J22" s="830"/>
      <c r="K22" s="830"/>
      <c r="L22" s="830"/>
      <c r="M22" s="830"/>
      <c r="N22" s="58"/>
      <c r="O22" s="58" t="s">
        <v>140</v>
      </c>
      <c r="P22" s="59" t="s">
        <v>117</v>
      </c>
      <c r="Q22" s="831"/>
      <c r="R22" s="831"/>
      <c r="S22" s="67" t="s">
        <v>143</v>
      </c>
      <c r="T22" s="324"/>
      <c r="U22" s="88"/>
      <c r="V22" s="88"/>
      <c r="W22" s="664">
        <f t="shared" si="1"/>
        <v>0</v>
      </c>
      <c r="X22" s="664"/>
      <c r="Y22" s="664"/>
      <c r="Z22" s="665"/>
      <c r="AB22" s="832">
        <v>0</v>
      </c>
      <c r="AC22" s="833"/>
      <c r="AD22" s="834"/>
      <c r="AF22" s="832">
        <f t="shared" si="0"/>
        <v>0</v>
      </c>
      <c r="AG22" s="833"/>
      <c r="AH22" s="834"/>
      <c r="AK22" s="325"/>
    </row>
    <row r="23" spans="3:37" s="51" customFormat="1" ht="16" customHeight="1" x14ac:dyDescent="0.15">
      <c r="C23" s="828">
        <v>290</v>
      </c>
      <c r="D23" s="829"/>
      <c r="E23" s="830"/>
      <c r="F23" s="830"/>
      <c r="G23" s="830"/>
      <c r="H23" s="830"/>
      <c r="I23" s="830"/>
      <c r="J23" s="830"/>
      <c r="K23" s="830"/>
      <c r="L23" s="830"/>
      <c r="M23" s="830"/>
      <c r="N23" s="58"/>
      <c r="O23" s="58" t="s">
        <v>140</v>
      </c>
      <c r="P23" s="59" t="s">
        <v>117</v>
      </c>
      <c r="Q23" s="831"/>
      <c r="R23" s="831"/>
      <c r="S23" s="67" t="s">
        <v>143</v>
      </c>
      <c r="T23" s="324"/>
      <c r="U23" s="88"/>
      <c r="V23" s="88"/>
      <c r="W23" s="664">
        <f t="shared" si="1"/>
        <v>0</v>
      </c>
      <c r="X23" s="664"/>
      <c r="Y23" s="664"/>
      <c r="Z23" s="665"/>
      <c r="AB23" s="832">
        <v>0</v>
      </c>
      <c r="AC23" s="833"/>
      <c r="AD23" s="834"/>
      <c r="AF23" s="832">
        <f t="shared" si="0"/>
        <v>0</v>
      </c>
      <c r="AG23" s="833"/>
      <c r="AH23" s="834"/>
      <c r="AK23" s="325"/>
    </row>
    <row r="24" spans="3:37" s="51" customFormat="1" ht="16" customHeight="1" x14ac:dyDescent="0.15">
      <c r="C24" s="828">
        <v>291</v>
      </c>
      <c r="D24" s="829"/>
      <c r="E24" s="830"/>
      <c r="F24" s="830"/>
      <c r="G24" s="830"/>
      <c r="H24" s="830"/>
      <c r="I24" s="830"/>
      <c r="J24" s="830"/>
      <c r="K24" s="830"/>
      <c r="L24" s="830"/>
      <c r="M24" s="830"/>
      <c r="N24" s="58"/>
      <c r="O24" s="58" t="s">
        <v>140</v>
      </c>
      <c r="P24" s="59" t="s">
        <v>117</v>
      </c>
      <c r="Q24" s="831"/>
      <c r="R24" s="831"/>
      <c r="S24" s="67" t="s">
        <v>143</v>
      </c>
      <c r="T24" s="324"/>
      <c r="U24" s="88"/>
      <c r="V24" s="88"/>
      <c r="W24" s="664">
        <f t="shared" si="1"/>
        <v>0</v>
      </c>
      <c r="X24" s="664"/>
      <c r="Y24" s="664"/>
      <c r="Z24" s="665"/>
      <c r="AB24" s="832">
        <v>0</v>
      </c>
      <c r="AC24" s="833"/>
      <c r="AD24" s="834"/>
      <c r="AF24" s="832">
        <f t="shared" si="0"/>
        <v>0</v>
      </c>
      <c r="AG24" s="833"/>
      <c r="AH24" s="834"/>
      <c r="AK24" s="325"/>
    </row>
    <row r="25" spans="3:37" s="51" customFormat="1" ht="16" customHeight="1" x14ac:dyDescent="0.15">
      <c r="C25" s="828">
        <v>292</v>
      </c>
      <c r="D25" s="829"/>
      <c r="E25" s="830"/>
      <c r="F25" s="830"/>
      <c r="G25" s="830"/>
      <c r="H25" s="830"/>
      <c r="I25" s="830"/>
      <c r="J25" s="830"/>
      <c r="K25" s="830"/>
      <c r="L25" s="830"/>
      <c r="M25" s="830"/>
      <c r="N25" s="58"/>
      <c r="O25" s="58" t="s">
        <v>140</v>
      </c>
      <c r="P25" s="59" t="s">
        <v>117</v>
      </c>
      <c r="Q25" s="831"/>
      <c r="R25" s="831"/>
      <c r="S25" s="67" t="s">
        <v>143</v>
      </c>
      <c r="T25" s="324"/>
      <c r="U25" s="88"/>
      <c r="V25" s="88"/>
      <c r="W25" s="664">
        <f t="shared" si="1"/>
        <v>0</v>
      </c>
      <c r="X25" s="664"/>
      <c r="Y25" s="664"/>
      <c r="Z25" s="665"/>
      <c r="AB25" s="832">
        <v>0</v>
      </c>
      <c r="AC25" s="833"/>
      <c r="AD25" s="834"/>
      <c r="AF25" s="832">
        <f t="shared" si="0"/>
        <v>0</v>
      </c>
      <c r="AG25" s="833"/>
      <c r="AH25" s="834"/>
      <c r="AK25" s="325"/>
    </row>
    <row r="26" spans="3:37" s="51" customFormat="1" ht="16" customHeight="1" x14ac:dyDescent="0.15">
      <c r="C26" s="828">
        <v>293</v>
      </c>
      <c r="D26" s="829"/>
      <c r="E26" s="830"/>
      <c r="F26" s="830"/>
      <c r="G26" s="830"/>
      <c r="H26" s="830"/>
      <c r="I26" s="830"/>
      <c r="J26" s="830"/>
      <c r="K26" s="830"/>
      <c r="L26" s="830"/>
      <c r="M26" s="830"/>
      <c r="N26" s="58"/>
      <c r="O26" s="58" t="s">
        <v>140</v>
      </c>
      <c r="P26" s="59" t="s">
        <v>117</v>
      </c>
      <c r="Q26" s="831"/>
      <c r="R26" s="831"/>
      <c r="S26" s="67" t="s">
        <v>143</v>
      </c>
      <c r="T26" s="324"/>
      <c r="U26" s="88"/>
      <c r="V26" s="88"/>
      <c r="W26" s="664">
        <f t="shared" si="1"/>
        <v>0</v>
      </c>
      <c r="X26" s="664"/>
      <c r="Y26" s="664"/>
      <c r="Z26" s="665"/>
      <c r="AB26" s="832">
        <v>0</v>
      </c>
      <c r="AC26" s="833"/>
      <c r="AD26" s="834"/>
      <c r="AF26" s="832">
        <f t="shared" si="0"/>
        <v>0</v>
      </c>
      <c r="AG26" s="833"/>
      <c r="AH26" s="834"/>
      <c r="AK26" s="325"/>
    </row>
    <row r="27" spans="3:37" s="51" customFormat="1" ht="16" customHeight="1" x14ac:dyDescent="0.15">
      <c r="C27" s="828">
        <v>294</v>
      </c>
      <c r="D27" s="829"/>
      <c r="E27" s="830"/>
      <c r="F27" s="830"/>
      <c r="G27" s="830"/>
      <c r="H27" s="830"/>
      <c r="I27" s="830"/>
      <c r="J27" s="830"/>
      <c r="K27" s="830"/>
      <c r="L27" s="830"/>
      <c r="M27" s="830"/>
      <c r="N27" s="58"/>
      <c r="O27" s="58" t="s">
        <v>140</v>
      </c>
      <c r="P27" s="59" t="s">
        <v>117</v>
      </c>
      <c r="Q27" s="831"/>
      <c r="R27" s="831"/>
      <c r="S27" s="67" t="s">
        <v>143</v>
      </c>
      <c r="T27" s="324"/>
      <c r="U27" s="88"/>
      <c r="V27" s="88"/>
      <c r="W27" s="664">
        <f t="shared" si="1"/>
        <v>0</v>
      </c>
      <c r="X27" s="664"/>
      <c r="Y27" s="664"/>
      <c r="Z27" s="665"/>
      <c r="AB27" s="832">
        <v>0</v>
      </c>
      <c r="AC27" s="833"/>
      <c r="AD27" s="834"/>
      <c r="AF27" s="832">
        <f t="shared" si="0"/>
        <v>0</v>
      </c>
      <c r="AG27" s="833"/>
      <c r="AH27" s="834"/>
      <c r="AK27" s="325"/>
    </row>
    <row r="28" spans="3:37" s="51" customFormat="1" ht="16" customHeight="1" x14ac:dyDescent="0.15">
      <c r="C28" s="828">
        <v>295</v>
      </c>
      <c r="D28" s="829"/>
      <c r="E28" s="830"/>
      <c r="F28" s="830"/>
      <c r="G28" s="830"/>
      <c r="H28" s="830"/>
      <c r="I28" s="830"/>
      <c r="J28" s="830"/>
      <c r="K28" s="830"/>
      <c r="L28" s="830"/>
      <c r="M28" s="830"/>
      <c r="N28" s="58"/>
      <c r="O28" s="58" t="s">
        <v>140</v>
      </c>
      <c r="P28" s="59" t="s">
        <v>117</v>
      </c>
      <c r="Q28" s="831"/>
      <c r="R28" s="831"/>
      <c r="S28" s="67" t="s">
        <v>143</v>
      </c>
      <c r="T28" s="324"/>
      <c r="U28" s="88"/>
      <c r="V28" s="88"/>
      <c r="W28" s="664">
        <f t="shared" si="1"/>
        <v>0</v>
      </c>
      <c r="X28" s="664"/>
      <c r="Y28" s="664"/>
      <c r="Z28" s="665"/>
      <c r="AB28" s="832">
        <v>0</v>
      </c>
      <c r="AC28" s="833"/>
      <c r="AD28" s="834"/>
      <c r="AF28" s="832">
        <f t="shared" si="0"/>
        <v>0</v>
      </c>
      <c r="AG28" s="833"/>
      <c r="AH28" s="834"/>
      <c r="AK28" s="325"/>
    </row>
    <row r="29" spans="3:37" s="51" customFormat="1" ht="16" customHeight="1" x14ac:dyDescent="0.15">
      <c r="C29" s="828">
        <v>296</v>
      </c>
      <c r="D29" s="829"/>
      <c r="E29" s="830"/>
      <c r="F29" s="830"/>
      <c r="G29" s="830"/>
      <c r="H29" s="830"/>
      <c r="I29" s="830"/>
      <c r="J29" s="830"/>
      <c r="K29" s="830"/>
      <c r="L29" s="830"/>
      <c r="M29" s="830"/>
      <c r="N29" s="58"/>
      <c r="O29" s="58" t="s">
        <v>140</v>
      </c>
      <c r="P29" s="59" t="s">
        <v>117</v>
      </c>
      <c r="Q29" s="831"/>
      <c r="R29" s="831"/>
      <c r="S29" s="67" t="s">
        <v>143</v>
      </c>
      <c r="T29" s="324"/>
      <c r="U29" s="88"/>
      <c r="V29" s="88"/>
      <c r="W29" s="664">
        <f t="shared" si="1"/>
        <v>0</v>
      </c>
      <c r="X29" s="664"/>
      <c r="Y29" s="664"/>
      <c r="Z29" s="665"/>
      <c r="AB29" s="832">
        <v>0</v>
      </c>
      <c r="AC29" s="833"/>
      <c r="AD29" s="834"/>
      <c r="AF29" s="832">
        <f t="shared" si="0"/>
        <v>0</v>
      </c>
      <c r="AG29" s="833"/>
      <c r="AH29" s="834"/>
      <c r="AK29" s="325"/>
    </row>
    <row r="30" spans="3:37" s="51" customFormat="1" ht="16" customHeight="1" x14ac:dyDescent="0.15">
      <c r="C30" s="828">
        <v>297</v>
      </c>
      <c r="D30" s="829"/>
      <c r="E30" s="830"/>
      <c r="F30" s="830"/>
      <c r="G30" s="830"/>
      <c r="H30" s="830"/>
      <c r="I30" s="830"/>
      <c r="J30" s="830"/>
      <c r="K30" s="830"/>
      <c r="L30" s="830"/>
      <c r="M30" s="830"/>
      <c r="N30" s="58"/>
      <c r="O30" s="58" t="s">
        <v>140</v>
      </c>
      <c r="P30" s="59" t="s">
        <v>117</v>
      </c>
      <c r="Q30" s="831"/>
      <c r="R30" s="831"/>
      <c r="S30" s="67" t="s">
        <v>143</v>
      </c>
      <c r="T30" s="324"/>
      <c r="U30" s="88"/>
      <c r="V30" s="88"/>
      <c r="W30" s="664">
        <f t="shared" si="1"/>
        <v>0</v>
      </c>
      <c r="X30" s="664"/>
      <c r="Y30" s="664"/>
      <c r="Z30" s="665"/>
      <c r="AB30" s="832">
        <v>0</v>
      </c>
      <c r="AC30" s="833"/>
      <c r="AD30" s="834"/>
      <c r="AF30" s="832">
        <f t="shared" si="0"/>
        <v>0</v>
      </c>
      <c r="AG30" s="833"/>
      <c r="AH30" s="834"/>
      <c r="AK30" s="325"/>
    </row>
    <row r="31" spans="3:37" s="51" customFormat="1" ht="16" customHeight="1" x14ac:dyDescent="0.15">
      <c r="C31" s="828">
        <v>298</v>
      </c>
      <c r="D31" s="829"/>
      <c r="E31" s="830"/>
      <c r="F31" s="830"/>
      <c r="G31" s="830"/>
      <c r="H31" s="830"/>
      <c r="I31" s="830"/>
      <c r="J31" s="830"/>
      <c r="K31" s="830"/>
      <c r="L31" s="830"/>
      <c r="M31" s="830"/>
      <c r="N31" s="58"/>
      <c r="O31" s="58" t="s">
        <v>140</v>
      </c>
      <c r="P31" s="59" t="s">
        <v>117</v>
      </c>
      <c r="Q31" s="831"/>
      <c r="R31" s="831"/>
      <c r="S31" s="67" t="s">
        <v>143</v>
      </c>
      <c r="T31" s="324"/>
      <c r="U31" s="88"/>
      <c r="V31" s="88"/>
      <c r="W31" s="664">
        <f t="shared" si="1"/>
        <v>0</v>
      </c>
      <c r="X31" s="664"/>
      <c r="Y31" s="664"/>
      <c r="Z31" s="665"/>
      <c r="AB31" s="832">
        <v>0</v>
      </c>
      <c r="AC31" s="833"/>
      <c r="AD31" s="834"/>
      <c r="AF31" s="832">
        <f t="shared" si="0"/>
        <v>0</v>
      </c>
      <c r="AG31" s="833"/>
      <c r="AH31" s="834"/>
      <c r="AK31" s="325"/>
    </row>
    <row r="32" spans="3:37" s="51" customFormat="1" ht="16" customHeight="1" x14ac:dyDescent="0.15">
      <c r="C32" s="828">
        <v>299</v>
      </c>
      <c r="D32" s="829"/>
      <c r="E32" s="830"/>
      <c r="F32" s="830"/>
      <c r="G32" s="830"/>
      <c r="H32" s="830"/>
      <c r="I32" s="830"/>
      <c r="J32" s="830"/>
      <c r="K32" s="830"/>
      <c r="L32" s="830"/>
      <c r="M32" s="830"/>
      <c r="N32" s="58"/>
      <c r="O32" s="58" t="s">
        <v>140</v>
      </c>
      <c r="P32" s="59" t="s">
        <v>117</v>
      </c>
      <c r="Q32" s="831"/>
      <c r="R32" s="831"/>
      <c r="S32" s="67" t="s">
        <v>143</v>
      </c>
      <c r="T32" s="324"/>
      <c r="U32" s="88"/>
      <c r="V32" s="88"/>
      <c r="W32" s="664">
        <f t="shared" si="1"/>
        <v>0</v>
      </c>
      <c r="X32" s="664"/>
      <c r="Y32" s="664"/>
      <c r="Z32" s="665"/>
      <c r="AB32" s="832">
        <v>0</v>
      </c>
      <c r="AC32" s="833"/>
      <c r="AD32" s="834"/>
      <c r="AF32" s="832">
        <f t="shared" si="0"/>
        <v>0</v>
      </c>
      <c r="AG32" s="833"/>
      <c r="AH32" s="834"/>
      <c r="AK32" s="325"/>
    </row>
    <row r="33" spans="3:37" s="51" customFormat="1" ht="16" customHeight="1" x14ac:dyDescent="0.15">
      <c r="C33" s="828">
        <v>300</v>
      </c>
      <c r="D33" s="829"/>
      <c r="E33" s="830"/>
      <c r="F33" s="830"/>
      <c r="G33" s="830"/>
      <c r="H33" s="830"/>
      <c r="I33" s="830"/>
      <c r="J33" s="830"/>
      <c r="K33" s="830"/>
      <c r="L33" s="830"/>
      <c r="M33" s="830"/>
      <c r="N33" s="58"/>
      <c r="O33" s="58" t="s">
        <v>140</v>
      </c>
      <c r="P33" s="59" t="s">
        <v>117</v>
      </c>
      <c r="Q33" s="831"/>
      <c r="R33" s="831"/>
      <c r="S33" s="67" t="s">
        <v>143</v>
      </c>
      <c r="T33" s="324"/>
      <c r="U33" s="88"/>
      <c r="V33" s="88"/>
      <c r="W33" s="664">
        <f t="shared" si="1"/>
        <v>0</v>
      </c>
      <c r="X33" s="664"/>
      <c r="Y33" s="664"/>
      <c r="Z33" s="665"/>
      <c r="AB33" s="832">
        <v>0</v>
      </c>
      <c r="AC33" s="833"/>
      <c r="AD33" s="834"/>
      <c r="AF33" s="832">
        <f t="shared" si="0"/>
        <v>0</v>
      </c>
      <c r="AG33" s="833"/>
      <c r="AH33" s="834"/>
      <c r="AK33" s="325"/>
    </row>
    <row r="34" spans="3:37" s="51" customFormat="1" ht="16" customHeight="1" x14ac:dyDescent="0.15">
      <c r="C34" s="828">
        <v>301</v>
      </c>
      <c r="D34" s="829"/>
      <c r="E34" s="830"/>
      <c r="F34" s="830"/>
      <c r="G34" s="830"/>
      <c r="H34" s="830"/>
      <c r="I34" s="830"/>
      <c r="J34" s="830"/>
      <c r="K34" s="830"/>
      <c r="L34" s="830"/>
      <c r="M34" s="830"/>
      <c r="N34" s="58"/>
      <c r="O34" s="58" t="s">
        <v>140</v>
      </c>
      <c r="P34" s="59" t="s">
        <v>117</v>
      </c>
      <c r="Q34" s="831"/>
      <c r="R34" s="831"/>
      <c r="S34" s="67" t="s">
        <v>143</v>
      </c>
      <c r="T34" s="324"/>
      <c r="U34" s="88"/>
      <c r="V34" s="88"/>
      <c r="W34" s="664">
        <f t="shared" si="1"/>
        <v>0</v>
      </c>
      <c r="X34" s="664"/>
      <c r="Y34" s="664"/>
      <c r="Z34" s="665"/>
      <c r="AB34" s="832">
        <v>0</v>
      </c>
      <c r="AC34" s="833"/>
      <c r="AD34" s="834"/>
      <c r="AF34" s="832">
        <f t="shared" si="0"/>
        <v>0</v>
      </c>
      <c r="AG34" s="833"/>
      <c r="AH34" s="834"/>
      <c r="AK34" s="325"/>
    </row>
    <row r="35" spans="3:37" s="51" customFormat="1" ht="16" customHeight="1" x14ac:dyDescent="0.15">
      <c r="C35" s="828">
        <v>302</v>
      </c>
      <c r="D35" s="829"/>
      <c r="E35" s="830"/>
      <c r="F35" s="830"/>
      <c r="G35" s="830"/>
      <c r="H35" s="830"/>
      <c r="I35" s="830"/>
      <c r="J35" s="830"/>
      <c r="K35" s="830"/>
      <c r="L35" s="830"/>
      <c r="M35" s="830"/>
      <c r="N35" s="58"/>
      <c r="O35" s="58" t="s">
        <v>140</v>
      </c>
      <c r="P35" s="59" t="s">
        <v>117</v>
      </c>
      <c r="Q35" s="831"/>
      <c r="R35" s="831"/>
      <c r="S35" s="67" t="s">
        <v>143</v>
      </c>
      <c r="T35" s="324"/>
      <c r="U35" s="88"/>
      <c r="V35" s="88"/>
      <c r="W35" s="664">
        <f t="shared" si="1"/>
        <v>0</v>
      </c>
      <c r="X35" s="664"/>
      <c r="Y35" s="664"/>
      <c r="Z35" s="665"/>
      <c r="AB35" s="832">
        <v>0</v>
      </c>
      <c r="AC35" s="833"/>
      <c r="AD35" s="834"/>
      <c r="AF35" s="832">
        <f t="shared" si="0"/>
        <v>0</v>
      </c>
      <c r="AG35" s="833"/>
      <c r="AH35" s="834"/>
      <c r="AK35" s="325"/>
    </row>
    <row r="36" spans="3:37" s="51" customFormat="1" ht="16" customHeight="1" x14ac:dyDescent="0.15">
      <c r="C36" s="828">
        <v>303</v>
      </c>
      <c r="D36" s="829"/>
      <c r="E36" s="830"/>
      <c r="F36" s="830"/>
      <c r="G36" s="830"/>
      <c r="H36" s="830"/>
      <c r="I36" s="830"/>
      <c r="J36" s="830"/>
      <c r="K36" s="830"/>
      <c r="L36" s="830"/>
      <c r="M36" s="830"/>
      <c r="N36" s="58"/>
      <c r="O36" s="58" t="s">
        <v>140</v>
      </c>
      <c r="P36" s="59" t="s">
        <v>117</v>
      </c>
      <c r="Q36" s="831"/>
      <c r="R36" s="831"/>
      <c r="S36" s="67" t="s">
        <v>143</v>
      </c>
      <c r="T36" s="324"/>
      <c r="U36" s="88"/>
      <c r="V36" s="88"/>
      <c r="W36" s="664">
        <f t="shared" si="1"/>
        <v>0</v>
      </c>
      <c r="X36" s="664"/>
      <c r="Y36" s="664"/>
      <c r="Z36" s="665"/>
      <c r="AB36" s="832">
        <v>0</v>
      </c>
      <c r="AC36" s="833"/>
      <c r="AD36" s="834"/>
      <c r="AF36" s="832">
        <f t="shared" si="0"/>
        <v>0</v>
      </c>
      <c r="AG36" s="833"/>
      <c r="AH36" s="834"/>
      <c r="AK36" s="325"/>
    </row>
    <row r="37" spans="3:37" s="51" customFormat="1" ht="16" customHeight="1" x14ac:dyDescent="0.15">
      <c r="C37" s="828">
        <v>304</v>
      </c>
      <c r="D37" s="829"/>
      <c r="E37" s="830"/>
      <c r="F37" s="830"/>
      <c r="G37" s="830"/>
      <c r="H37" s="830"/>
      <c r="I37" s="830"/>
      <c r="J37" s="830"/>
      <c r="K37" s="830"/>
      <c r="L37" s="830"/>
      <c r="M37" s="830"/>
      <c r="N37" s="58"/>
      <c r="O37" s="58" t="s">
        <v>140</v>
      </c>
      <c r="P37" s="59" t="s">
        <v>117</v>
      </c>
      <c r="Q37" s="831"/>
      <c r="R37" s="831"/>
      <c r="S37" s="67" t="s">
        <v>143</v>
      </c>
      <c r="T37" s="324"/>
      <c r="U37" s="88"/>
      <c r="V37" s="88"/>
      <c r="W37" s="664">
        <f t="shared" si="1"/>
        <v>0</v>
      </c>
      <c r="X37" s="664"/>
      <c r="Y37" s="664"/>
      <c r="Z37" s="665"/>
      <c r="AB37" s="832">
        <v>0</v>
      </c>
      <c r="AC37" s="833"/>
      <c r="AD37" s="834"/>
      <c r="AF37" s="832">
        <f t="shared" si="0"/>
        <v>0</v>
      </c>
      <c r="AG37" s="833"/>
      <c r="AH37" s="834"/>
      <c r="AK37" s="325"/>
    </row>
    <row r="38" spans="3:37" s="51" customFormat="1" ht="16" customHeight="1" x14ac:dyDescent="0.15">
      <c r="C38" s="828">
        <v>305</v>
      </c>
      <c r="D38" s="829"/>
      <c r="E38" s="830"/>
      <c r="F38" s="830"/>
      <c r="G38" s="830"/>
      <c r="H38" s="830"/>
      <c r="I38" s="830"/>
      <c r="J38" s="830"/>
      <c r="K38" s="830"/>
      <c r="L38" s="830"/>
      <c r="M38" s="830"/>
      <c r="N38" s="58"/>
      <c r="O38" s="58" t="s">
        <v>140</v>
      </c>
      <c r="P38" s="59" t="s">
        <v>117</v>
      </c>
      <c r="Q38" s="831"/>
      <c r="R38" s="831"/>
      <c r="S38" s="67" t="s">
        <v>143</v>
      </c>
      <c r="T38" s="324"/>
      <c r="U38" s="88"/>
      <c r="V38" s="88"/>
      <c r="W38" s="664">
        <f t="shared" si="1"/>
        <v>0</v>
      </c>
      <c r="X38" s="664"/>
      <c r="Y38" s="664"/>
      <c r="Z38" s="665"/>
      <c r="AB38" s="832">
        <v>0</v>
      </c>
      <c r="AC38" s="833"/>
      <c r="AD38" s="834"/>
      <c r="AF38" s="832">
        <f t="shared" si="0"/>
        <v>0</v>
      </c>
      <c r="AG38" s="833"/>
      <c r="AH38" s="834"/>
      <c r="AK38" s="325"/>
    </row>
    <row r="39" spans="3:37" s="51" customFormat="1" ht="16" customHeight="1" x14ac:dyDescent="0.15">
      <c r="C39" s="828">
        <v>306</v>
      </c>
      <c r="D39" s="829"/>
      <c r="E39" s="830"/>
      <c r="F39" s="830"/>
      <c r="G39" s="830"/>
      <c r="H39" s="830"/>
      <c r="I39" s="830"/>
      <c r="J39" s="830"/>
      <c r="K39" s="830"/>
      <c r="L39" s="830"/>
      <c r="M39" s="830"/>
      <c r="N39" s="58"/>
      <c r="O39" s="58" t="s">
        <v>140</v>
      </c>
      <c r="P39" s="59" t="s">
        <v>117</v>
      </c>
      <c r="Q39" s="831"/>
      <c r="R39" s="831"/>
      <c r="S39" s="67" t="s">
        <v>143</v>
      </c>
      <c r="T39" s="324"/>
      <c r="U39" s="88"/>
      <c r="V39" s="88"/>
      <c r="W39" s="664">
        <f t="shared" si="1"/>
        <v>0</v>
      </c>
      <c r="X39" s="664"/>
      <c r="Y39" s="664"/>
      <c r="Z39" s="665"/>
      <c r="AB39" s="832">
        <v>0</v>
      </c>
      <c r="AC39" s="833"/>
      <c r="AD39" s="834"/>
      <c r="AF39" s="832">
        <f t="shared" si="0"/>
        <v>0</v>
      </c>
      <c r="AG39" s="833"/>
      <c r="AH39" s="834"/>
      <c r="AK39" s="325"/>
    </row>
    <row r="40" spans="3:37" s="51" customFormat="1" ht="16" customHeight="1" x14ac:dyDescent="0.15">
      <c r="C40" s="828">
        <v>307</v>
      </c>
      <c r="D40" s="829"/>
      <c r="E40" s="830"/>
      <c r="F40" s="830"/>
      <c r="G40" s="830"/>
      <c r="H40" s="830"/>
      <c r="I40" s="830"/>
      <c r="J40" s="830"/>
      <c r="K40" s="830"/>
      <c r="L40" s="830"/>
      <c r="M40" s="830"/>
      <c r="N40" s="58"/>
      <c r="O40" s="58" t="s">
        <v>140</v>
      </c>
      <c r="P40" s="59" t="s">
        <v>117</v>
      </c>
      <c r="Q40" s="831"/>
      <c r="R40" s="831"/>
      <c r="S40" s="67" t="s">
        <v>143</v>
      </c>
      <c r="T40" s="324"/>
      <c r="U40" s="88"/>
      <c r="V40" s="88"/>
      <c r="W40" s="664">
        <f t="shared" ref="W40:W52" si="2">N40*Q40*(IF(ISNUMBER(T40),T40,IF(ISNUMBER(N40),1,0)))</f>
        <v>0</v>
      </c>
      <c r="X40" s="664"/>
      <c r="Y40" s="664"/>
      <c r="Z40" s="665"/>
      <c r="AB40" s="832">
        <v>0</v>
      </c>
      <c r="AC40" s="833"/>
      <c r="AD40" s="834"/>
      <c r="AF40" s="832">
        <f t="shared" si="0"/>
        <v>0</v>
      </c>
      <c r="AG40" s="833"/>
      <c r="AH40" s="834"/>
      <c r="AK40" s="325"/>
    </row>
    <row r="41" spans="3:37" s="51" customFormat="1" ht="16" customHeight="1" x14ac:dyDescent="0.15">
      <c r="C41" s="828">
        <v>308</v>
      </c>
      <c r="D41" s="829"/>
      <c r="E41" s="830"/>
      <c r="F41" s="830"/>
      <c r="G41" s="830"/>
      <c r="H41" s="830"/>
      <c r="I41" s="830"/>
      <c r="J41" s="830"/>
      <c r="K41" s="830"/>
      <c r="L41" s="830"/>
      <c r="M41" s="830"/>
      <c r="N41" s="58"/>
      <c r="O41" s="58" t="s">
        <v>140</v>
      </c>
      <c r="P41" s="59" t="s">
        <v>117</v>
      </c>
      <c r="Q41" s="831"/>
      <c r="R41" s="831"/>
      <c r="S41" s="67" t="s">
        <v>143</v>
      </c>
      <c r="T41" s="324"/>
      <c r="U41" s="88"/>
      <c r="V41" s="88"/>
      <c r="W41" s="664">
        <f t="shared" si="2"/>
        <v>0</v>
      </c>
      <c r="X41" s="664"/>
      <c r="Y41" s="664"/>
      <c r="Z41" s="665"/>
      <c r="AB41" s="832">
        <v>0</v>
      </c>
      <c r="AC41" s="833"/>
      <c r="AD41" s="834"/>
      <c r="AF41" s="832">
        <f t="shared" si="0"/>
        <v>0</v>
      </c>
      <c r="AG41" s="833"/>
      <c r="AH41" s="834"/>
      <c r="AK41" s="325"/>
    </row>
    <row r="42" spans="3:37" s="51" customFormat="1" ht="16" customHeight="1" x14ac:dyDescent="0.15">
      <c r="C42" s="828">
        <v>309</v>
      </c>
      <c r="D42" s="829"/>
      <c r="E42" s="830"/>
      <c r="F42" s="830"/>
      <c r="G42" s="830"/>
      <c r="H42" s="830"/>
      <c r="I42" s="830"/>
      <c r="J42" s="830"/>
      <c r="K42" s="830"/>
      <c r="L42" s="830"/>
      <c r="M42" s="830"/>
      <c r="N42" s="58"/>
      <c r="O42" s="58" t="s">
        <v>140</v>
      </c>
      <c r="P42" s="59" t="s">
        <v>117</v>
      </c>
      <c r="Q42" s="831"/>
      <c r="R42" s="831"/>
      <c r="S42" s="67" t="s">
        <v>143</v>
      </c>
      <c r="T42" s="324"/>
      <c r="U42" s="74"/>
      <c r="V42" s="74"/>
      <c r="W42" s="664">
        <f t="shared" si="2"/>
        <v>0</v>
      </c>
      <c r="X42" s="664"/>
      <c r="Y42" s="664"/>
      <c r="Z42" s="665"/>
      <c r="AB42" s="832">
        <v>0</v>
      </c>
      <c r="AC42" s="833"/>
      <c r="AD42" s="834"/>
      <c r="AF42" s="832">
        <f t="shared" si="0"/>
        <v>0</v>
      </c>
      <c r="AG42" s="833"/>
      <c r="AH42" s="834"/>
      <c r="AK42" s="325"/>
    </row>
    <row r="43" spans="3:37" s="51" customFormat="1" ht="16" customHeight="1" x14ac:dyDescent="0.15">
      <c r="C43" s="828">
        <v>310</v>
      </c>
      <c r="D43" s="829"/>
      <c r="E43" s="830"/>
      <c r="F43" s="830"/>
      <c r="G43" s="830"/>
      <c r="H43" s="830"/>
      <c r="I43" s="830"/>
      <c r="J43" s="830"/>
      <c r="K43" s="830"/>
      <c r="L43" s="830"/>
      <c r="M43" s="830"/>
      <c r="N43" s="58"/>
      <c r="O43" s="58" t="s">
        <v>140</v>
      </c>
      <c r="P43" s="59" t="s">
        <v>117</v>
      </c>
      <c r="Q43" s="831"/>
      <c r="R43" s="831"/>
      <c r="S43" s="67" t="s">
        <v>143</v>
      </c>
      <c r="T43" s="324"/>
      <c r="U43" s="74"/>
      <c r="V43" s="74"/>
      <c r="W43" s="664">
        <f t="shared" si="2"/>
        <v>0</v>
      </c>
      <c r="X43" s="664"/>
      <c r="Y43" s="664"/>
      <c r="Z43" s="665"/>
      <c r="AB43" s="832">
        <v>0</v>
      </c>
      <c r="AC43" s="833"/>
      <c r="AD43" s="834"/>
      <c r="AF43" s="832">
        <f t="shared" si="0"/>
        <v>0</v>
      </c>
      <c r="AG43" s="833"/>
      <c r="AH43" s="834"/>
      <c r="AK43" s="325"/>
    </row>
    <row r="44" spans="3:37" s="51" customFormat="1" ht="16" customHeight="1" x14ac:dyDescent="0.15">
      <c r="C44" s="828">
        <v>311</v>
      </c>
      <c r="D44" s="829"/>
      <c r="E44" s="830"/>
      <c r="F44" s="830"/>
      <c r="G44" s="830"/>
      <c r="H44" s="830"/>
      <c r="I44" s="830"/>
      <c r="J44" s="830"/>
      <c r="K44" s="830"/>
      <c r="L44" s="830"/>
      <c r="M44" s="830"/>
      <c r="N44" s="58"/>
      <c r="O44" s="58" t="s">
        <v>140</v>
      </c>
      <c r="P44" s="59" t="s">
        <v>117</v>
      </c>
      <c r="Q44" s="831"/>
      <c r="R44" s="831"/>
      <c r="S44" s="67" t="s">
        <v>143</v>
      </c>
      <c r="T44" s="324"/>
      <c r="U44" s="74"/>
      <c r="V44" s="74"/>
      <c r="W44" s="664">
        <f t="shared" si="2"/>
        <v>0</v>
      </c>
      <c r="X44" s="664"/>
      <c r="Y44" s="664"/>
      <c r="Z44" s="665"/>
      <c r="AB44" s="832">
        <v>0</v>
      </c>
      <c r="AC44" s="833"/>
      <c r="AD44" s="834"/>
      <c r="AF44" s="832">
        <f t="shared" si="0"/>
        <v>0</v>
      </c>
      <c r="AG44" s="833"/>
      <c r="AH44" s="834"/>
      <c r="AK44" s="325"/>
    </row>
    <row r="45" spans="3:37" s="51" customFormat="1" ht="16" customHeight="1" x14ac:dyDescent="0.15">
      <c r="C45" s="828">
        <v>312</v>
      </c>
      <c r="D45" s="829"/>
      <c r="E45" s="830"/>
      <c r="F45" s="830"/>
      <c r="G45" s="830"/>
      <c r="H45" s="830"/>
      <c r="I45" s="830"/>
      <c r="J45" s="830"/>
      <c r="K45" s="830"/>
      <c r="L45" s="830"/>
      <c r="M45" s="830"/>
      <c r="N45" s="58"/>
      <c r="O45" s="58" t="s">
        <v>140</v>
      </c>
      <c r="P45" s="59" t="s">
        <v>117</v>
      </c>
      <c r="Q45" s="831"/>
      <c r="R45" s="831"/>
      <c r="S45" s="67" t="s">
        <v>143</v>
      </c>
      <c r="T45" s="324"/>
      <c r="U45" s="74"/>
      <c r="V45" s="74"/>
      <c r="W45" s="664">
        <f t="shared" si="2"/>
        <v>0</v>
      </c>
      <c r="X45" s="664"/>
      <c r="Y45" s="664"/>
      <c r="Z45" s="665"/>
      <c r="AB45" s="832">
        <v>0</v>
      </c>
      <c r="AC45" s="833"/>
      <c r="AD45" s="834"/>
      <c r="AF45" s="832">
        <f t="shared" si="0"/>
        <v>0</v>
      </c>
      <c r="AG45" s="833"/>
      <c r="AH45" s="834"/>
      <c r="AK45" s="325"/>
    </row>
    <row r="46" spans="3:37" s="51" customFormat="1" ht="16" customHeight="1" x14ac:dyDescent="0.15">
      <c r="C46" s="828">
        <v>313</v>
      </c>
      <c r="D46" s="829"/>
      <c r="E46" s="830"/>
      <c r="F46" s="830"/>
      <c r="G46" s="830"/>
      <c r="H46" s="830"/>
      <c r="I46" s="830"/>
      <c r="J46" s="830"/>
      <c r="K46" s="830"/>
      <c r="L46" s="830"/>
      <c r="M46" s="830"/>
      <c r="N46" s="58"/>
      <c r="O46" s="58" t="s">
        <v>140</v>
      </c>
      <c r="P46" s="59" t="s">
        <v>117</v>
      </c>
      <c r="Q46" s="831"/>
      <c r="R46" s="831"/>
      <c r="S46" s="67" t="s">
        <v>143</v>
      </c>
      <c r="T46" s="324"/>
      <c r="U46" s="74"/>
      <c r="V46" s="74"/>
      <c r="W46" s="664">
        <f t="shared" si="2"/>
        <v>0</v>
      </c>
      <c r="X46" s="664"/>
      <c r="Y46" s="664"/>
      <c r="Z46" s="665"/>
      <c r="AB46" s="832">
        <v>0</v>
      </c>
      <c r="AC46" s="833"/>
      <c r="AD46" s="834"/>
      <c r="AF46" s="832">
        <f t="shared" si="0"/>
        <v>0</v>
      </c>
      <c r="AG46" s="833"/>
      <c r="AH46" s="834"/>
      <c r="AK46" s="325"/>
    </row>
    <row r="47" spans="3:37" s="51" customFormat="1" ht="16" customHeight="1" x14ac:dyDescent="0.15">
      <c r="C47" s="828">
        <v>314</v>
      </c>
      <c r="D47" s="829"/>
      <c r="E47" s="830"/>
      <c r="F47" s="830"/>
      <c r="G47" s="830"/>
      <c r="H47" s="830"/>
      <c r="I47" s="830"/>
      <c r="J47" s="830"/>
      <c r="K47" s="830"/>
      <c r="L47" s="830"/>
      <c r="M47" s="830"/>
      <c r="N47" s="58"/>
      <c r="O47" s="58" t="s">
        <v>140</v>
      </c>
      <c r="P47" s="59" t="s">
        <v>117</v>
      </c>
      <c r="Q47" s="831"/>
      <c r="R47" s="831"/>
      <c r="S47" s="67" t="s">
        <v>143</v>
      </c>
      <c r="T47" s="324"/>
      <c r="U47" s="74"/>
      <c r="V47" s="74"/>
      <c r="W47" s="664">
        <f t="shared" si="2"/>
        <v>0</v>
      </c>
      <c r="X47" s="664"/>
      <c r="Y47" s="664"/>
      <c r="Z47" s="665"/>
      <c r="AB47" s="832">
        <v>0</v>
      </c>
      <c r="AC47" s="833"/>
      <c r="AD47" s="834"/>
      <c r="AF47" s="832">
        <f t="shared" si="0"/>
        <v>0</v>
      </c>
      <c r="AG47" s="833"/>
      <c r="AH47" s="834"/>
      <c r="AK47" s="325"/>
    </row>
    <row r="48" spans="3:37" s="51" customFormat="1" ht="16" customHeight="1" x14ac:dyDescent="0.15">
      <c r="C48" s="828">
        <v>315</v>
      </c>
      <c r="D48" s="829"/>
      <c r="E48" s="830"/>
      <c r="F48" s="830"/>
      <c r="G48" s="830"/>
      <c r="H48" s="830"/>
      <c r="I48" s="830"/>
      <c r="J48" s="830"/>
      <c r="K48" s="830"/>
      <c r="L48" s="830"/>
      <c r="M48" s="830"/>
      <c r="N48" s="58"/>
      <c r="O48" s="58" t="s">
        <v>140</v>
      </c>
      <c r="P48" s="59" t="s">
        <v>117</v>
      </c>
      <c r="Q48" s="831"/>
      <c r="R48" s="831"/>
      <c r="S48" s="67" t="s">
        <v>143</v>
      </c>
      <c r="T48" s="324"/>
      <c r="U48" s="74"/>
      <c r="V48" s="74"/>
      <c r="W48" s="664">
        <f t="shared" si="2"/>
        <v>0</v>
      </c>
      <c r="X48" s="664"/>
      <c r="Y48" s="664"/>
      <c r="Z48" s="665"/>
      <c r="AB48" s="832">
        <v>0</v>
      </c>
      <c r="AC48" s="833"/>
      <c r="AD48" s="834"/>
      <c r="AF48" s="832">
        <f t="shared" si="0"/>
        <v>0</v>
      </c>
      <c r="AG48" s="833"/>
      <c r="AH48" s="834"/>
      <c r="AK48" s="325"/>
    </row>
    <row r="49" spans="3:38" s="51" customFormat="1" ht="16" customHeight="1" x14ac:dyDescent="0.15">
      <c r="C49" s="828">
        <v>316</v>
      </c>
      <c r="D49" s="829"/>
      <c r="E49" s="830"/>
      <c r="F49" s="830"/>
      <c r="G49" s="830"/>
      <c r="H49" s="830"/>
      <c r="I49" s="830"/>
      <c r="J49" s="830"/>
      <c r="K49" s="830"/>
      <c r="L49" s="830"/>
      <c r="M49" s="830"/>
      <c r="N49" s="58"/>
      <c r="O49" s="58" t="s">
        <v>140</v>
      </c>
      <c r="P49" s="59" t="s">
        <v>117</v>
      </c>
      <c r="Q49" s="831"/>
      <c r="R49" s="831"/>
      <c r="S49" s="67" t="s">
        <v>143</v>
      </c>
      <c r="T49" s="324"/>
      <c r="U49" s="74"/>
      <c r="V49" s="74"/>
      <c r="W49" s="664">
        <f t="shared" si="2"/>
        <v>0</v>
      </c>
      <c r="X49" s="664"/>
      <c r="Y49" s="664"/>
      <c r="Z49" s="665"/>
      <c r="AB49" s="832">
        <v>0</v>
      </c>
      <c r="AC49" s="833"/>
      <c r="AD49" s="834"/>
      <c r="AF49" s="832">
        <f t="shared" si="0"/>
        <v>0</v>
      </c>
      <c r="AG49" s="833"/>
      <c r="AH49" s="834"/>
      <c r="AK49" s="325"/>
    </row>
    <row r="50" spans="3:38" s="51" customFormat="1" ht="16" customHeight="1" x14ac:dyDescent="0.15">
      <c r="C50" s="828">
        <v>317</v>
      </c>
      <c r="D50" s="829"/>
      <c r="E50" s="830"/>
      <c r="F50" s="830"/>
      <c r="G50" s="830"/>
      <c r="H50" s="830"/>
      <c r="I50" s="830"/>
      <c r="J50" s="830"/>
      <c r="K50" s="830"/>
      <c r="L50" s="830"/>
      <c r="M50" s="830"/>
      <c r="N50" s="58"/>
      <c r="O50" s="58" t="s">
        <v>140</v>
      </c>
      <c r="P50" s="59" t="s">
        <v>117</v>
      </c>
      <c r="Q50" s="831"/>
      <c r="R50" s="831"/>
      <c r="S50" s="67" t="s">
        <v>143</v>
      </c>
      <c r="T50" s="324"/>
      <c r="U50" s="74"/>
      <c r="V50" s="74"/>
      <c r="W50" s="664">
        <f t="shared" si="2"/>
        <v>0</v>
      </c>
      <c r="X50" s="664"/>
      <c r="Y50" s="664"/>
      <c r="Z50" s="665"/>
      <c r="AB50" s="832">
        <v>0</v>
      </c>
      <c r="AC50" s="833"/>
      <c r="AD50" s="834"/>
      <c r="AF50" s="832">
        <f t="shared" si="0"/>
        <v>0</v>
      </c>
      <c r="AG50" s="833"/>
      <c r="AH50" s="834"/>
      <c r="AK50" s="325"/>
    </row>
    <row r="51" spans="3:38" s="51" customFormat="1" ht="16" customHeight="1" x14ac:dyDescent="0.15">
      <c r="C51" s="828">
        <v>318</v>
      </c>
      <c r="D51" s="829"/>
      <c r="E51" s="830"/>
      <c r="F51" s="830"/>
      <c r="G51" s="830"/>
      <c r="H51" s="830"/>
      <c r="I51" s="830"/>
      <c r="J51" s="830"/>
      <c r="K51" s="830"/>
      <c r="L51" s="830"/>
      <c r="M51" s="830"/>
      <c r="N51" s="58"/>
      <c r="O51" s="58" t="s">
        <v>140</v>
      </c>
      <c r="P51" s="59" t="s">
        <v>117</v>
      </c>
      <c r="Q51" s="831"/>
      <c r="R51" s="831"/>
      <c r="S51" s="67" t="s">
        <v>143</v>
      </c>
      <c r="T51" s="324"/>
      <c r="U51" s="74"/>
      <c r="V51" s="74"/>
      <c r="W51" s="664">
        <f t="shared" si="2"/>
        <v>0</v>
      </c>
      <c r="X51" s="664"/>
      <c r="Y51" s="664"/>
      <c r="Z51" s="665"/>
      <c r="AB51" s="832">
        <v>0</v>
      </c>
      <c r="AC51" s="833"/>
      <c r="AD51" s="834"/>
      <c r="AF51" s="832">
        <f t="shared" si="0"/>
        <v>0</v>
      </c>
      <c r="AG51" s="833"/>
      <c r="AH51" s="834"/>
      <c r="AK51" s="325"/>
    </row>
    <row r="52" spans="3:38" s="51" customFormat="1" ht="16" customHeight="1" x14ac:dyDescent="0.15">
      <c r="C52" s="828">
        <v>319</v>
      </c>
      <c r="D52" s="829"/>
      <c r="E52" s="830"/>
      <c r="F52" s="830"/>
      <c r="G52" s="830"/>
      <c r="H52" s="830"/>
      <c r="I52" s="830"/>
      <c r="J52" s="830"/>
      <c r="K52" s="830"/>
      <c r="L52" s="830"/>
      <c r="M52" s="830"/>
      <c r="N52" s="58"/>
      <c r="O52" s="58" t="s">
        <v>140</v>
      </c>
      <c r="P52" s="59" t="s">
        <v>117</v>
      </c>
      <c r="Q52" s="831"/>
      <c r="R52" s="831"/>
      <c r="S52" s="67" t="s">
        <v>143</v>
      </c>
      <c r="T52" s="324"/>
      <c r="U52" s="74"/>
      <c r="V52" s="74"/>
      <c r="W52" s="664">
        <f t="shared" si="2"/>
        <v>0</v>
      </c>
      <c r="X52" s="664"/>
      <c r="Y52" s="664"/>
      <c r="Z52" s="665"/>
      <c r="AB52" s="832">
        <v>0</v>
      </c>
      <c r="AC52" s="833"/>
      <c r="AD52" s="834"/>
      <c r="AF52" s="832">
        <f t="shared" si="0"/>
        <v>0</v>
      </c>
      <c r="AG52" s="833"/>
      <c r="AH52" s="834"/>
      <c r="AK52" s="325"/>
    </row>
    <row r="53" spans="3:38" s="51" customFormat="1" ht="16" customHeight="1" x14ac:dyDescent="0.15">
      <c r="C53" s="828">
        <v>320</v>
      </c>
      <c r="D53" s="829"/>
      <c r="E53" s="853"/>
      <c r="F53" s="853"/>
      <c r="G53" s="853"/>
      <c r="H53" s="853"/>
      <c r="I53" s="853"/>
      <c r="J53" s="853"/>
      <c r="K53" s="853"/>
      <c r="L53" s="853"/>
      <c r="M53" s="853"/>
      <c r="N53" s="326"/>
      <c r="O53" s="58" t="s">
        <v>140</v>
      </c>
      <c r="P53" s="49" t="s">
        <v>117</v>
      </c>
      <c r="Q53" s="852"/>
      <c r="R53" s="852"/>
      <c r="S53" s="50" t="s">
        <v>143</v>
      </c>
      <c r="T53" s="327"/>
      <c r="U53" s="89"/>
      <c r="V53" s="89"/>
      <c r="W53" s="664">
        <f t="shared" ref="W53:W59" si="3">N53*Q53*(IF(ISNUMBER(T53),T53,IF(ISNUMBER(N53),1,0)))</f>
        <v>0</v>
      </c>
      <c r="X53" s="664"/>
      <c r="Y53" s="664"/>
      <c r="Z53" s="665"/>
      <c r="AB53" s="832">
        <v>0</v>
      </c>
      <c r="AC53" s="833"/>
      <c r="AD53" s="834"/>
      <c r="AF53" s="832">
        <f t="shared" si="0"/>
        <v>0</v>
      </c>
      <c r="AG53" s="833"/>
      <c r="AH53" s="834"/>
    </row>
    <row r="54" spans="3:38" s="51" customFormat="1" ht="16" customHeight="1" x14ac:dyDescent="0.15">
      <c r="C54" s="828">
        <v>321</v>
      </c>
      <c r="D54" s="829"/>
      <c r="E54" s="851"/>
      <c r="F54" s="851"/>
      <c r="G54" s="851"/>
      <c r="H54" s="851"/>
      <c r="I54" s="851"/>
      <c r="J54" s="851"/>
      <c r="K54" s="851"/>
      <c r="L54" s="851"/>
      <c r="M54" s="851"/>
      <c r="N54" s="326"/>
      <c r="O54" s="58" t="s">
        <v>140</v>
      </c>
      <c r="P54" s="49" t="s">
        <v>117</v>
      </c>
      <c r="Q54" s="852"/>
      <c r="R54" s="852"/>
      <c r="S54" s="50" t="s">
        <v>143</v>
      </c>
      <c r="T54" s="327"/>
      <c r="U54" s="89"/>
      <c r="V54" s="89"/>
      <c r="W54" s="664">
        <f t="shared" si="3"/>
        <v>0</v>
      </c>
      <c r="X54" s="664"/>
      <c r="Y54" s="664"/>
      <c r="Z54" s="665"/>
      <c r="AB54" s="832">
        <v>0</v>
      </c>
      <c r="AC54" s="833"/>
      <c r="AD54" s="834"/>
      <c r="AF54" s="832">
        <f t="shared" si="0"/>
        <v>0</v>
      </c>
      <c r="AG54" s="833"/>
      <c r="AH54" s="834"/>
    </row>
    <row r="55" spans="3:38" s="51" customFormat="1" ht="16" customHeight="1" x14ac:dyDescent="0.15">
      <c r="C55" s="828">
        <v>322</v>
      </c>
      <c r="D55" s="829"/>
      <c r="E55" s="851"/>
      <c r="F55" s="851"/>
      <c r="G55" s="851"/>
      <c r="H55" s="851"/>
      <c r="I55" s="851"/>
      <c r="J55" s="851"/>
      <c r="K55" s="851"/>
      <c r="L55" s="851"/>
      <c r="M55" s="851"/>
      <c r="N55" s="326"/>
      <c r="O55" s="58" t="s">
        <v>140</v>
      </c>
      <c r="P55" s="49" t="s">
        <v>117</v>
      </c>
      <c r="Q55" s="852"/>
      <c r="R55" s="852"/>
      <c r="S55" s="50" t="s">
        <v>143</v>
      </c>
      <c r="T55" s="327"/>
      <c r="U55" s="89"/>
      <c r="V55" s="89"/>
      <c r="W55" s="664">
        <f t="shared" si="3"/>
        <v>0</v>
      </c>
      <c r="X55" s="664"/>
      <c r="Y55" s="664"/>
      <c r="Z55" s="665"/>
      <c r="AB55" s="832">
        <v>0</v>
      </c>
      <c r="AC55" s="833"/>
      <c r="AD55" s="834"/>
      <c r="AF55" s="832">
        <f t="shared" si="0"/>
        <v>0</v>
      </c>
      <c r="AG55" s="833"/>
      <c r="AH55" s="834"/>
      <c r="AK55" s="291"/>
    </row>
    <row r="56" spans="3:38" s="51" customFormat="1" ht="16" customHeight="1" x14ac:dyDescent="0.15">
      <c r="C56" s="828">
        <v>323</v>
      </c>
      <c r="D56" s="829"/>
      <c r="E56" s="851"/>
      <c r="F56" s="851"/>
      <c r="G56" s="851"/>
      <c r="H56" s="851"/>
      <c r="I56" s="851"/>
      <c r="J56" s="851"/>
      <c r="K56" s="851"/>
      <c r="L56" s="851"/>
      <c r="M56" s="851"/>
      <c r="N56" s="326"/>
      <c r="O56" s="58" t="s">
        <v>140</v>
      </c>
      <c r="P56" s="49" t="s">
        <v>117</v>
      </c>
      <c r="Q56" s="852"/>
      <c r="R56" s="852"/>
      <c r="S56" s="50" t="s">
        <v>143</v>
      </c>
      <c r="T56" s="327"/>
      <c r="U56" s="89"/>
      <c r="V56" s="89"/>
      <c r="W56" s="664">
        <f t="shared" si="3"/>
        <v>0</v>
      </c>
      <c r="X56" s="664"/>
      <c r="Y56" s="664"/>
      <c r="Z56" s="665"/>
      <c r="AB56" s="832">
        <v>0</v>
      </c>
      <c r="AC56" s="833"/>
      <c r="AD56" s="834"/>
      <c r="AF56" s="832">
        <f t="shared" si="0"/>
        <v>0</v>
      </c>
      <c r="AG56" s="833"/>
      <c r="AH56" s="834"/>
      <c r="AK56" s="291"/>
    </row>
    <row r="57" spans="3:38" s="51" customFormat="1" ht="16" customHeight="1" x14ac:dyDescent="0.15">
      <c r="C57" s="828">
        <v>324</v>
      </c>
      <c r="D57" s="829"/>
      <c r="E57" s="851"/>
      <c r="F57" s="851"/>
      <c r="G57" s="851"/>
      <c r="H57" s="851"/>
      <c r="I57" s="851"/>
      <c r="J57" s="851"/>
      <c r="K57" s="851"/>
      <c r="L57" s="851"/>
      <c r="M57" s="851"/>
      <c r="N57" s="326"/>
      <c r="O57" s="58" t="s">
        <v>140</v>
      </c>
      <c r="P57" s="49" t="s">
        <v>117</v>
      </c>
      <c r="Q57" s="852"/>
      <c r="R57" s="852"/>
      <c r="S57" s="50" t="s">
        <v>143</v>
      </c>
      <c r="T57" s="327"/>
      <c r="U57" s="89"/>
      <c r="V57" s="89"/>
      <c r="W57" s="664">
        <f t="shared" si="3"/>
        <v>0</v>
      </c>
      <c r="X57" s="664"/>
      <c r="Y57" s="664"/>
      <c r="Z57" s="665"/>
      <c r="AB57" s="832">
        <v>0</v>
      </c>
      <c r="AC57" s="833"/>
      <c r="AD57" s="834"/>
      <c r="AF57" s="832">
        <f t="shared" si="0"/>
        <v>0</v>
      </c>
      <c r="AG57" s="833"/>
      <c r="AH57" s="834"/>
      <c r="AK57" s="291"/>
    </row>
    <row r="58" spans="3:38" s="51" customFormat="1" ht="16" customHeight="1" x14ac:dyDescent="0.15">
      <c r="C58" s="828">
        <v>325</v>
      </c>
      <c r="D58" s="829"/>
      <c r="E58" s="851"/>
      <c r="F58" s="851"/>
      <c r="G58" s="851"/>
      <c r="H58" s="851"/>
      <c r="I58" s="851"/>
      <c r="J58" s="851"/>
      <c r="K58" s="851"/>
      <c r="L58" s="851"/>
      <c r="M58" s="851"/>
      <c r="N58" s="326"/>
      <c r="O58" s="58" t="s">
        <v>140</v>
      </c>
      <c r="P58" s="49" t="s">
        <v>117</v>
      </c>
      <c r="Q58" s="852"/>
      <c r="R58" s="852"/>
      <c r="S58" s="50" t="s">
        <v>143</v>
      </c>
      <c r="T58" s="327"/>
      <c r="U58" s="89"/>
      <c r="V58" s="89"/>
      <c r="W58" s="664">
        <f t="shared" si="3"/>
        <v>0</v>
      </c>
      <c r="X58" s="664"/>
      <c r="Y58" s="664"/>
      <c r="Z58" s="665"/>
      <c r="AB58" s="832">
        <v>0</v>
      </c>
      <c r="AC58" s="833"/>
      <c r="AD58" s="834"/>
      <c r="AF58" s="832">
        <f t="shared" si="0"/>
        <v>0</v>
      </c>
      <c r="AG58" s="833"/>
      <c r="AH58" s="834"/>
      <c r="AK58" s="291"/>
    </row>
    <row r="59" spans="3:38" s="51" customFormat="1" ht="16" customHeight="1" x14ac:dyDescent="0.15">
      <c r="C59" s="828">
        <v>326</v>
      </c>
      <c r="D59" s="829"/>
      <c r="E59" s="851"/>
      <c r="F59" s="851"/>
      <c r="G59" s="851"/>
      <c r="H59" s="851"/>
      <c r="I59" s="851"/>
      <c r="J59" s="851"/>
      <c r="K59" s="851"/>
      <c r="L59" s="851"/>
      <c r="M59" s="851"/>
      <c r="N59" s="326"/>
      <c r="O59" s="58" t="s">
        <v>140</v>
      </c>
      <c r="P59" s="49" t="s">
        <v>117</v>
      </c>
      <c r="Q59" s="852"/>
      <c r="R59" s="852"/>
      <c r="S59" s="50" t="s">
        <v>143</v>
      </c>
      <c r="T59" s="327"/>
      <c r="U59" s="89"/>
      <c r="V59" s="89"/>
      <c r="W59" s="664">
        <f t="shared" si="3"/>
        <v>0</v>
      </c>
      <c r="X59" s="664"/>
      <c r="Y59" s="664"/>
      <c r="Z59" s="665"/>
      <c r="AB59" s="832">
        <v>0</v>
      </c>
      <c r="AC59" s="833"/>
      <c r="AD59" s="834"/>
      <c r="AF59" s="832">
        <f t="shared" si="0"/>
        <v>0</v>
      </c>
      <c r="AG59" s="833"/>
      <c r="AH59" s="834"/>
      <c r="AK59" s="291"/>
      <c r="AL59" s="328"/>
    </row>
    <row r="60" spans="3:38" s="51" customFormat="1" ht="16" customHeight="1" x14ac:dyDescent="0.15">
      <c r="C60" s="828">
        <v>327</v>
      </c>
      <c r="D60" s="829"/>
      <c r="E60" s="830"/>
      <c r="F60" s="830"/>
      <c r="G60" s="830"/>
      <c r="H60" s="830"/>
      <c r="I60" s="830"/>
      <c r="J60" s="830"/>
      <c r="K60" s="830"/>
      <c r="L60" s="830"/>
      <c r="M60" s="830"/>
      <c r="N60" s="58"/>
      <c r="O60" s="58" t="s">
        <v>140</v>
      </c>
      <c r="P60" s="59" t="s">
        <v>117</v>
      </c>
      <c r="Q60" s="831"/>
      <c r="R60" s="831"/>
      <c r="S60" s="67" t="s">
        <v>143</v>
      </c>
      <c r="T60" s="324"/>
      <c r="U60" s="88"/>
      <c r="V60" s="88"/>
      <c r="W60" s="664">
        <f>N60*Q60*(IF(ISNUMBER(T60),T60,IF(ISNUMBER(N60),1,0)))</f>
        <v>0</v>
      </c>
      <c r="X60" s="664"/>
      <c r="Y60" s="664"/>
      <c r="Z60" s="665"/>
      <c r="AB60" s="832">
        <v>0</v>
      </c>
      <c r="AC60" s="833"/>
      <c r="AD60" s="834"/>
      <c r="AF60" s="832">
        <f t="shared" si="0"/>
        <v>0</v>
      </c>
      <c r="AG60" s="833"/>
      <c r="AH60" s="834"/>
      <c r="AK60" s="325"/>
    </row>
    <row r="61" spans="3:38" s="51" customFormat="1" ht="16" customHeight="1" x14ac:dyDescent="0.15">
      <c r="C61" s="828">
        <v>328</v>
      </c>
      <c r="D61" s="829"/>
      <c r="E61" s="830"/>
      <c r="F61" s="830"/>
      <c r="G61" s="830"/>
      <c r="H61" s="830"/>
      <c r="I61" s="830"/>
      <c r="J61" s="830"/>
      <c r="K61" s="830"/>
      <c r="L61" s="830"/>
      <c r="M61" s="830"/>
      <c r="N61" s="58"/>
      <c r="O61" s="58" t="s">
        <v>140</v>
      </c>
      <c r="P61" s="59" t="s">
        <v>117</v>
      </c>
      <c r="Q61" s="831"/>
      <c r="R61" s="831"/>
      <c r="S61" s="67" t="s">
        <v>143</v>
      </c>
      <c r="T61" s="324"/>
      <c r="U61" s="88"/>
      <c r="V61" s="88"/>
      <c r="W61" s="664">
        <f>N61*Q61*(IF(ISNUMBER(T61),T61,IF(ISNUMBER(N61),1,0)))</f>
        <v>0</v>
      </c>
      <c r="X61" s="664"/>
      <c r="Y61" s="664"/>
      <c r="Z61" s="665"/>
      <c r="AB61" s="832">
        <v>0</v>
      </c>
      <c r="AC61" s="833"/>
      <c r="AD61" s="834"/>
      <c r="AF61" s="832">
        <f t="shared" si="0"/>
        <v>0</v>
      </c>
      <c r="AG61" s="833"/>
      <c r="AH61" s="834"/>
      <c r="AK61" s="325"/>
    </row>
    <row r="62" spans="3:38" s="51" customFormat="1" ht="16" customHeight="1" x14ac:dyDescent="0.15">
      <c r="C62" s="828">
        <v>329</v>
      </c>
      <c r="D62" s="829"/>
      <c r="E62" s="830"/>
      <c r="F62" s="830"/>
      <c r="G62" s="830"/>
      <c r="H62" s="830"/>
      <c r="I62" s="830"/>
      <c r="J62" s="830"/>
      <c r="K62" s="830"/>
      <c r="L62" s="830"/>
      <c r="M62" s="830"/>
      <c r="N62" s="58"/>
      <c r="O62" s="58" t="s">
        <v>140</v>
      </c>
      <c r="P62" s="59" t="s">
        <v>117</v>
      </c>
      <c r="Q62" s="831"/>
      <c r="R62" s="831"/>
      <c r="S62" s="67" t="s">
        <v>143</v>
      </c>
      <c r="T62" s="324"/>
      <c r="U62" s="88"/>
      <c r="V62" s="88"/>
      <c r="W62" s="664">
        <f>N62*Q62*(IF(ISNUMBER(T62),T62,IF(ISNUMBER(N62),1,0)))</f>
        <v>0</v>
      </c>
      <c r="X62" s="664"/>
      <c r="Y62" s="664"/>
      <c r="Z62" s="665"/>
      <c r="AB62" s="832">
        <v>0</v>
      </c>
      <c r="AC62" s="833"/>
      <c r="AD62" s="834"/>
      <c r="AF62" s="832">
        <f t="shared" si="0"/>
        <v>0</v>
      </c>
      <c r="AG62" s="833"/>
      <c r="AH62" s="834"/>
      <c r="AK62" s="325"/>
    </row>
    <row r="63" spans="3:38" s="51" customFormat="1" ht="16" customHeight="1" x14ac:dyDescent="0.15">
      <c r="C63" s="828">
        <v>330</v>
      </c>
      <c r="D63" s="829"/>
      <c r="E63" s="830"/>
      <c r="F63" s="830"/>
      <c r="G63" s="830"/>
      <c r="H63" s="830"/>
      <c r="I63" s="830"/>
      <c r="J63" s="830"/>
      <c r="K63" s="830"/>
      <c r="L63" s="830"/>
      <c r="M63" s="830"/>
      <c r="N63" s="58"/>
      <c r="O63" s="58" t="s">
        <v>140</v>
      </c>
      <c r="P63" s="59" t="s">
        <v>117</v>
      </c>
      <c r="Q63" s="831"/>
      <c r="R63" s="831"/>
      <c r="S63" s="67" t="s">
        <v>143</v>
      </c>
      <c r="T63" s="324"/>
      <c r="U63" s="88"/>
      <c r="V63" s="88"/>
      <c r="W63" s="664">
        <f>N63*Q63*(IF(ISNUMBER(T63),T63,IF(ISNUMBER(N63),1,0)))</f>
        <v>0</v>
      </c>
      <c r="X63" s="664"/>
      <c r="Y63" s="664"/>
      <c r="Z63" s="665"/>
      <c r="AB63" s="832">
        <v>0</v>
      </c>
      <c r="AC63" s="833"/>
      <c r="AD63" s="834"/>
      <c r="AF63" s="832">
        <f t="shared" si="0"/>
        <v>0</v>
      </c>
      <c r="AG63" s="833"/>
      <c r="AH63" s="834"/>
      <c r="AK63" s="325"/>
    </row>
    <row r="64" spans="3:38" s="51" customFormat="1" ht="16" customHeight="1" x14ac:dyDescent="0.15">
      <c r="C64" s="828">
        <v>331</v>
      </c>
      <c r="D64" s="829"/>
      <c r="E64" s="830"/>
      <c r="F64" s="830"/>
      <c r="G64" s="830"/>
      <c r="H64" s="830"/>
      <c r="I64" s="830"/>
      <c r="J64" s="830"/>
      <c r="K64" s="830"/>
      <c r="L64" s="830"/>
      <c r="M64" s="830"/>
      <c r="N64" s="58"/>
      <c r="O64" s="58" t="s">
        <v>140</v>
      </c>
      <c r="P64" s="59" t="s">
        <v>117</v>
      </c>
      <c r="Q64" s="831"/>
      <c r="R64" s="831"/>
      <c r="S64" s="67" t="s">
        <v>143</v>
      </c>
      <c r="T64" s="324"/>
      <c r="U64" s="88"/>
      <c r="V64" s="88"/>
      <c r="W64" s="664">
        <f t="shared" ref="W64:W69" si="4">N64*Q64*(IF(ISNUMBER(T64),T64,IF(ISNUMBER(N64),1,0)))</f>
        <v>0</v>
      </c>
      <c r="X64" s="664"/>
      <c r="Y64" s="664"/>
      <c r="Z64" s="665"/>
      <c r="AB64" s="832">
        <v>0</v>
      </c>
      <c r="AC64" s="833"/>
      <c r="AD64" s="834"/>
      <c r="AF64" s="832">
        <f t="shared" si="0"/>
        <v>0</v>
      </c>
      <c r="AG64" s="833"/>
      <c r="AH64" s="834"/>
      <c r="AK64" s="291"/>
    </row>
    <row r="65" spans="3:40" s="51" customFormat="1" ht="16" customHeight="1" x14ac:dyDescent="0.15">
      <c r="C65" s="828">
        <v>332</v>
      </c>
      <c r="D65" s="829"/>
      <c r="E65" s="830"/>
      <c r="F65" s="830"/>
      <c r="G65" s="830"/>
      <c r="H65" s="830"/>
      <c r="I65" s="830"/>
      <c r="J65" s="830"/>
      <c r="K65" s="830"/>
      <c r="L65" s="830"/>
      <c r="M65" s="830"/>
      <c r="N65" s="58"/>
      <c r="O65" s="58" t="s">
        <v>140</v>
      </c>
      <c r="P65" s="59" t="s">
        <v>117</v>
      </c>
      <c r="Q65" s="831"/>
      <c r="R65" s="831"/>
      <c r="S65" s="67" t="s">
        <v>143</v>
      </c>
      <c r="T65" s="324"/>
      <c r="U65" s="88"/>
      <c r="V65" s="88"/>
      <c r="W65" s="664">
        <f t="shared" si="4"/>
        <v>0</v>
      </c>
      <c r="X65" s="664"/>
      <c r="Y65" s="664"/>
      <c r="Z65" s="665"/>
      <c r="AB65" s="832">
        <v>0</v>
      </c>
      <c r="AC65" s="833"/>
      <c r="AD65" s="834"/>
      <c r="AF65" s="832">
        <f t="shared" si="0"/>
        <v>0</v>
      </c>
      <c r="AG65" s="833"/>
      <c r="AH65" s="834"/>
      <c r="AK65" s="291"/>
    </row>
    <row r="66" spans="3:40" s="51" customFormat="1" ht="16" customHeight="1" x14ac:dyDescent="0.15">
      <c r="C66" s="828">
        <v>333</v>
      </c>
      <c r="D66" s="829"/>
      <c r="E66" s="830"/>
      <c r="F66" s="830"/>
      <c r="G66" s="830"/>
      <c r="H66" s="830"/>
      <c r="I66" s="830"/>
      <c r="J66" s="830"/>
      <c r="K66" s="830"/>
      <c r="L66" s="830"/>
      <c r="M66" s="830"/>
      <c r="N66" s="58"/>
      <c r="O66" s="58" t="s">
        <v>140</v>
      </c>
      <c r="P66" s="59" t="s">
        <v>117</v>
      </c>
      <c r="Q66" s="831"/>
      <c r="R66" s="831"/>
      <c r="S66" s="67" t="s">
        <v>143</v>
      </c>
      <c r="T66" s="324"/>
      <c r="U66" s="88"/>
      <c r="V66" s="88"/>
      <c r="W66" s="664">
        <f t="shared" si="4"/>
        <v>0</v>
      </c>
      <c r="X66" s="664"/>
      <c r="Y66" s="664"/>
      <c r="Z66" s="665"/>
      <c r="AB66" s="832">
        <v>0</v>
      </c>
      <c r="AC66" s="833"/>
      <c r="AD66" s="834"/>
      <c r="AF66" s="832">
        <f t="shared" si="0"/>
        <v>0</v>
      </c>
      <c r="AG66" s="833"/>
      <c r="AH66" s="834"/>
      <c r="AK66" s="291"/>
    </row>
    <row r="67" spans="3:40" s="51" customFormat="1" ht="16" customHeight="1" x14ac:dyDescent="0.15">
      <c r="C67" s="828">
        <v>334</v>
      </c>
      <c r="D67" s="829"/>
      <c r="E67" s="830"/>
      <c r="F67" s="830"/>
      <c r="G67" s="830"/>
      <c r="H67" s="830"/>
      <c r="I67" s="830"/>
      <c r="J67" s="830"/>
      <c r="K67" s="830"/>
      <c r="L67" s="830"/>
      <c r="M67" s="830"/>
      <c r="N67" s="58"/>
      <c r="O67" s="58" t="s">
        <v>140</v>
      </c>
      <c r="P67" s="59" t="s">
        <v>117</v>
      </c>
      <c r="Q67" s="831"/>
      <c r="R67" s="831"/>
      <c r="S67" s="67" t="s">
        <v>143</v>
      </c>
      <c r="T67" s="324"/>
      <c r="U67" s="88"/>
      <c r="V67" s="88"/>
      <c r="W67" s="664">
        <f t="shared" si="4"/>
        <v>0</v>
      </c>
      <c r="X67" s="664"/>
      <c r="Y67" s="664"/>
      <c r="Z67" s="665"/>
      <c r="AB67" s="832">
        <v>0</v>
      </c>
      <c r="AC67" s="833"/>
      <c r="AD67" s="834"/>
      <c r="AF67" s="832">
        <f t="shared" si="0"/>
        <v>0</v>
      </c>
      <c r="AG67" s="833"/>
      <c r="AH67" s="834"/>
    </row>
    <row r="68" spans="3:40" s="51" customFormat="1" ht="16" customHeight="1" x14ac:dyDescent="0.15">
      <c r="C68" s="828">
        <v>335</v>
      </c>
      <c r="D68" s="829"/>
      <c r="E68" s="830"/>
      <c r="F68" s="830"/>
      <c r="G68" s="830"/>
      <c r="H68" s="830"/>
      <c r="I68" s="830"/>
      <c r="J68" s="830"/>
      <c r="K68" s="830"/>
      <c r="L68" s="830"/>
      <c r="M68" s="830"/>
      <c r="N68" s="58"/>
      <c r="O68" s="58" t="s">
        <v>140</v>
      </c>
      <c r="P68" s="59" t="s">
        <v>117</v>
      </c>
      <c r="Q68" s="831"/>
      <c r="R68" s="831"/>
      <c r="S68" s="67" t="s">
        <v>143</v>
      </c>
      <c r="T68" s="324"/>
      <c r="U68" s="88"/>
      <c r="V68" s="88"/>
      <c r="W68" s="664">
        <f t="shared" si="4"/>
        <v>0</v>
      </c>
      <c r="X68" s="664"/>
      <c r="Y68" s="664"/>
      <c r="Z68" s="665"/>
      <c r="AB68" s="832">
        <v>0</v>
      </c>
      <c r="AC68" s="833"/>
      <c r="AD68" s="834"/>
      <c r="AF68" s="832">
        <f t="shared" si="0"/>
        <v>0</v>
      </c>
      <c r="AG68" s="833"/>
      <c r="AH68" s="834"/>
      <c r="AK68" s="291"/>
    </row>
    <row r="69" spans="3:40" s="51" customFormat="1" ht="16" customHeight="1" x14ac:dyDescent="0.15">
      <c r="C69" s="828">
        <v>336</v>
      </c>
      <c r="D69" s="829"/>
      <c r="E69" s="830"/>
      <c r="F69" s="830"/>
      <c r="G69" s="830"/>
      <c r="H69" s="830"/>
      <c r="I69" s="830"/>
      <c r="J69" s="830"/>
      <c r="K69" s="830"/>
      <c r="L69" s="830"/>
      <c r="M69" s="830"/>
      <c r="N69" s="58"/>
      <c r="O69" s="58" t="s">
        <v>140</v>
      </c>
      <c r="P69" s="59" t="s">
        <v>117</v>
      </c>
      <c r="Q69" s="831"/>
      <c r="R69" s="831"/>
      <c r="S69" s="67" t="s">
        <v>143</v>
      </c>
      <c r="T69" s="324"/>
      <c r="U69" s="88"/>
      <c r="V69" s="88"/>
      <c r="W69" s="664">
        <f t="shared" si="4"/>
        <v>0</v>
      </c>
      <c r="X69" s="664"/>
      <c r="Y69" s="664"/>
      <c r="Z69" s="665"/>
      <c r="AB69" s="832">
        <v>0</v>
      </c>
      <c r="AC69" s="833"/>
      <c r="AD69" s="834"/>
      <c r="AF69" s="832">
        <f t="shared" si="0"/>
        <v>0</v>
      </c>
      <c r="AG69" s="833"/>
      <c r="AH69" s="834"/>
      <c r="AK69" s="291"/>
    </row>
    <row r="70" spans="3:40" s="51" customFormat="1" ht="16" customHeight="1" x14ac:dyDescent="0.15">
      <c r="C70" s="828">
        <f>C69+1</f>
        <v>337</v>
      </c>
      <c r="D70" s="829"/>
      <c r="E70" s="604"/>
      <c r="F70" s="604"/>
      <c r="G70" s="604"/>
      <c r="H70" s="604"/>
      <c r="I70" s="604"/>
      <c r="J70" s="604"/>
      <c r="K70" s="604"/>
      <c r="L70" s="604"/>
      <c r="M70" s="604"/>
      <c r="N70" s="58"/>
      <c r="O70" s="58" t="s">
        <v>140</v>
      </c>
      <c r="P70" s="59" t="s">
        <v>117</v>
      </c>
      <c r="Q70" s="831"/>
      <c r="R70" s="831"/>
      <c r="S70" s="67" t="s">
        <v>143</v>
      </c>
      <c r="T70" s="324"/>
      <c r="U70" s="88"/>
      <c r="V70" s="88"/>
      <c r="W70" s="664">
        <f>N70*Q70*(IF(ISNUMBER(T70),T70,IF(ISNUMBER(N70),1,0)))</f>
        <v>0</v>
      </c>
      <c r="X70" s="664"/>
      <c r="Y70" s="664"/>
      <c r="Z70" s="665"/>
      <c r="AB70" s="832">
        <v>0</v>
      </c>
      <c r="AC70" s="833"/>
      <c r="AD70" s="834"/>
      <c r="AF70" s="832">
        <f>AB70-W70</f>
        <v>0</v>
      </c>
      <c r="AG70" s="833"/>
      <c r="AH70" s="834"/>
      <c r="AM70" s="316"/>
      <c r="AN70" s="316"/>
    </row>
    <row r="71" spans="3:40" s="51" customFormat="1" ht="16" customHeight="1" x14ac:dyDescent="0.15">
      <c r="C71" s="828">
        <f t="shared" ref="C71:C134" si="5">C70+1</f>
        <v>338</v>
      </c>
      <c r="D71" s="829"/>
      <c r="E71" s="830"/>
      <c r="F71" s="830"/>
      <c r="G71" s="830"/>
      <c r="H71" s="830"/>
      <c r="I71" s="830"/>
      <c r="J71" s="830"/>
      <c r="K71" s="830"/>
      <c r="L71" s="830"/>
      <c r="M71" s="830"/>
      <c r="N71" s="58"/>
      <c r="O71" s="58" t="s">
        <v>140</v>
      </c>
      <c r="P71" s="59" t="s">
        <v>117</v>
      </c>
      <c r="Q71" s="831"/>
      <c r="R71" s="831"/>
      <c r="S71" s="67" t="s">
        <v>143</v>
      </c>
      <c r="T71" s="324"/>
      <c r="U71" s="88"/>
      <c r="V71" s="88"/>
      <c r="W71" s="664">
        <f>N71*Q71*(IF(ISNUMBER(T71),T71,IF(ISNUMBER(N71),1,0)))</f>
        <v>0</v>
      </c>
      <c r="X71" s="664"/>
      <c r="Y71" s="664"/>
      <c r="Z71" s="665"/>
      <c r="AB71" s="832">
        <v>0</v>
      </c>
      <c r="AC71" s="833"/>
      <c r="AD71" s="834"/>
      <c r="AF71" s="832">
        <f t="shared" ref="AF71:AF131" si="6">AB71-W71</f>
        <v>0</v>
      </c>
      <c r="AG71" s="833"/>
      <c r="AH71" s="834"/>
      <c r="AK71" s="325"/>
    </row>
    <row r="72" spans="3:40" s="51" customFormat="1" ht="16" customHeight="1" x14ac:dyDescent="0.15">
      <c r="C72" s="828">
        <f t="shared" si="5"/>
        <v>339</v>
      </c>
      <c r="D72" s="829"/>
      <c r="E72" s="830"/>
      <c r="F72" s="830"/>
      <c r="G72" s="830"/>
      <c r="H72" s="830"/>
      <c r="I72" s="830"/>
      <c r="J72" s="830"/>
      <c r="K72" s="830"/>
      <c r="L72" s="830"/>
      <c r="M72" s="830"/>
      <c r="N72" s="58"/>
      <c r="O72" s="58" t="s">
        <v>140</v>
      </c>
      <c r="P72" s="59" t="s">
        <v>117</v>
      </c>
      <c r="Q72" s="831"/>
      <c r="R72" s="831"/>
      <c r="S72" s="67" t="s">
        <v>143</v>
      </c>
      <c r="T72" s="324"/>
      <c r="U72" s="88"/>
      <c r="V72" s="88"/>
      <c r="W72" s="664">
        <f>N72*Q72*(IF(ISNUMBER(T72),T72,IF(ISNUMBER(N72),1,0)))</f>
        <v>0</v>
      </c>
      <c r="X72" s="664"/>
      <c r="Y72" s="664"/>
      <c r="Z72" s="665"/>
      <c r="AB72" s="832">
        <v>0</v>
      </c>
      <c r="AC72" s="833"/>
      <c r="AD72" s="834"/>
      <c r="AF72" s="832">
        <f t="shared" si="6"/>
        <v>0</v>
      </c>
      <c r="AG72" s="833"/>
      <c r="AH72" s="834"/>
      <c r="AK72" s="325"/>
    </row>
    <row r="73" spans="3:40" s="362" customFormat="1" ht="22" customHeight="1" x14ac:dyDescent="0.2">
      <c r="C73" s="363" t="s">
        <v>279</v>
      </c>
      <c r="D73" s="364" t="str">
        <f>D8&amp;" (cont.)"</f>
        <v>Other (cont.)</v>
      </c>
      <c r="E73" s="365"/>
      <c r="F73" s="366"/>
      <c r="G73" s="366"/>
      <c r="H73" s="366"/>
      <c r="I73" s="366"/>
      <c r="J73" s="366"/>
      <c r="K73" s="366"/>
      <c r="L73" s="366"/>
      <c r="M73" s="366"/>
      <c r="N73" s="366"/>
      <c r="O73" s="366"/>
      <c r="P73" s="366"/>
      <c r="Q73" s="366"/>
      <c r="R73" s="366"/>
      <c r="S73" s="366"/>
      <c r="T73" s="366"/>
      <c r="U73" s="367"/>
      <c r="V73" s="367"/>
      <c r="W73" s="844"/>
      <c r="X73" s="844"/>
      <c r="Y73" s="844"/>
      <c r="Z73" s="844"/>
      <c r="AB73" s="845"/>
      <c r="AC73" s="845"/>
      <c r="AD73" s="846"/>
      <c r="AF73" s="847"/>
      <c r="AG73" s="845"/>
      <c r="AH73" s="846"/>
      <c r="AK73" s="368"/>
      <c r="AL73" s="369"/>
      <c r="AM73" s="369"/>
      <c r="AN73" s="369"/>
    </row>
    <row r="74" spans="3:40" s="110" customFormat="1" ht="16.25" customHeight="1" x14ac:dyDescent="0.15">
      <c r="C74" s="152"/>
      <c r="D74" s="116"/>
      <c r="E74" s="116" t="s">
        <v>384</v>
      </c>
      <c r="F74" s="130"/>
      <c r="G74" s="130"/>
      <c r="H74" s="130"/>
      <c r="I74" s="130"/>
      <c r="J74" s="130"/>
      <c r="K74" s="130"/>
      <c r="L74" s="130"/>
      <c r="M74" s="130"/>
      <c r="N74" s="800" t="s">
        <v>375</v>
      </c>
      <c r="O74" s="800"/>
      <c r="P74" s="130"/>
      <c r="Q74" s="800" t="s">
        <v>220</v>
      </c>
      <c r="R74" s="800"/>
      <c r="S74" s="130"/>
      <c r="T74" s="116" t="s">
        <v>400</v>
      </c>
      <c r="U74" s="130"/>
      <c r="V74" s="130"/>
      <c r="W74" s="130"/>
      <c r="X74" s="724" t="s">
        <v>370</v>
      </c>
      <c r="Y74" s="724"/>
      <c r="Z74" s="725"/>
      <c r="AB74" s="848" t="s">
        <v>363</v>
      </c>
      <c r="AC74" s="849"/>
      <c r="AD74" s="850"/>
      <c r="AF74" s="848" t="s">
        <v>447</v>
      </c>
      <c r="AG74" s="849"/>
      <c r="AH74" s="850"/>
      <c r="AK74" s="165"/>
      <c r="AL74" s="166"/>
    </row>
    <row r="75" spans="3:40" s="51" customFormat="1" ht="16" customHeight="1" x14ac:dyDescent="0.15">
      <c r="C75" s="828">
        <f>C72+1</f>
        <v>340</v>
      </c>
      <c r="D75" s="829"/>
      <c r="E75" s="830"/>
      <c r="F75" s="830"/>
      <c r="G75" s="830"/>
      <c r="H75" s="830"/>
      <c r="I75" s="830"/>
      <c r="J75" s="830"/>
      <c r="K75" s="830"/>
      <c r="L75" s="830"/>
      <c r="M75" s="830"/>
      <c r="N75" s="58"/>
      <c r="O75" s="58" t="s">
        <v>140</v>
      </c>
      <c r="P75" s="59" t="s">
        <v>117</v>
      </c>
      <c r="Q75" s="831"/>
      <c r="R75" s="831"/>
      <c r="S75" s="67" t="s">
        <v>143</v>
      </c>
      <c r="T75" s="324"/>
      <c r="U75" s="88"/>
      <c r="V75" s="88"/>
      <c r="W75" s="664">
        <f t="shared" ref="W75:W121" si="7">N75*Q75*(IF(ISNUMBER(T75),T75,IF(ISNUMBER(N75),1,0)))</f>
        <v>0</v>
      </c>
      <c r="X75" s="664"/>
      <c r="Y75" s="664"/>
      <c r="Z75" s="665"/>
      <c r="AB75" s="832">
        <v>0</v>
      </c>
      <c r="AC75" s="833"/>
      <c r="AD75" s="834"/>
      <c r="AF75" s="832">
        <f t="shared" si="6"/>
        <v>0</v>
      </c>
      <c r="AG75" s="833"/>
      <c r="AH75" s="834"/>
      <c r="AK75" s="325"/>
    </row>
    <row r="76" spans="3:40" s="51" customFormat="1" ht="16" customHeight="1" x14ac:dyDescent="0.15">
      <c r="C76" s="828">
        <f t="shared" si="5"/>
        <v>341</v>
      </c>
      <c r="D76" s="829"/>
      <c r="E76" s="830"/>
      <c r="F76" s="830"/>
      <c r="G76" s="830"/>
      <c r="H76" s="830"/>
      <c r="I76" s="830"/>
      <c r="J76" s="830"/>
      <c r="K76" s="830"/>
      <c r="L76" s="830"/>
      <c r="M76" s="830"/>
      <c r="N76" s="58"/>
      <c r="O76" s="58" t="s">
        <v>140</v>
      </c>
      <c r="P76" s="59" t="s">
        <v>117</v>
      </c>
      <c r="Q76" s="831">
        <v>245</v>
      </c>
      <c r="R76" s="831"/>
      <c r="S76" s="67" t="s">
        <v>143</v>
      </c>
      <c r="T76" s="324"/>
      <c r="U76" s="88"/>
      <c r="V76" s="88"/>
      <c r="W76" s="664">
        <f t="shared" si="7"/>
        <v>0</v>
      </c>
      <c r="X76" s="664"/>
      <c r="Y76" s="664"/>
      <c r="Z76" s="665"/>
      <c r="AB76" s="832">
        <v>0</v>
      </c>
      <c r="AC76" s="833"/>
      <c r="AD76" s="834"/>
      <c r="AF76" s="832">
        <f t="shared" si="6"/>
        <v>0</v>
      </c>
      <c r="AG76" s="833"/>
      <c r="AH76" s="834"/>
      <c r="AK76" s="325"/>
    </row>
    <row r="77" spans="3:40" s="51" customFormat="1" ht="16" customHeight="1" x14ac:dyDescent="0.15">
      <c r="C77" s="828">
        <f t="shared" si="5"/>
        <v>342</v>
      </c>
      <c r="D77" s="829"/>
      <c r="E77" s="830"/>
      <c r="F77" s="830"/>
      <c r="G77" s="830"/>
      <c r="H77" s="830"/>
      <c r="I77" s="830"/>
      <c r="J77" s="830"/>
      <c r="K77" s="830"/>
      <c r="L77" s="830"/>
      <c r="M77" s="830"/>
      <c r="N77" s="58"/>
      <c r="O77" s="58" t="s">
        <v>140</v>
      </c>
      <c r="P77" s="59" t="s">
        <v>117</v>
      </c>
      <c r="Q77" s="831"/>
      <c r="R77" s="831"/>
      <c r="S77" s="67" t="s">
        <v>143</v>
      </c>
      <c r="T77" s="324"/>
      <c r="U77" s="88"/>
      <c r="V77" s="88"/>
      <c r="W77" s="664">
        <f t="shared" si="7"/>
        <v>0</v>
      </c>
      <c r="X77" s="664"/>
      <c r="Y77" s="664"/>
      <c r="Z77" s="665"/>
      <c r="AB77" s="832">
        <v>0</v>
      </c>
      <c r="AC77" s="833"/>
      <c r="AD77" s="834"/>
      <c r="AF77" s="832">
        <f t="shared" si="6"/>
        <v>0</v>
      </c>
      <c r="AG77" s="833"/>
      <c r="AH77" s="834"/>
      <c r="AK77" s="325"/>
    </row>
    <row r="78" spans="3:40" s="51" customFormat="1" ht="16" customHeight="1" x14ac:dyDescent="0.15">
      <c r="C78" s="828">
        <f t="shared" si="5"/>
        <v>343</v>
      </c>
      <c r="D78" s="829"/>
      <c r="E78" s="830"/>
      <c r="F78" s="830"/>
      <c r="G78" s="830"/>
      <c r="H78" s="830"/>
      <c r="I78" s="830"/>
      <c r="J78" s="830"/>
      <c r="K78" s="830"/>
      <c r="L78" s="830"/>
      <c r="M78" s="830"/>
      <c r="N78" s="58"/>
      <c r="O78" s="58" t="s">
        <v>140</v>
      </c>
      <c r="P78" s="59" t="s">
        <v>117</v>
      </c>
      <c r="Q78" s="831"/>
      <c r="R78" s="831"/>
      <c r="S78" s="67" t="s">
        <v>143</v>
      </c>
      <c r="T78" s="324"/>
      <c r="U78" s="88"/>
      <c r="V78" s="88"/>
      <c r="W78" s="664">
        <f t="shared" si="7"/>
        <v>0</v>
      </c>
      <c r="X78" s="664"/>
      <c r="Y78" s="664"/>
      <c r="Z78" s="665"/>
      <c r="AB78" s="832">
        <v>0</v>
      </c>
      <c r="AC78" s="833"/>
      <c r="AD78" s="834"/>
      <c r="AF78" s="832">
        <f t="shared" si="6"/>
        <v>0</v>
      </c>
      <c r="AG78" s="833"/>
      <c r="AH78" s="834"/>
      <c r="AK78" s="325"/>
    </row>
    <row r="79" spans="3:40" s="51" customFormat="1" ht="16" customHeight="1" x14ac:dyDescent="0.15">
      <c r="C79" s="828">
        <f t="shared" si="5"/>
        <v>344</v>
      </c>
      <c r="D79" s="829"/>
      <c r="E79" s="830"/>
      <c r="F79" s="830"/>
      <c r="G79" s="830"/>
      <c r="H79" s="830"/>
      <c r="I79" s="830"/>
      <c r="J79" s="830"/>
      <c r="K79" s="830"/>
      <c r="L79" s="830"/>
      <c r="M79" s="830"/>
      <c r="N79" s="58"/>
      <c r="O79" s="58" t="s">
        <v>140</v>
      </c>
      <c r="P79" s="59" t="s">
        <v>117</v>
      </c>
      <c r="Q79" s="831"/>
      <c r="R79" s="831"/>
      <c r="S79" s="67" t="s">
        <v>143</v>
      </c>
      <c r="T79" s="324"/>
      <c r="U79" s="88"/>
      <c r="V79" s="88"/>
      <c r="W79" s="664">
        <f t="shared" si="7"/>
        <v>0</v>
      </c>
      <c r="X79" s="664"/>
      <c r="Y79" s="664"/>
      <c r="Z79" s="665"/>
      <c r="AB79" s="832">
        <v>0</v>
      </c>
      <c r="AC79" s="833"/>
      <c r="AD79" s="834"/>
      <c r="AF79" s="832">
        <f t="shared" si="6"/>
        <v>0</v>
      </c>
      <c r="AG79" s="833"/>
      <c r="AH79" s="834"/>
      <c r="AK79" s="325"/>
    </row>
    <row r="80" spans="3:40" s="51" customFormat="1" ht="16" customHeight="1" x14ac:dyDescent="0.15">
      <c r="C80" s="828">
        <f>C79+1</f>
        <v>345</v>
      </c>
      <c r="D80" s="829"/>
      <c r="E80" s="830"/>
      <c r="F80" s="830"/>
      <c r="G80" s="830"/>
      <c r="H80" s="830"/>
      <c r="I80" s="830"/>
      <c r="J80" s="830"/>
      <c r="K80" s="830"/>
      <c r="L80" s="830"/>
      <c r="M80" s="830"/>
      <c r="N80" s="58"/>
      <c r="O80" s="58" t="s">
        <v>140</v>
      </c>
      <c r="P80" s="59" t="s">
        <v>117</v>
      </c>
      <c r="Q80" s="831"/>
      <c r="R80" s="831"/>
      <c r="S80" s="67" t="s">
        <v>143</v>
      </c>
      <c r="T80" s="324"/>
      <c r="U80" s="88"/>
      <c r="V80" s="88"/>
      <c r="W80" s="664">
        <f t="shared" si="7"/>
        <v>0</v>
      </c>
      <c r="X80" s="664"/>
      <c r="Y80" s="664"/>
      <c r="Z80" s="665"/>
      <c r="AB80" s="832">
        <v>0</v>
      </c>
      <c r="AC80" s="833"/>
      <c r="AD80" s="834"/>
      <c r="AF80" s="832">
        <f t="shared" si="6"/>
        <v>0</v>
      </c>
      <c r="AG80" s="833"/>
      <c r="AH80" s="834"/>
      <c r="AK80" s="325"/>
    </row>
    <row r="81" spans="3:37" s="51" customFormat="1" ht="16" customHeight="1" x14ac:dyDescent="0.15">
      <c r="C81" s="828">
        <f t="shared" si="5"/>
        <v>346</v>
      </c>
      <c r="D81" s="829"/>
      <c r="E81" s="830"/>
      <c r="F81" s="830"/>
      <c r="G81" s="830"/>
      <c r="H81" s="830"/>
      <c r="I81" s="830"/>
      <c r="J81" s="830"/>
      <c r="K81" s="830"/>
      <c r="L81" s="830"/>
      <c r="M81" s="830"/>
      <c r="N81" s="58"/>
      <c r="O81" s="58" t="s">
        <v>140</v>
      </c>
      <c r="P81" s="59" t="s">
        <v>117</v>
      </c>
      <c r="Q81" s="831"/>
      <c r="R81" s="831"/>
      <c r="S81" s="67" t="s">
        <v>143</v>
      </c>
      <c r="T81" s="324"/>
      <c r="U81" s="88"/>
      <c r="V81" s="88"/>
      <c r="W81" s="664">
        <f t="shared" si="7"/>
        <v>0</v>
      </c>
      <c r="X81" s="664"/>
      <c r="Y81" s="664"/>
      <c r="Z81" s="665"/>
      <c r="AB81" s="832">
        <v>0</v>
      </c>
      <c r="AC81" s="833"/>
      <c r="AD81" s="834"/>
      <c r="AF81" s="832">
        <f t="shared" si="6"/>
        <v>0</v>
      </c>
      <c r="AG81" s="833"/>
      <c r="AH81" s="834"/>
      <c r="AK81" s="325"/>
    </row>
    <row r="82" spans="3:37" s="51" customFormat="1" ht="16" customHeight="1" x14ac:dyDescent="0.15">
      <c r="C82" s="828">
        <f t="shared" si="5"/>
        <v>347</v>
      </c>
      <c r="D82" s="829"/>
      <c r="E82" s="830"/>
      <c r="F82" s="830"/>
      <c r="G82" s="830"/>
      <c r="H82" s="830"/>
      <c r="I82" s="830"/>
      <c r="J82" s="830"/>
      <c r="K82" s="830"/>
      <c r="L82" s="830"/>
      <c r="M82" s="830"/>
      <c r="N82" s="58"/>
      <c r="O82" s="58" t="s">
        <v>140</v>
      </c>
      <c r="P82" s="59" t="s">
        <v>117</v>
      </c>
      <c r="Q82" s="831"/>
      <c r="R82" s="831"/>
      <c r="S82" s="67" t="s">
        <v>143</v>
      </c>
      <c r="T82" s="324"/>
      <c r="U82" s="88"/>
      <c r="V82" s="88"/>
      <c r="W82" s="664">
        <f t="shared" si="7"/>
        <v>0</v>
      </c>
      <c r="X82" s="664"/>
      <c r="Y82" s="664"/>
      <c r="Z82" s="665"/>
      <c r="AB82" s="832">
        <v>0</v>
      </c>
      <c r="AC82" s="833"/>
      <c r="AD82" s="834"/>
      <c r="AF82" s="832">
        <f t="shared" si="6"/>
        <v>0</v>
      </c>
      <c r="AG82" s="833"/>
      <c r="AH82" s="834"/>
      <c r="AK82" s="325"/>
    </row>
    <row r="83" spans="3:37" s="51" customFormat="1" ht="16" customHeight="1" x14ac:dyDescent="0.15">
      <c r="C83" s="828">
        <f t="shared" si="5"/>
        <v>348</v>
      </c>
      <c r="D83" s="829"/>
      <c r="E83" s="830"/>
      <c r="F83" s="830"/>
      <c r="G83" s="830"/>
      <c r="H83" s="830"/>
      <c r="I83" s="830"/>
      <c r="J83" s="830"/>
      <c r="K83" s="830"/>
      <c r="L83" s="830"/>
      <c r="M83" s="830"/>
      <c r="N83" s="58"/>
      <c r="O83" s="58" t="s">
        <v>140</v>
      </c>
      <c r="P83" s="59" t="s">
        <v>117</v>
      </c>
      <c r="Q83" s="831"/>
      <c r="R83" s="831"/>
      <c r="S83" s="67" t="s">
        <v>143</v>
      </c>
      <c r="T83" s="324"/>
      <c r="U83" s="88"/>
      <c r="V83" s="88"/>
      <c r="W83" s="664">
        <f t="shared" si="7"/>
        <v>0</v>
      </c>
      <c r="X83" s="664"/>
      <c r="Y83" s="664"/>
      <c r="Z83" s="665"/>
      <c r="AB83" s="832">
        <v>0</v>
      </c>
      <c r="AC83" s="833"/>
      <c r="AD83" s="834"/>
      <c r="AF83" s="832">
        <f t="shared" si="6"/>
        <v>0</v>
      </c>
      <c r="AG83" s="833"/>
      <c r="AH83" s="834"/>
      <c r="AK83" s="325"/>
    </row>
    <row r="84" spans="3:37" s="51" customFormat="1" ht="16" customHeight="1" x14ac:dyDescent="0.15">
      <c r="C84" s="828">
        <f t="shared" si="5"/>
        <v>349</v>
      </c>
      <c r="D84" s="829"/>
      <c r="E84" s="830"/>
      <c r="F84" s="830"/>
      <c r="G84" s="830"/>
      <c r="H84" s="830"/>
      <c r="I84" s="830"/>
      <c r="J84" s="830"/>
      <c r="K84" s="830"/>
      <c r="L84" s="830"/>
      <c r="M84" s="830"/>
      <c r="N84" s="58"/>
      <c r="O84" s="58" t="s">
        <v>140</v>
      </c>
      <c r="P84" s="59" t="s">
        <v>117</v>
      </c>
      <c r="Q84" s="831"/>
      <c r="R84" s="831"/>
      <c r="S84" s="67" t="s">
        <v>143</v>
      </c>
      <c r="T84" s="324"/>
      <c r="U84" s="88"/>
      <c r="V84" s="88"/>
      <c r="W84" s="664">
        <f t="shared" si="7"/>
        <v>0</v>
      </c>
      <c r="X84" s="664"/>
      <c r="Y84" s="664"/>
      <c r="Z84" s="665"/>
      <c r="AB84" s="832">
        <v>0</v>
      </c>
      <c r="AC84" s="833"/>
      <c r="AD84" s="834"/>
      <c r="AF84" s="832">
        <f t="shared" si="6"/>
        <v>0</v>
      </c>
      <c r="AG84" s="833"/>
      <c r="AH84" s="834"/>
      <c r="AK84" s="325"/>
    </row>
    <row r="85" spans="3:37" s="51" customFormat="1" ht="16" customHeight="1" x14ac:dyDescent="0.15">
      <c r="C85" s="828">
        <f t="shared" si="5"/>
        <v>350</v>
      </c>
      <c r="D85" s="829"/>
      <c r="E85" s="830"/>
      <c r="F85" s="830"/>
      <c r="G85" s="830"/>
      <c r="H85" s="830"/>
      <c r="I85" s="830"/>
      <c r="J85" s="830"/>
      <c r="K85" s="830"/>
      <c r="L85" s="830"/>
      <c r="M85" s="830"/>
      <c r="N85" s="58"/>
      <c r="O85" s="58" t="s">
        <v>140</v>
      </c>
      <c r="P85" s="59" t="s">
        <v>117</v>
      </c>
      <c r="Q85" s="831"/>
      <c r="R85" s="831"/>
      <c r="S85" s="67" t="s">
        <v>143</v>
      </c>
      <c r="T85" s="324"/>
      <c r="U85" s="88"/>
      <c r="V85" s="88"/>
      <c r="W85" s="664">
        <f t="shared" si="7"/>
        <v>0</v>
      </c>
      <c r="X85" s="664"/>
      <c r="Y85" s="664"/>
      <c r="Z85" s="665"/>
      <c r="AB85" s="832">
        <v>0</v>
      </c>
      <c r="AC85" s="833"/>
      <c r="AD85" s="834"/>
      <c r="AF85" s="832">
        <f t="shared" si="6"/>
        <v>0</v>
      </c>
      <c r="AG85" s="833"/>
      <c r="AH85" s="834"/>
      <c r="AK85" s="325"/>
    </row>
    <row r="86" spans="3:37" s="51" customFormat="1" ht="16" customHeight="1" x14ac:dyDescent="0.15">
      <c r="C86" s="828">
        <f t="shared" si="5"/>
        <v>351</v>
      </c>
      <c r="D86" s="829"/>
      <c r="E86" s="830"/>
      <c r="F86" s="830"/>
      <c r="G86" s="830"/>
      <c r="H86" s="830"/>
      <c r="I86" s="830"/>
      <c r="J86" s="830"/>
      <c r="K86" s="830"/>
      <c r="L86" s="830"/>
      <c r="M86" s="830"/>
      <c r="N86" s="58"/>
      <c r="O86" s="58" t="s">
        <v>140</v>
      </c>
      <c r="P86" s="59" t="s">
        <v>117</v>
      </c>
      <c r="Q86" s="831"/>
      <c r="R86" s="831"/>
      <c r="S86" s="67" t="s">
        <v>143</v>
      </c>
      <c r="T86" s="324"/>
      <c r="U86" s="88"/>
      <c r="V86" s="88"/>
      <c r="W86" s="664">
        <f t="shared" si="7"/>
        <v>0</v>
      </c>
      <c r="X86" s="664"/>
      <c r="Y86" s="664"/>
      <c r="Z86" s="665"/>
      <c r="AB86" s="832">
        <v>0</v>
      </c>
      <c r="AC86" s="833"/>
      <c r="AD86" s="834"/>
      <c r="AF86" s="832">
        <f t="shared" si="6"/>
        <v>0</v>
      </c>
      <c r="AG86" s="833"/>
      <c r="AH86" s="834"/>
      <c r="AK86" s="325"/>
    </row>
    <row r="87" spans="3:37" s="51" customFormat="1" ht="16" customHeight="1" x14ac:dyDescent="0.15">
      <c r="C87" s="828">
        <f t="shared" si="5"/>
        <v>352</v>
      </c>
      <c r="D87" s="829"/>
      <c r="E87" s="830"/>
      <c r="F87" s="830"/>
      <c r="G87" s="830"/>
      <c r="H87" s="830"/>
      <c r="I87" s="830"/>
      <c r="J87" s="830"/>
      <c r="K87" s="830"/>
      <c r="L87" s="830"/>
      <c r="M87" s="830"/>
      <c r="N87" s="58"/>
      <c r="O87" s="58" t="s">
        <v>140</v>
      </c>
      <c r="P87" s="59" t="s">
        <v>117</v>
      </c>
      <c r="Q87" s="831"/>
      <c r="R87" s="831"/>
      <c r="S87" s="67" t="s">
        <v>143</v>
      </c>
      <c r="T87" s="324"/>
      <c r="U87" s="88"/>
      <c r="V87" s="88"/>
      <c r="W87" s="664">
        <f t="shared" si="7"/>
        <v>0</v>
      </c>
      <c r="X87" s="664"/>
      <c r="Y87" s="664"/>
      <c r="Z87" s="665"/>
      <c r="AB87" s="832">
        <v>0</v>
      </c>
      <c r="AC87" s="833"/>
      <c r="AD87" s="834"/>
      <c r="AF87" s="832">
        <f t="shared" si="6"/>
        <v>0</v>
      </c>
      <c r="AG87" s="833"/>
      <c r="AH87" s="834"/>
      <c r="AK87" s="325"/>
    </row>
    <row r="88" spans="3:37" s="51" customFormat="1" ht="16" customHeight="1" x14ac:dyDescent="0.15">
      <c r="C88" s="828">
        <f t="shared" si="5"/>
        <v>353</v>
      </c>
      <c r="D88" s="829"/>
      <c r="E88" s="830"/>
      <c r="F88" s="830"/>
      <c r="G88" s="830"/>
      <c r="H88" s="830"/>
      <c r="I88" s="830"/>
      <c r="J88" s="830"/>
      <c r="K88" s="830"/>
      <c r="L88" s="830"/>
      <c r="M88" s="830"/>
      <c r="N88" s="58"/>
      <c r="O88" s="58" t="s">
        <v>140</v>
      </c>
      <c r="P88" s="59" t="s">
        <v>117</v>
      </c>
      <c r="Q88" s="831"/>
      <c r="R88" s="831"/>
      <c r="S88" s="67" t="s">
        <v>143</v>
      </c>
      <c r="T88" s="324"/>
      <c r="U88" s="88"/>
      <c r="V88" s="88"/>
      <c r="W88" s="664">
        <f t="shared" si="7"/>
        <v>0</v>
      </c>
      <c r="X88" s="664"/>
      <c r="Y88" s="664"/>
      <c r="Z88" s="665"/>
      <c r="AB88" s="832">
        <v>0</v>
      </c>
      <c r="AC88" s="833"/>
      <c r="AD88" s="834"/>
      <c r="AF88" s="832">
        <f t="shared" si="6"/>
        <v>0</v>
      </c>
      <c r="AG88" s="833"/>
      <c r="AH88" s="834"/>
      <c r="AK88" s="325"/>
    </row>
    <row r="89" spans="3:37" s="51" customFormat="1" ht="16" customHeight="1" x14ac:dyDescent="0.15">
      <c r="C89" s="828">
        <f t="shared" si="5"/>
        <v>354</v>
      </c>
      <c r="D89" s="829"/>
      <c r="E89" s="830"/>
      <c r="F89" s="830"/>
      <c r="G89" s="830"/>
      <c r="H89" s="830"/>
      <c r="I89" s="830"/>
      <c r="J89" s="830"/>
      <c r="K89" s="830"/>
      <c r="L89" s="830"/>
      <c r="M89" s="830"/>
      <c r="N89" s="58"/>
      <c r="O89" s="58" t="s">
        <v>140</v>
      </c>
      <c r="P89" s="59" t="s">
        <v>117</v>
      </c>
      <c r="Q89" s="831"/>
      <c r="R89" s="831"/>
      <c r="S89" s="67" t="s">
        <v>143</v>
      </c>
      <c r="T89" s="324"/>
      <c r="U89" s="88"/>
      <c r="V89" s="88"/>
      <c r="W89" s="664">
        <f t="shared" si="7"/>
        <v>0</v>
      </c>
      <c r="X89" s="664"/>
      <c r="Y89" s="664"/>
      <c r="Z89" s="665"/>
      <c r="AB89" s="832">
        <v>0</v>
      </c>
      <c r="AC89" s="833"/>
      <c r="AD89" s="834"/>
      <c r="AF89" s="832">
        <f t="shared" si="6"/>
        <v>0</v>
      </c>
      <c r="AG89" s="833"/>
      <c r="AH89" s="834"/>
      <c r="AK89" s="325"/>
    </row>
    <row r="90" spans="3:37" s="51" customFormat="1" ht="16" customHeight="1" x14ac:dyDescent="0.15">
      <c r="C90" s="828">
        <f t="shared" si="5"/>
        <v>355</v>
      </c>
      <c r="D90" s="829"/>
      <c r="E90" s="830"/>
      <c r="F90" s="830"/>
      <c r="G90" s="830"/>
      <c r="H90" s="830"/>
      <c r="I90" s="830"/>
      <c r="J90" s="830"/>
      <c r="K90" s="830"/>
      <c r="L90" s="830"/>
      <c r="M90" s="830"/>
      <c r="N90" s="58"/>
      <c r="O90" s="58" t="s">
        <v>140</v>
      </c>
      <c r="P90" s="59" t="s">
        <v>117</v>
      </c>
      <c r="Q90" s="831"/>
      <c r="R90" s="831"/>
      <c r="S90" s="67" t="s">
        <v>143</v>
      </c>
      <c r="T90" s="324"/>
      <c r="U90" s="88"/>
      <c r="V90" s="88"/>
      <c r="W90" s="664">
        <f t="shared" si="7"/>
        <v>0</v>
      </c>
      <c r="X90" s="664"/>
      <c r="Y90" s="664"/>
      <c r="Z90" s="665"/>
      <c r="AB90" s="832">
        <v>0</v>
      </c>
      <c r="AC90" s="833"/>
      <c r="AD90" s="834"/>
      <c r="AF90" s="832">
        <f t="shared" si="6"/>
        <v>0</v>
      </c>
      <c r="AG90" s="833"/>
      <c r="AH90" s="834"/>
      <c r="AK90" s="325"/>
    </row>
    <row r="91" spans="3:37" s="51" customFormat="1" ht="16" customHeight="1" x14ac:dyDescent="0.15">
      <c r="C91" s="828">
        <f t="shared" si="5"/>
        <v>356</v>
      </c>
      <c r="D91" s="829"/>
      <c r="E91" s="830"/>
      <c r="F91" s="830"/>
      <c r="G91" s="830"/>
      <c r="H91" s="830"/>
      <c r="I91" s="830"/>
      <c r="J91" s="830"/>
      <c r="K91" s="830"/>
      <c r="L91" s="830"/>
      <c r="M91" s="830"/>
      <c r="N91" s="58"/>
      <c r="O91" s="58" t="s">
        <v>140</v>
      </c>
      <c r="P91" s="59" t="s">
        <v>117</v>
      </c>
      <c r="Q91" s="831"/>
      <c r="R91" s="831"/>
      <c r="S91" s="67" t="s">
        <v>143</v>
      </c>
      <c r="T91" s="324"/>
      <c r="U91" s="88"/>
      <c r="V91" s="88"/>
      <c r="W91" s="664">
        <f t="shared" si="7"/>
        <v>0</v>
      </c>
      <c r="X91" s="664"/>
      <c r="Y91" s="664"/>
      <c r="Z91" s="665"/>
      <c r="AB91" s="832">
        <v>0</v>
      </c>
      <c r="AC91" s="833"/>
      <c r="AD91" s="834"/>
      <c r="AF91" s="832">
        <f t="shared" si="6"/>
        <v>0</v>
      </c>
      <c r="AG91" s="833"/>
      <c r="AH91" s="834"/>
      <c r="AK91" s="325"/>
    </row>
    <row r="92" spans="3:37" s="51" customFormat="1" ht="16" customHeight="1" x14ac:dyDescent="0.15">
      <c r="C92" s="828">
        <f t="shared" si="5"/>
        <v>357</v>
      </c>
      <c r="D92" s="829"/>
      <c r="E92" s="830"/>
      <c r="F92" s="830"/>
      <c r="G92" s="830"/>
      <c r="H92" s="830"/>
      <c r="I92" s="830"/>
      <c r="J92" s="830"/>
      <c r="K92" s="830"/>
      <c r="L92" s="830"/>
      <c r="M92" s="830"/>
      <c r="N92" s="58"/>
      <c r="O92" s="58" t="s">
        <v>140</v>
      </c>
      <c r="P92" s="59" t="s">
        <v>117</v>
      </c>
      <c r="Q92" s="831"/>
      <c r="R92" s="831"/>
      <c r="S92" s="67" t="s">
        <v>143</v>
      </c>
      <c r="T92" s="324"/>
      <c r="U92" s="88"/>
      <c r="V92" s="88"/>
      <c r="W92" s="664">
        <f t="shared" si="7"/>
        <v>0</v>
      </c>
      <c r="X92" s="664"/>
      <c r="Y92" s="664"/>
      <c r="Z92" s="665"/>
      <c r="AB92" s="832">
        <v>0</v>
      </c>
      <c r="AC92" s="833"/>
      <c r="AD92" s="834"/>
      <c r="AF92" s="832">
        <f t="shared" si="6"/>
        <v>0</v>
      </c>
      <c r="AG92" s="833"/>
      <c r="AH92" s="834"/>
      <c r="AK92" s="325"/>
    </row>
    <row r="93" spans="3:37" s="51" customFormat="1" ht="16" customHeight="1" x14ac:dyDescent="0.15">
      <c r="C93" s="828">
        <f t="shared" si="5"/>
        <v>358</v>
      </c>
      <c r="D93" s="829"/>
      <c r="E93" s="830"/>
      <c r="F93" s="830"/>
      <c r="G93" s="830"/>
      <c r="H93" s="830"/>
      <c r="I93" s="830"/>
      <c r="J93" s="830"/>
      <c r="K93" s="830"/>
      <c r="L93" s="830"/>
      <c r="M93" s="830"/>
      <c r="N93" s="58"/>
      <c r="O93" s="58" t="s">
        <v>140</v>
      </c>
      <c r="P93" s="59" t="s">
        <v>117</v>
      </c>
      <c r="Q93" s="831"/>
      <c r="R93" s="831"/>
      <c r="S93" s="67" t="s">
        <v>143</v>
      </c>
      <c r="T93" s="324"/>
      <c r="U93" s="88"/>
      <c r="V93" s="88"/>
      <c r="W93" s="664">
        <f t="shared" si="7"/>
        <v>0</v>
      </c>
      <c r="X93" s="664"/>
      <c r="Y93" s="664"/>
      <c r="Z93" s="665"/>
      <c r="AB93" s="832">
        <v>0</v>
      </c>
      <c r="AC93" s="833"/>
      <c r="AD93" s="834"/>
      <c r="AF93" s="832">
        <f t="shared" si="6"/>
        <v>0</v>
      </c>
      <c r="AG93" s="833"/>
      <c r="AH93" s="834"/>
      <c r="AK93" s="325"/>
    </row>
    <row r="94" spans="3:37" s="51" customFormat="1" ht="16" customHeight="1" x14ac:dyDescent="0.15">
      <c r="C94" s="828">
        <f t="shared" si="5"/>
        <v>359</v>
      </c>
      <c r="D94" s="829"/>
      <c r="E94" s="830"/>
      <c r="F94" s="830"/>
      <c r="G94" s="830"/>
      <c r="H94" s="830"/>
      <c r="I94" s="830"/>
      <c r="J94" s="830"/>
      <c r="K94" s="830"/>
      <c r="L94" s="830"/>
      <c r="M94" s="830"/>
      <c r="N94" s="58"/>
      <c r="O94" s="58" t="s">
        <v>140</v>
      </c>
      <c r="P94" s="59" t="s">
        <v>117</v>
      </c>
      <c r="Q94" s="831"/>
      <c r="R94" s="831"/>
      <c r="S94" s="67" t="s">
        <v>143</v>
      </c>
      <c r="T94" s="324"/>
      <c r="U94" s="88"/>
      <c r="V94" s="88"/>
      <c r="W94" s="664">
        <f t="shared" si="7"/>
        <v>0</v>
      </c>
      <c r="X94" s="664"/>
      <c r="Y94" s="664"/>
      <c r="Z94" s="665"/>
      <c r="AB94" s="832">
        <v>0</v>
      </c>
      <c r="AC94" s="833"/>
      <c r="AD94" s="834"/>
      <c r="AF94" s="832">
        <f t="shared" si="6"/>
        <v>0</v>
      </c>
      <c r="AG94" s="833"/>
      <c r="AH94" s="834"/>
      <c r="AK94" s="325"/>
    </row>
    <row r="95" spans="3:37" s="51" customFormat="1" ht="16" customHeight="1" x14ac:dyDescent="0.15">
      <c r="C95" s="828">
        <f t="shared" si="5"/>
        <v>360</v>
      </c>
      <c r="D95" s="829"/>
      <c r="E95" s="830"/>
      <c r="F95" s="830"/>
      <c r="G95" s="830"/>
      <c r="H95" s="830"/>
      <c r="I95" s="830"/>
      <c r="J95" s="830"/>
      <c r="K95" s="830"/>
      <c r="L95" s="830"/>
      <c r="M95" s="830"/>
      <c r="N95" s="58"/>
      <c r="O95" s="58" t="s">
        <v>140</v>
      </c>
      <c r="P95" s="59" t="s">
        <v>117</v>
      </c>
      <c r="Q95" s="831"/>
      <c r="R95" s="831"/>
      <c r="S95" s="67" t="s">
        <v>143</v>
      </c>
      <c r="T95" s="324"/>
      <c r="U95" s="88"/>
      <c r="V95" s="88"/>
      <c r="W95" s="664">
        <f t="shared" si="7"/>
        <v>0</v>
      </c>
      <c r="X95" s="664"/>
      <c r="Y95" s="664"/>
      <c r="Z95" s="665"/>
      <c r="AB95" s="832">
        <v>0</v>
      </c>
      <c r="AC95" s="833"/>
      <c r="AD95" s="834"/>
      <c r="AF95" s="832">
        <f t="shared" si="6"/>
        <v>0</v>
      </c>
      <c r="AG95" s="833"/>
      <c r="AH95" s="834"/>
      <c r="AK95" s="325"/>
    </row>
    <row r="96" spans="3:37" s="51" customFormat="1" ht="16" customHeight="1" x14ac:dyDescent="0.15">
      <c r="C96" s="828">
        <f t="shared" si="5"/>
        <v>361</v>
      </c>
      <c r="D96" s="829"/>
      <c r="E96" s="830"/>
      <c r="F96" s="830"/>
      <c r="G96" s="830"/>
      <c r="H96" s="830"/>
      <c r="I96" s="830"/>
      <c r="J96" s="830"/>
      <c r="K96" s="830"/>
      <c r="L96" s="830"/>
      <c r="M96" s="830"/>
      <c r="N96" s="58"/>
      <c r="O96" s="58" t="s">
        <v>140</v>
      </c>
      <c r="P96" s="59" t="s">
        <v>117</v>
      </c>
      <c r="Q96" s="831"/>
      <c r="R96" s="831"/>
      <c r="S96" s="67" t="s">
        <v>143</v>
      </c>
      <c r="T96" s="324"/>
      <c r="U96" s="88"/>
      <c r="V96" s="88"/>
      <c r="W96" s="664">
        <f t="shared" si="7"/>
        <v>0</v>
      </c>
      <c r="X96" s="664"/>
      <c r="Y96" s="664"/>
      <c r="Z96" s="665"/>
      <c r="AB96" s="832">
        <v>0</v>
      </c>
      <c r="AC96" s="833"/>
      <c r="AD96" s="834"/>
      <c r="AF96" s="832">
        <f t="shared" si="6"/>
        <v>0</v>
      </c>
      <c r="AG96" s="833"/>
      <c r="AH96" s="834"/>
      <c r="AK96" s="325"/>
    </row>
    <row r="97" spans="3:37" s="51" customFormat="1" ht="16" customHeight="1" x14ac:dyDescent="0.15">
      <c r="C97" s="828">
        <f t="shared" si="5"/>
        <v>362</v>
      </c>
      <c r="D97" s="829"/>
      <c r="E97" s="830"/>
      <c r="F97" s="830"/>
      <c r="G97" s="830"/>
      <c r="H97" s="830"/>
      <c r="I97" s="830"/>
      <c r="J97" s="830"/>
      <c r="K97" s="830"/>
      <c r="L97" s="830"/>
      <c r="M97" s="830"/>
      <c r="N97" s="58"/>
      <c r="O97" s="58" t="s">
        <v>140</v>
      </c>
      <c r="P97" s="59" t="s">
        <v>117</v>
      </c>
      <c r="Q97" s="831"/>
      <c r="R97" s="831"/>
      <c r="S97" s="67" t="s">
        <v>143</v>
      </c>
      <c r="T97" s="324"/>
      <c r="U97" s="88"/>
      <c r="V97" s="88"/>
      <c r="W97" s="664">
        <f t="shared" si="7"/>
        <v>0</v>
      </c>
      <c r="X97" s="664"/>
      <c r="Y97" s="664"/>
      <c r="Z97" s="665"/>
      <c r="AB97" s="832">
        <v>0</v>
      </c>
      <c r="AC97" s="833"/>
      <c r="AD97" s="834"/>
      <c r="AF97" s="832">
        <f t="shared" si="6"/>
        <v>0</v>
      </c>
      <c r="AG97" s="833"/>
      <c r="AH97" s="834"/>
      <c r="AK97" s="325"/>
    </row>
    <row r="98" spans="3:37" s="51" customFormat="1" ht="16" customHeight="1" x14ac:dyDescent="0.15">
      <c r="C98" s="828">
        <f t="shared" si="5"/>
        <v>363</v>
      </c>
      <c r="D98" s="829"/>
      <c r="E98" s="830"/>
      <c r="F98" s="830"/>
      <c r="G98" s="830"/>
      <c r="H98" s="830"/>
      <c r="I98" s="830"/>
      <c r="J98" s="830"/>
      <c r="K98" s="830"/>
      <c r="L98" s="830"/>
      <c r="M98" s="830"/>
      <c r="N98" s="58"/>
      <c r="O98" s="58" t="s">
        <v>140</v>
      </c>
      <c r="P98" s="59" t="s">
        <v>117</v>
      </c>
      <c r="Q98" s="831"/>
      <c r="R98" s="831"/>
      <c r="S98" s="67" t="s">
        <v>143</v>
      </c>
      <c r="T98" s="324"/>
      <c r="U98" s="88"/>
      <c r="V98" s="88"/>
      <c r="W98" s="664">
        <f t="shared" si="7"/>
        <v>0</v>
      </c>
      <c r="X98" s="664"/>
      <c r="Y98" s="664"/>
      <c r="Z98" s="665"/>
      <c r="AB98" s="832">
        <v>0</v>
      </c>
      <c r="AC98" s="833"/>
      <c r="AD98" s="834"/>
      <c r="AF98" s="832">
        <f t="shared" si="6"/>
        <v>0</v>
      </c>
      <c r="AG98" s="833"/>
      <c r="AH98" s="834"/>
      <c r="AK98" s="325"/>
    </row>
    <row r="99" spans="3:37" s="51" customFormat="1" ht="16" customHeight="1" x14ac:dyDescent="0.15">
      <c r="C99" s="828">
        <f t="shared" si="5"/>
        <v>364</v>
      </c>
      <c r="D99" s="829"/>
      <c r="E99" s="830"/>
      <c r="F99" s="830"/>
      <c r="G99" s="830"/>
      <c r="H99" s="830"/>
      <c r="I99" s="830"/>
      <c r="J99" s="830"/>
      <c r="K99" s="830"/>
      <c r="L99" s="830"/>
      <c r="M99" s="830"/>
      <c r="N99" s="58"/>
      <c r="O99" s="58" t="s">
        <v>140</v>
      </c>
      <c r="P99" s="59" t="s">
        <v>117</v>
      </c>
      <c r="Q99" s="831"/>
      <c r="R99" s="831"/>
      <c r="S99" s="67" t="s">
        <v>143</v>
      </c>
      <c r="T99" s="324"/>
      <c r="U99" s="88"/>
      <c r="V99" s="88"/>
      <c r="W99" s="664">
        <f t="shared" si="7"/>
        <v>0</v>
      </c>
      <c r="X99" s="664"/>
      <c r="Y99" s="664"/>
      <c r="Z99" s="665"/>
      <c r="AB99" s="832">
        <v>0</v>
      </c>
      <c r="AC99" s="833"/>
      <c r="AD99" s="834"/>
      <c r="AF99" s="832">
        <f t="shared" si="6"/>
        <v>0</v>
      </c>
      <c r="AG99" s="833"/>
      <c r="AH99" s="834"/>
      <c r="AK99" s="325"/>
    </row>
    <row r="100" spans="3:37" s="51" customFormat="1" ht="16" customHeight="1" x14ac:dyDescent="0.15">
      <c r="C100" s="828">
        <f t="shared" si="5"/>
        <v>365</v>
      </c>
      <c r="D100" s="829"/>
      <c r="E100" s="830"/>
      <c r="F100" s="830"/>
      <c r="G100" s="830"/>
      <c r="H100" s="830"/>
      <c r="I100" s="830"/>
      <c r="J100" s="830"/>
      <c r="K100" s="830"/>
      <c r="L100" s="830"/>
      <c r="M100" s="830"/>
      <c r="N100" s="58"/>
      <c r="O100" s="58" t="s">
        <v>140</v>
      </c>
      <c r="P100" s="59" t="s">
        <v>117</v>
      </c>
      <c r="Q100" s="831"/>
      <c r="R100" s="831"/>
      <c r="S100" s="67" t="s">
        <v>143</v>
      </c>
      <c r="T100" s="324"/>
      <c r="U100" s="88"/>
      <c r="V100" s="88"/>
      <c r="W100" s="664">
        <f t="shared" si="7"/>
        <v>0</v>
      </c>
      <c r="X100" s="664"/>
      <c r="Y100" s="664"/>
      <c r="Z100" s="665"/>
      <c r="AB100" s="832">
        <v>0</v>
      </c>
      <c r="AC100" s="833"/>
      <c r="AD100" s="834"/>
      <c r="AF100" s="832">
        <f t="shared" si="6"/>
        <v>0</v>
      </c>
      <c r="AG100" s="833"/>
      <c r="AH100" s="834"/>
      <c r="AK100" s="325"/>
    </row>
    <row r="101" spans="3:37" s="51" customFormat="1" ht="16" customHeight="1" x14ac:dyDescent="0.15">
      <c r="C101" s="828">
        <f t="shared" si="5"/>
        <v>366</v>
      </c>
      <c r="D101" s="829"/>
      <c r="E101" s="830"/>
      <c r="F101" s="830"/>
      <c r="G101" s="830"/>
      <c r="H101" s="830"/>
      <c r="I101" s="830"/>
      <c r="J101" s="830"/>
      <c r="K101" s="830"/>
      <c r="L101" s="830"/>
      <c r="M101" s="830"/>
      <c r="N101" s="58"/>
      <c r="O101" s="58" t="s">
        <v>140</v>
      </c>
      <c r="P101" s="59" t="s">
        <v>117</v>
      </c>
      <c r="Q101" s="831"/>
      <c r="R101" s="831"/>
      <c r="S101" s="67" t="s">
        <v>143</v>
      </c>
      <c r="T101" s="324"/>
      <c r="U101" s="88"/>
      <c r="V101" s="88"/>
      <c r="W101" s="664">
        <f t="shared" si="7"/>
        <v>0</v>
      </c>
      <c r="X101" s="664"/>
      <c r="Y101" s="664"/>
      <c r="Z101" s="665"/>
      <c r="AB101" s="832">
        <v>0</v>
      </c>
      <c r="AC101" s="833"/>
      <c r="AD101" s="834"/>
      <c r="AF101" s="832">
        <f t="shared" si="6"/>
        <v>0</v>
      </c>
      <c r="AG101" s="833"/>
      <c r="AH101" s="834"/>
      <c r="AK101" s="325"/>
    </row>
    <row r="102" spans="3:37" s="51" customFormat="1" ht="16" customHeight="1" x14ac:dyDescent="0.15">
      <c r="C102" s="828">
        <f t="shared" si="5"/>
        <v>367</v>
      </c>
      <c r="D102" s="829"/>
      <c r="E102" s="830"/>
      <c r="F102" s="830"/>
      <c r="G102" s="830"/>
      <c r="H102" s="830"/>
      <c r="I102" s="830"/>
      <c r="J102" s="830"/>
      <c r="K102" s="830"/>
      <c r="L102" s="830"/>
      <c r="M102" s="830"/>
      <c r="N102" s="58"/>
      <c r="O102" s="58" t="s">
        <v>140</v>
      </c>
      <c r="P102" s="59" t="s">
        <v>117</v>
      </c>
      <c r="Q102" s="831"/>
      <c r="R102" s="831"/>
      <c r="S102" s="67" t="s">
        <v>143</v>
      </c>
      <c r="T102" s="324"/>
      <c r="U102" s="88"/>
      <c r="V102" s="88"/>
      <c r="W102" s="664">
        <f t="shared" si="7"/>
        <v>0</v>
      </c>
      <c r="X102" s="664"/>
      <c r="Y102" s="664"/>
      <c r="Z102" s="665"/>
      <c r="AB102" s="832">
        <v>0</v>
      </c>
      <c r="AC102" s="833"/>
      <c r="AD102" s="834"/>
      <c r="AF102" s="832">
        <f t="shared" si="6"/>
        <v>0</v>
      </c>
      <c r="AG102" s="833"/>
      <c r="AH102" s="834"/>
      <c r="AK102" s="325"/>
    </row>
    <row r="103" spans="3:37" s="51" customFormat="1" ht="16" customHeight="1" x14ac:dyDescent="0.15">
      <c r="C103" s="828">
        <f t="shared" si="5"/>
        <v>368</v>
      </c>
      <c r="D103" s="829"/>
      <c r="E103" s="830"/>
      <c r="F103" s="830"/>
      <c r="G103" s="830"/>
      <c r="H103" s="830"/>
      <c r="I103" s="830"/>
      <c r="J103" s="830"/>
      <c r="K103" s="830"/>
      <c r="L103" s="830"/>
      <c r="M103" s="830"/>
      <c r="N103" s="58"/>
      <c r="O103" s="58" t="s">
        <v>140</v>
      </c>
      <c r="P103" s="59" t="s">
        <v>117</v>
      </c>
      <c r="Q103" s="831"/>
      <c r="R103" s="831"/>
      <c r="S103" s="67" t="s">
        <v>143</v>
      </c>
      <c r="T103" s="324"/>
      <c r="U103" s="88"/>
      <c r="V103" s="88"/>
      <c r="W103" s="664">
        <f t="shared" si="7"/>
        <v>0</v>
      </c>
      <c r="X103" s="664"/>
      <c r="Y103" s="664"/>
      <c r="Z103" s="665"/>
      <c r="AB103" s="832">
        <v>0</v>
      </c>
      <c r="AC103" s="833"/>
      <c r="AD103" s="834"/>
      <c r="AF103" s="832">
        <f t="shared" si="6"/>
        <v>0</v>
      </c>
      <c r="AG103" s="833"/>
      <c r="AH103" s="834"/>
      <c r="AK103" s="325"/>
    </row>
    <row r="104" spans="3:37" s="51" customFormat="1" ht="16" customHeight="1" x14ac:dyDescent="0.15">
      <c r="C104" s="828">
        <f t="shared" si="5"/>
        <v>369</v>
      </c>
      <c r="D104" s="829"/>
      <c r="E104" s="830"/>
      <c r="F104" s="830"/>
      <c r="G104" s="830"/>
      <c r="H104" s="830"/>
      <c r="I104" s="830"/>
      <c r="J104" s="830"/>
      <c r="K104" s="830"/>
      <c r="L104" s="830"/>
      <c r="M104" s="830"/>
      <c r="N104" s="58"/>
      <c r="O104" s="58" t="s">
        <v>140</v>
      </c>
      <c r="P104" s="59" t="s">
        <v>117</v>
      </c>
      <c r="Q104" s="831"/>
      <c r="R104" s="831"/>
      <c r="S104" s="67" t="s">
        <v>143</v>
      </c>
      <c r="T104" s="324"/>
      <c r="U104" s="74"/>
      <c r="V104" s="74"/>
      <c r="W104" s="664">
        <f t="shared" si="7"/>
        <v>0</v>
      </c>
      <c r="X104" s="664"/>
      <c r="Y104" s="664"/>
      <c r="Z104" s="665"/>
      <c r="AB104" s="832">
        <v>0</v>
      </c>
      <c r="AC104" s="833"/>
      <c r="AD104" s="834"/>
      <c r="AF104" s="832">
        <f t="shared" si="6"/>
        <v>0</v>
      </c>
      <c r="AG104" s="833"/>
      <c r="AH104" s="834"/>
      <c r="AK104" s="325"/>
    </row>
    <row r="105" spans="3:37" s="51" customFormat="1" ht="16" customHeight="1" x14ac:dyDescent="0.15">
      <c r="C105" s="828">
        <f t="shared" si="5"/>
        <v>370</v>
      </c>
      <c r="D105" s="829"/>
      <c r="E105" s="830"/>
      <c r="F105" s="830"/>
      <c r="G105" s="830"/>
      <c r="H105" s="830"/>
      <c r="I105" s="830"/>
      <c r="J105" s="830"/>
      <c r="K105" s="830"/>
      <c r="L105" s="830"/>
      <c r="M105" s="830"/>
      <c r="N105" s="58"/>
      <c r="O105" s="58" t="s">
        <v>140</v>
      </c>
      <c r="P105" s="59" t="s">
        <v>117</v>
      </c>
      <c r="Q105" s="831"/>
      <c r="R105" s="831"/>
      <c r="S105" s="67" t="s">
        <v>143</v>
      </c>
      <c r="T105" s="324"/>
      <c r="U105" s="74"/>
      <c r="V105" s="74"/>
      <c r="W105" s="664">
        <f t="shared" si="7"/>
        <v>0</v>
      </c>
      <c r="X105" s="664"/>
      <c r="Y105" s="664"/>
      <c r="Z105" s="665"/>
      <c r="AB105" s="832">
        <v>0</v>
      </c>
      <c r="AC105" s="833"/>
      <c r="AD105" s="834"/>
      <c r="AF105" s="832">
        <f t="shared" si="6"/>
        <v>0</v>
      </c>
      <c r="AG105" s="833"/>
      <c r="AH105" s="834"/>
      <c r="AK105" s="325"/>
    </row>
    <row r="106" spans="3:37" s="51" customFormat="1" ht="16" customHeight="1" x14ac:dyDescent="0.15">
      <c r="C106" s="828">
        <f t="shared" si="5"/>
        <v>371</v>
      </c>
      <c r="D106" s="829"/>
      <c r="E106" s="830"/>
      <c r="F106" s="830"/>
      <c r="G106" s="830"/>
      <c r="H106" s="830"/>
      <c r="I106" s="830"/>
      <c r="J106" s="830"/>
      <c r="K106" s="830"/>
      <c r="L106" s="830"/>
      <c r="M106" s="830"/>
      <c r="N106" s="58"/>
      <c r="O106" s="58" t="s">
        <v>140</v>
      </c>
      <c r="P106" s="59" t="s">
        <v>117</v>
      </c>
      <c r="Q106" s="831"/>
      <c r="R106" s="831"/>
      <c r="S106" s="67" t="s">
        <v>143</v>
      </c>
      <c r="T106" s="324"/>
      <c r="U106" s="74"/>
      <c r="V106" s="74"/>
      <c r="W106" s="664">
        <f t="shared" si="7"/>
        <v>0</v>
      </c>
      <c r="X106" s="664"/>
      <c r="Y106" s="664"/>
      <c r="Z106" s="665"/>
      <c r="AB106" s="832">
        <v>0</v>
      </c>
      <c r="AC106" s="833"/>
      <c r="AD106" s="834"/>
      <c r="AF106" s="832">
        <f t="shared" si="6"/>
        <v>0</v>
      </c>
      <c r="AG106" s="833"/>
      <c r="AH106" s="834"/>
      <c r="AK106" s="325"/>
    </row>
    <row r="107" spans="3:37" s="51" customFormat="1" ht="16" customHeight="1" x14ac:dyDescent="0.15">
      <c r="C107" s="828">
        <f t="shared" si="5"/>
        <v>372</v>
      </c>
      <c r="D107" s="829"/>
      <c r="E107" s="830"/>
      <c r="F107" s="830"/>
      <c r="G107" s="830"/>
      <c r="H107" s="830"/>
      <c r="I107" s="830"/>
      <c r="J107" s="830"/>
      <c r="K107" s="830"/>
      <c r="L107" s="830"/>
      <c r="M107" s="830"/>
      <c r="N107" s="58"/>
      <c r="O107" s="58" t="s">
        <v>140</v>
      </c>
      <c r="P107" s="59" t="s">
        <v>117</v>
      </c>
      <c r="Q107" s="831"/>
      <c r="R107" s="831"/>
      <c r="S107" s="67" t="s">
        <v>143</v>
      </c>
      <c r="T107" s="324"/>
      <c r="U107" s="74"/>
      <c r="V107" s="74"/>
      <c r="W107" s="664">
        <f t="shared" si="7"/>
        <v>0</v>
      </c>
      <c r="X107" s="664"/>
      <c r="Y107" s="664"/>
      <c r="Z107" s="665"/>
      <c r="AB107" s="832">
        <v>0</v>
      </c>
      <c r="AC107" s="833"/>
      <c r="AD107" s="834"/>
      <c r="AF107" s="832">
        <f t="shared" si="6"/>
        <v>0</v>
      </c>
      <c r="AG107" s="833"/>
      <c r="AH107" s="834"/>
      <c r="AK107" s="325"/>
    </row>
    <row r="108" spans="3:37" s="51" customFormat="1" ht="16" customHeight="1" x14ac:dyDescent="0.15">
      <c r="C108" s="828">
        <f t="shared" si="5"/>
        <v>373</v>
      </c>
      <c r="D108" s="829"/>
      <c r="E108" s="830"/>
      <c r="F108" s="830"/>
      <c r="G108" s="830"/>
      <c r="H108" s="830"/>
      <c r="I108" s="830"/>
      <c r="J108" s="830"/>
      <c r="K108" s="830"/>
      <c r="L108" s="830"/>
      <c r="M108" s="830"/>
      <c r="N108" s="58"/>
      <c r="O108" s="58" t="s">
        <v>140</v>
      </c>
      <c r="P108" s="59" t="s">
        <v>117</v>
      </c>
      <c r="Q108" s="831"/>
      <c r="R108" s="831"/>
      <c r="S108" s="67" t="s">
        <v>143</v>
      </c>
      <c r="T108" s="324"/>
      <c r="U108" s="74"/>
      <c r="V108" s="74"/>
      <c r="W108" s="664">
        <f t="shared" si="7"/>
        <v>0</v>
      </c>
      <c r="X108" s="664"/>
      <c r="Y108" s="664"/>
      <c r="Z108" s="665"/>
      <c r="AB108" s="832">
        <v>0</v>
      </c>
      <c r="AC108" s="833"/>
      <c r="AD108" s="834"/>
      <c r="AF108" s="832">
        <f t="shared" si="6"/>
        <v>0</v>
      </c>
      <c r="AG108" s="833"/>
      <c r="AH108" s="834"/>
      <c r="AK108" s="325"/>
    </row>
    <row r="109" spans="3:37" s="51" customFormat="1" ht="16" customHeight="1" x14ac:dyDescent="0.15">
      <c r="C109" s="828">
        <f t="shared" si="5"/>
        <v>374</v>
      </c>
      <c r="D109" s="829"/>
      <c r="E109" s="830"/>
      <c r="F109" s="830"/>
      <c r="G109" s="830"/>
      <c r="H109" s="830"/>
      <c r="I109" s="830"/>
      <c r="J109" s="830"/>
      <c r="K109" s="830"/>
      <c r="L109" s="830"/>
      <c r="M109" s="830"/>
      <c r="N109" s="58"/>
      <c r="O109" s="58" t="s">
        <v>140</v>
      </c>
      <c r="P109" s="59" t="s">
        <v>117</v>
      </c>
      <c r="Q109" s="831"/>
      <c r="R109" s="831"/>
      <c r="S109" s="67" t="s">
        <v>143</v>
      </c>
      <c r="T109" s="324"/>
      <c r="U109" s="74"/>
      <c r="V109" s="74"/>
      <c r="W109" s="664">
        <f t="shared" si="7"/>
        <v>0</v>
      </c>
      <c r="X109" s="664"/>
      <c r="Y109" s="664"/>
      <c r="Z109" s="665"/>
      <c r="AB109" s="832">
        <v>0</v>
      </c>
      <c r="AC109" s="833"/>
      <c r="AD109" s="834"/>
      <c r="AF109" s="832">
        <f t="shared" si="6"/>
        <v>0</v>
      </c>
      <c r="AG109" s="833"/>
      <c r="AH109" s="834"/>
      <c r="AK109" s="325"/>
    </row>
    <row r="110" spans="3:37" s="51" customFormat="1" ht="16" customHeight="1" x14ac:dyDescent="0.15">
      <c r="C110" s="828">
        <f t="shared" si="5"/>
        <v>375</v>
      </c>
      <c r="D110" s="829"/>
      <c r="E110" s="830"/>
      <c r="F110" s="830"/>
      <c r="G110" s="830"/>
      <c r="H110" s="830"/>
      <c r="I110" s="830"/>
      <c r="J110" s="830"/>
      <c r="K110" s="830"/>
      <c r="L110" s="830"/>
      <c r="M110" s="830"/>
      <c r="N110" s="58"/>
      <c r="O110" s="58" t="s">
        <v>140</v>
      </c>
      <c r="P110" s="59" t="s">
        <v>117</v>
      </c>
      <c r="Q110" s="831"/>
      <c r="R110" s="831"/>
      <c r="S110" s="67" t="s">
        <v>143</v>
      </c>
      <c r="T110" s="324"/>
      <c r="U110" s="74"/>
      <c r="V110" s="74"/>
      <c r="W110" s="664">
        <f t="shared" si="7"/>
        <v>0</v>
      </c>
      <c r="X110" s="664"/>
      <c r="Y110" s="664"/>
      <c r="Z110" s="665"/>
      <c r="AB110" s="832">
        <v>0</v>
      </c>
      <c r="AC110" s="833"/>
      <c r="AD110" s="834"/>
      <c r="AF110" s="832">
        <f t="shared" si="6"/>
        <v>0</v>
      </c>
      <c r="AG110" s="833"/>
      <c r="AH110" s="834"/>
      <c r="AK110" s="325"/>
    </row>
    <row r="111" spans="3:37" s="51" customFormat="1" ht="16" customHeight="1" x14ac:dyDescent="0.15">
      <c r="C111" s="828">
        <f t="shared" si="5"/>
        <v>376</v>
      </c>
      <c r="D111" s="829"/>
      <c r="E111" s="830"/>
      <c r="F111" s="830"/>
      <c r="G111" s="830"/>
      <c r="H111" s="830"/>
      <c r="I111" s="830"/>
      <c r="J111" s="830"/>
      <c r="K111" s="830"/>
      <c r="L111" s="830"/>
      <c r="M111" s="830"/>
      <c r="N111" s="58"/>
      <c r="O111" s="58" t="s">
        <v>140</v>
      </c>
      <c r="P111" s="59" t="s">
        <v>117</v>
      </c>
      <c r="Q111" s="831"/>
      <c r="R111" s="831"/>
      <c r="S111" s="67" t="s">
        <v>143</v>
      </c>
      <c r="T111" s="324"/>
      <c r="U111" s="74"/>
      <c r="V111" s="74"/>
      <c r="W111" s="664">
        <f t="shared" si="7"/>
        <v>0</v>
      </c>
      <c r="X111" s="664"/>
      <c r="Y111" s="664"/>
      <c r="Z111" s="665"/>
      <c r="AB111" s="832">
        <v>0</v>
      </c>
      <c r="AC111" s="833"/>
      <c r="AD111" s="834"/>
      <c r="AF111" s="832">
        <f t="shared" si="6"/>
        <v>0</v>
      </c>
      <c r="AG111" s="833"/>
      <c r="AH111" s="834"/>
      <c r="AK111" s="325"/>
    </row>
    <row r="112" spans="3:37" s="51" customFormat="1" ht="16" customHeight="1" x14ac:dyDescent="0.15">
      <c r="C112" s="828">
        <f t="shared" si="5"/>
        <v>377</v>
      </c>
      <c r="D112" s="829"/>
      <c r="E112" s="830"/>
      <c r="F112" s="830"/>
      <c r="G112" s="830"/>
      <c r="H112" s="830"/>
      <c r="I112" s="830"/>
      <c r="J112" s="830"/>
      <c r="K112" s="830"/>
      <c r="L112" s="830"/>
      <c r="M112" s="830"/>
      <c r="N112" s="58"/>
      <c r="O112" s="58" t="s">
        <v>140</v>
      </c>
      <c r="P112" s="59" t="s">
        <v>117</v>
      </c>
      <c r="Q112" s="831"/>
      <c r="R112" s="831"/>
      <c r="S112" s="67" t="s">
        <v>143</v>
      </c>
      <c r="T112" s="324"/>
      <c r="U112" s="74"/>
      <c r="V112" s="74"/>
      <c r="W112" s="664">
        <f t="shared" si="7"/>
        <v>0</v>
      </c>
      <c r="X112" s="664"/>
      <c r="Y112" s="664"/>
      <c r="Z112" s="665"/>
      <c r="AB112" s="832">
        <v>0</v>
      </c>
      <c r="AC112" s="833"/>
      <c r="AD112" s="834"/>
      <c r="AF112" s="832">
        <f t="shared" si="6"/>
        <v>0</v>
      </c>
      <c r="AG112" s="833"/>
      <c r="AH112" s="834"/>
      <c r="AK112" s="325"/>
    </row>
    <row r="113" spans="3:38" s="51" customFormat="1" ht="16" customHeight="1" x14ac:dyDescent="0.15">
      <c r="C113" s="828">
        <f t="shared" si="5"/>
        <v>378</v>
      </c>
      <c r="D113" s="829"/>
      <c r="E113" s="830"/>
      <c r="F113" s="830"/>
      <c r="G113" s="830"/>
      <c r="H113" s="830"/>
      <c r="I113" s="830"/>
      <c r="J113" s="830"/>
      <c r="K113" s="830"/>
      <c r="L113" s="830"/>
      <c r="M113" s="830"/>
      <c r="N113" s="58"/>
      <c r="O113" s="58" t="s">
        <v>140</v>
      </c>
      <c r="P113" s="59" t="s">
        <v>117</v>
      </c>
      <c r="Q113" s="831"/>
      <c r="R113" s="831"/>
      <c r="S113" s="67" t="s">
        <v>143</v>
      </c>
      <c r="T113" s="324"/>
      <c r="U113" s="74"/>
      <c r="V113" s="74"/>
      <c r="W113" s="664">
        <f t="shared" si="7"/>
        <v>0</v>
      </c>
      <c r="X113" s="664"/>
      <c r="Y113" s="664"/>
      <c r="Z113" s="665"/>
      <c r="AB113" s="832">
        <v>0</v>
      </c>
      <c r="AC113" s="833"/>
      <c r="AD113" s="834"/>
      <c r="AF113" s="832">
        <f t="shared" si="6"/>
        <v>0</v>
      </c>
      <c r="AG113" s="833"/>
      <c r="AH113" s="834"/>
      <c r="AK113" s="325"/>
    </row>
    <row r="114" spans="3:38" s="51" customFormat="1" ht="16" customHeight="1" x14ac:dyDescent="0.15">
      <c r="C114" s="828">
        <f t="shared" si="5"/>
        <v>379</v>
      </c>
      <c r="D114" s="829"/>
      <c r="E114" s="830"/>
      <c r="F114" s="830"/>
      <c r="G114" s="830"/>
      <c r="H114" s="830"/>
      <c r="I114" s="830"/>
      <c r="J114" s="830"/>
      <c r="K114" s="830"/>
      <c r="L114" s="830"/>
      <c r="M114" s="830"/>
      <c r="N114" s="58"/>
      <c r="O114" s="58" t="s">
        <v>140</v>
      </c>
      <c r="P114" s="59" t="s">
        <v>117</v>
      </c>
      <c r="Q114" s="831"/>
      <c r="R114" s="831"/>
      <c r="S114" s="67" t="s">
        <v>143</v>
      </c>
      <c r="T114" s="324"/>
      <c r="U114" s="74"/>
      <c r="V114" s="74"/>
      <c r="W114" s="664">
        <f t="shared" si="7"/>
        <v>0</v>
      </c>
      <c r="X114" s="664"/>
      <c r="Y114" s="664"/>
      <c r="Z114" s="665"/>
      <c r="AB114" s="832">
        <v>0</v>
      </c>
      <c r="AC114" s="833"/>
      <c r="AD114" s="834"/>
      <c r="AF114" s="832">
        <f t="shared" si="6"/>
        <v>0</v>
      </c>
      <c r="AG114" s="833"/>
      <c r="AH114" s="834"/>
      <c r="AK114" s="325"/>
    </row>
    <row r="115" spans="3:38" s="51" customFormat="1" ht="16" customHeight="1" x14ac:dyDescent="0.15">
      <c r="C115" s="828">
        <f t="shared" si="5"/>
        <v>380</v>
      </c>
      <c r="D115" s="829"/>
      <c r="E115" s="853"/>
      <c r="F115" s="853"/>
      <c r="G115" s="853"/>
      <c r="H115" s="853"/>
      <c r="I115" s="853"/>
      <c r="J115" s="853"/>
      <c r="K115" s="853"/>
      <c r="L115" s="853"/>
      <c r="M115" s="853"/>
      <c r="N115" s="326"/>
      <c r="O115" s="58" t="s">
        <v>140</v>
      </c>
      <c r="P115" s="49" t="s">
        <v>117</v>
      </c>
      <c r="Q115" s="852"/>
      <c r="R115" s="852"/>
      <c r="S115" s="50" t="s">
        <v>143</v>
      </c>
      <c r="T115" s="327"/>
      <c r="U115" s="89"/>
      <c r="V115" s="89"/>
      <c r="W115" s="664">
        <f t="shared" si="7"/>
        <v>0</v>
      </c>
      <c r="X115" s="664"/>
      <c r="Y115" s="664"/>
      <c r="Z115" s="665"/>
      <c r="AB115" s="832">
        <v>0</v>
      </c>
      <c r="AC115" s="833"/>
      <c r="AD115" s="834"/>
      <c r="AF115" s="832">
        <f t="shared" si="6"/>
        <v>0</v>
      </c>
      <c r="AG115" s="833"/>
      <c r="AH115" s="834"/>
    </row>
    <row r="116" spans="3:38" s="51" customFormat="1" ht="16" customHeight="1" x14ac:dyDescent="0.15">
      <c r="C116" s="828">
        <f t="shared" si="5"/>
        <v>381</v>
      </c>
      <c r="D116" s="829"/>
      <c r="E116" s="851"/>
      <c r="F116" s="851"/>
      <c r="G116" s="851"/>
      <c r="H116" s="851"/>
      <c r="I116" s="851"/>
      <c r="J116" s="851"/>
      <c r="K116" s="851"/>
      <c r="L116" s="851"/>
      <c r="M116" s="851"/>
      <c r="N116" s="326"/>
      <c r="O116" s="58" t="s">
        <v>140</v>
      </c>
      <c r="P116" s="49" t="s">
        <v>117</v>
      </c>
      <c r="Q116" s="852"/>
      <c r="R116" s="852"/>
      <c r="S116" s="50" t="s">
        <v>143</v>
      </c>
      <c r="T116" s="327"/>
      <c r="U116" s="89"/>
      <c r="V116" s="89"/>
      <c r="W116" s="664">
        <f t="shared" si="7"/>
        <v>0</v>
      </c>
      <c r="X116" s="664"/>
      <c r="Y116" s="664"/>
      <c r="Z116" s="665"/>
      <c r="AB116" s="832">
        <v>0</v>
      </c>
      <c r="AC116" s="833"/>
      <c r="AD116" s="834"/>
      <c r="AF116" s="832">
        <f t="shared" si="6"/>
        <v>0</v>
      </c>
      <c r="AG116" s="833"/>
      <c r="AH116" s="834"/>
    </row>
    <row r="117" spans="3:38" s="51" customFormat="1" ht="16" customHeight="1" x14ac:dyDescent="0.15">
      <c r="C117" s="828">
        <f t="shared" si="5"/>
        <v>382</v>
      </c>
      <c r="D117" s="829"/>
      <c r="E117" s="851"/>
      <c r="F117" s="851"/>
      <c r="G117" s="851"/>
      <c r="H117" s="851"/>
      <c r="I117" s="851"/>
      <c r="J117" s="851"/>
      <c r="K117" s="851"/>
      <c r="L117" s="851"/>
      <c r="M117" s="851"/>
      <c r="N117" s="326"/>
      <c r="O117" s="58" t="s">
        <v>140</v>
      </c>
      <c r="P117" s="49" t="s">
        <v>117</v>
      </c>
      <c r="Q117" s="852"/>
      <c r="R117" s="852"/>
      <c r="S117" s="50" t="s">
        <v>143</v>
      </c>
      <c r="T117" s="327"/>
      <c r="U117" s="89"/>
      <c r="V117" s="89"/>
      <c r="W117" s="664">
        <f t="shared" si="7"/>
        <v>0</v>
      </c>
      <c r="X117" s="664"/>
      <c r="Y117" s="664"/>
      <c r="Z117" s="665"/>
      <c r="AB117" s="832">
        <v>0</v>
      </c>
      <c r="AC117" s="833"/>
      <c r="AD117" s="834"/>
      <c r="AF117" s="832">
        <f t="shared" si="6"/>
        <v>0</v>
      </c>
      <c r="AG117" s="833"/>
      <c r="AH117" s="834"/>
      <c r="AK117" s="291"/>
    </row>
    <row r="118" spans="3:38" s="51" customFormat="1" ht="16" customHeight="1" x14ac:dyDescent="0.15">
      <c r="C118" s="828">
        <f t="shared" si="5"/>
        <v>383</v>
      </c>
      <c r="D118" s="829"/>
      <c r="E118" s="851"/>
      <c r="F118" s="851"/>
      <c r="G118" s="851"/>
      <c r="H118" s="851"/>
      <c r="I118" s="851"/>
      <c r="J118" s="851"/>
      <c r="K118" s="851"/>
      <c r="L118" s="851"/>
      <c r="M118" s="851"/>
      <c r="N118" s="326"/>
      <c r="O118" s="58" t="s">
        <v>140</v>
      </c>
      <c r="P118" s="49" t="s">
        <v>117</v>
      </c>
      <c r="Q118" s="852"/>
      <c r="R118" s="852"/>
      <c r="S118" s="50" t="s">
        <v>143</v>
      </c>
      <c r="T118" s="327"/>
      <c r="U118" s="89"/>
      <c r="V118" s="89"/>
      <c r="W118" s="664">
        <f t="shared" si="7"/>
        <v>0</v>
      </c>
      <c r="X118" s="664"/>
      <c r="Y118" s="664"/>
      <c r="Z118" s="665"/>
      <c r="AB118" s="832">
        <v>0</v>
      </c>
      <c r="AC118" s="833"/>
      <c r="AD118" s="834"/>
      <c r="AF118" s="832">
        <f t="shared" si="6"/>
        <v>0</v>
      </c>
      <c r="AG118" s="833"/>
      <c r="AH118" s="834"/>
      <c r="AK118" s="291"/>
    </row>
    <row r="119" spans="3:38" s="51" customFormat="1" ht="16" customHeight="1" x14ac:dyDescent="0.15">
      <c r="C119" s="828">
        <f t="shared" si="5"/>
        <v>384</v>
      </c>
      <c r="D119" s="829"/>
      <c r="E119" s="851"/>
      <c r="F119" s="851"/>
      <c r="G119" s="851"/>
      <c r="H119" s="851"/>
      <c r="I119" s="851"/>
      <c r="J119" s="851"/>
      <c r="K119" s="851"/>
      <c r="L119" s="851"/>
      <c r="M119" s="851"/>
      <c r="N119" s="326"/>
      <c r="O119" s="58" t="s">
        <v>140</v>
      </c>
      <c r="P119" s="49" t="s">
        <v>117</v>
      </c>
      <c r="Q119" s="852"/>
      <c r="R119" s="852"/>
      <c r="S119" s="50" t="s">
        <v>143</v>
      </c>
      <c r="T119" s="327"/>
      <c r="U119" s="89"/>
      <c r="V119" s="89"/>
      <c r="W119" s="664">
        <f t="shared" si="7"/>
        <v>0</v>
      </c>
      <c r="X119" s="664"/>
      <c r="Y119" s="664"/>
      <c r="Z119" s="665"/>
      <c r="AB119" s="832">
        <v>0</v>
      </c>
      <c r="AC119" s="833"/>
      <c r="AD119" s="834"/>
      <c r="AF119" s="832">
        <f t="shared" si="6"/>
        <v>0</v>
      </c>
      <c r="AG119" s="833"/>
      <c r="AH119" s="834"/>
      <c r="AK119" s="291"/>
    </row>
    <row r="120" spans="3:38" s="51" customFormat="1" ht="16" customHeight="1" x14ac:dyDescent="0.15">
      <c r="C120" s="828">
        <f t="shared" si="5"/>
        <v>385</v>
      </c>
      <c r="D120" s="829"/>
      <c r="E120" s="851"/>
      <c r="F120" s="851"/>
      <c r="G120" s="851"/>
      <c r="H120" s="851"/>
      <c r="I120" s="851"/>
      <c r="J120" s="851"/>
      <c r="K120" s="851"/>
      <c r="L120" s="851"/>
      <c r="M120" s="851"/>
      <c r="N120" s="326"/>
      <c r="O120" s="58" t="s">
        <v>140</v>
      </c>
      <c r="P120" s="49" t="s">
        <v>117</v>
      </c>
      <c r="Q120" s="852"/>
      <c r="R120" s="852"/>
      <c r="S120" s="50" t="s">
        <v>143</v>
      </c>
      <c r="T120" s="327"/>
      <c r="U120" s="89"/>
      <c r="V120" s="89"/>
      <c r="W120" s="664">
        <f t="shared" si="7"/>
        <v>0</v>
      </c>
      <c r="X120" s="664"/>
      <c r="Y120" s="664"/>
      <c r="Z120" s="665"/>
      <c r="AB120" s="832">
        <v>0</v>
      </c>
      <c r="AC120" s="833"/>
      <c r="AD120" s="834"/>
      <c r="AF120" s="832">
        <f t="shared" si="6"/>
        <v>0</v>
      </c>
      <c r="AG120" s="833"/>
      <c r="AH120" s="834"/>
      <c r="AK120" s="291"/>
    </row>
    <row r="121" spans="3:38" s="51" customFormat="1" ht="16" customHeight="1" x14ac:dyDescent="0.15">
      <c r="C121" s="828">
        <f t="shared" si="5"/>
        <v>386</v>
      </c>
      <c r="D121" s="829"/>
      <c r="E121" s="851"/>
      <c r="F121" s="851"/>
      <c r="G121" s="851"/>
      <c r="H121" s="851"/>
      <c r="I121" s="851"/>
      <c r="J121" s="851"/>
      <c r="K121" s="851"/>
      <c r="L121" s="851"/>
      <c r="M121" s="851"/>
      <c r="N121" s="326"/>
      <c r="O121" s="58" t="s">
        <v>140</v>
      </c>
      <c r="P121" s="49" t="s">
        <v>117</v>
      </c>
      <c r="Q121" s="852"/>
      <c r="R121" s="852"/>
      <c r="S121" s="50" t="s">
        <v>143</v>
      </c>
      <c r="T121" s="327"/>
      <c r="U121" s="89"/>
      <c r="V121" s="89"/>
      <c r="W121" s="664">
        <f t="shared" si="7"/>
        <v>0</v>
      </c>
      <c r="X121" s="664"/>
      <c r="Y121" s="664"/>
      <c r="Z121" s="665"/>
      <c r="AB121" s="832">
        <v>0</v>
      </c>
      <c r="AC121" s="833"/>
      <c r="AD121" s="834"/>
      <c r="AF121" s="832">
        <f t="shared" si="6"/>
        <v>0</v>
      </c>
      <c r="AG121" s="833"/>
      <c r="AH121" s="834"/>
      <c r="AK121" s="291"/>
      <c r="AL121" s="328"/>
    </row>
    <row r="122" spans="3:38" s="51" customFormat="1" ht="16" customHeight="1" x14ac:dyDescent="0.15">
      <c r="C122" s="828">
        <f t="shared" si="5"/>
        <v>387</v>
      </c>
      <c r="D122" s="829"/>
      <c r="E122" s="830"/>
      <c r="F122" s="830"/>
      <c r="G122" s="830"/>
      <c r="H122" s="830"/>
      <c r="I122" s="830"/>
      <c r="J122" s="830"/>
      <c r="K122" s="830"/>
      <c r="L122" s="830"/>
      <c r="M122" s="830"/>
      <c r="N122" s="58"/>
      <c r="O122" s="58" t="s">
        <v>140</v>
      </c>
      <c r="P122" s="59" t="s">
        <v>117</v>
      </c>
      <c r="Q122" s="831"/>
      <c r="R122" s="831"/>
      <c r="S122" s="67" t="s">
        <v>143</v>
      </c>
      <c r="T122" s="324"/>
      <c r="U122" s="88"/>
      <c r="V122" s="88"/>
      <c r="W122" s="664">
        <f>N122*Q122*(IF(ISNUMBER(T122),T122,IF(ISNUMBER(N122),1,0)))</f>
        <v>0</v>
      </c>
      <c r="X122" s="664"/>
      <c r="Y122" s="664"/>
      <c r="Z122" s="665"/>
      <c r="AB122" s="832">
        <v>0</v>
      </c>
      <c r="AC122" s="833"/>
      <c r="AD122" s="834"/>
      <c r="AF122" s="832">
        <f t="shared" si="6"/>
        <v>0</v>
      </c>
      <c r="AG122" s="833"/>
      <c r="AH122" s="834"/>
      <c r="AK122" s="325"/>
    </row>
    <row r="123" spans="3:38" s="51" customFormat="1" ht="16" customHeight="1" x14ac:dyDescent="0.15">
      <c r="C123" s="828">
        <f t="shared" si="5"/>
        <v>388</v>
      </c>
      <c r="D123" s="829"/>
      <c r="E123" s="830"/>
      <c r="F123" s="830"/>
      <c r="G123" s="830"/>
      <c r="H123" s="830"/>
      <c r="I123" s="830"/>
      <c r="J123" s="830"/>
      <c r="K123" s="830"/>
      <c r="L123" s="830"/>
      <c r="M123" s="830"/>
      <c r="N123" s="58"/>
      <c r="O123" s="58" t="s">
        <v>140</v>
      </c>
      <c r="P123" s="59" t="s">
        <v>117</v>
      </c>
      <c r="Q123" s="831"/>
      <c r="R123" s="831"/>
      <c r="S123" s="67" t="s">
        <v>143</v>
      </c>
      <c r="T123" s="324"/>
      <c r="U123" s="88"/>
      <c r="V123" s="88"/>
      <c r="W123" s="664">
        <f>N123*Q123*(IF(ISNUMBER(T123),T123,IF(ISNUMBER(N123),1,0)))</f>
        <v>0</v>
      </c>
      <c r="X123" s="664"/>
      <c r="Y123" s="664"/>
      <c r="Z123" s="665"/>
      <c r="AB123" s="832">
        <v>0</v>
      </c>
      <c r="AC123" s="833"/>
      <c r="AD123" s="834"/>
      <c r="AF123" s="832">
        <f t="shared" si="6"/>
        <v>0</v>
      </c>
      <c r="AG123" s="833"/>
      <c r="AH123" s="834"/>
      <c r="AK123" s="325"/>
    </row>
    <row r="124" spans="3:38" s="51" customFormat="1" ht="16" customHeight="1" x14ac:dyDescent="0.15">
      <c r="C124" s="828">
        <f t="shared" si="5"/>
        <v>389</v>
      </c>
      <c r="D124" s="829"/>
      <c r="E124" s="830"/>
      <c r="F124" s="830"/>
      <c r="G124" s="830"/>
      <c r="H124" s="830"/>
      <c r="I124" s="830"/>
      <c r="J124" s="830"/>
      <c r="K124" s="830"/>
      <c r="L124" s="830"/>
      <c r="M124" s="830"/>
      <c r="N124" s="58"/>
      <c r="O124" s="58" t="s">
        <v>140</v>
      </c>
      <c r="P124" s="59" t="s">
        <v>117</v>
      </c>
      <c r="Q124" s="831"/>
      <c r="R124" s="831"/>
      <c r="S124" s="67" t="s">
        <v>143</v>
      </c>
      <c r="T124" s="324"/>
      <c r="U124" s="88"/>
      <c r="V124" s="88"/>
      <c r="W124" s="664">
        <f>N124*Q124*(IF(ISNUMBER(T124),T124,IF(ISNUMBER(N124),1,0)))</f>
        <v>0</v>
      </c>
      <c r="X124" s="664"/>
      <c r="Y124" s="664"/>
      <c r="Z124" s="665"/>
      <c r="AB124" s="832">
        <v>0</v>
      </c>
      <c r="AC124" s="833"/>
      <c r="AD124" s="834"/>
      <c r="AF124" s="832">
        <f t="shared" si="6"/>
        <v>0</v>
      </c>
      <c r="AG124" s="833"/>
      <c r="AH124" s="834"/>
      <c r="AK124" s="325"/>
    </row>
    <row r="125" spans="3:38" s="51" customFormat="1" ht="16" customHeight="1" x14ac:dyDescent="0.15">
      <c r="C125" s="828">
        <f t="shared" si="5"/>
        <v>390</v>
      </c>
      <c r="D125" s="829"/>
      <c r="E125" s="830"/>
      <c r="F125" s="830"/>
      <c r="G125" s="830"/>
      <c r="H125" s="830"/>
      <c r="I125" s="830"/>
      <c r="J125" s="830"/>
      <c r="K125" s="830"/>
      <c r="L125" s="830"/>
      <c r="M125" s="830"/>
      <c r="N125" s="58"/>
      <c r="O125" s="58" t="s">
        <v>140</v>
      </c>
      <c r="P125" s="59" t="s">
        <v>117</v>
      </c>
      <c r="Q125" s="831"/>
      <c r="R125" s="831"/>
      <c r="S125" s="67" t="s">
        <v>143</v>
      </c>
      <c r="T125" s="324"/>
      <c r="U125" s="88"/>
      <c r="V125" s="88"/>
      <c r="W125" s="664">
        <f>N125*Q125*(IF(ISNUMBER(T125),T125,IF(ISNUMBER(N125),1,0)))</f>
        <v>0</v>
      </c>
      <c r="X125" s="664"/>
      <c r="Y125" s="664"/>
      <c r="Z125" s="665"/>
      <c r="AB125" s="832">
        <v>0</v>
      </c>
      <c r="AC125" s="833"/>
      <c r="AD125" s="834"/>
      <c r="AF125" s="832">
        <f t="shared" si="6"/>
        <v>0</v>
      </c>
      <c r="AG125" s="833"/>
      <c r="AH125" s="834"/>
      <c r="AK125" s="325"/>
    </row>
    <row r="126" spans="3:38" s="51" customFormat="1" ht="16" customHeight="1" x14ac:dyDescent="0.15">
      <c r="C126" s="828">
        <f t="shared" si="5"/>
        <v>391</v>
      </c>
      <c r="D126" s="829"/>
      <c r="E126" s="830"/>
      <c r="F126" s="830"/>
      <c r="G126" s="830"/>
      <c r="H126" s="830"/>
      <c r="I126" s="830"/>
      <c r="J126" s="830"/>
      <c r="K126" s="830"/>
      <c r="L126" s="830"/>
      <c r="M126" s="830"/>
      <c r="N126" s="58"/>
      <c r="O126" s="58" t="s">
        <v>140</v>
      </c>
      <c r="P126" s="59" t="s">
        <v>117</v>
      </c>
      <c r="Q126" s="831"/>
      <c r="R126" s="831"/>
      <c r="S126" s="67" t="s">
        <v>143</v>
      </c>
      <c r="T126" s="324"/>
      <c r="U126" s="88"/>
      <c r="V126" s="88"/>
      <c r="W126" s="664">
        <f t="shared" ref="W126:W131" si="8">N126*Q126*(IF(ISNUMBER(T126),T126,IF(ISNUMBER(N126),1,0)))</f>
        <v>0</v>
      </c>
      <c r="X126" s="664"/>
      <c r="Y126" s="664"/>
      <c r="Z126" s="665"/>
      <c r="AB126" s="832">
        <v>0</v>
      </c>
      <c r="AC126" s="833"/>
      <c r="AD126" s="834"/>
      <c r="AF126" s="832">
        <f t="shared" si="6"/>
        <v>0</v>
      </c>
      <c r="AG126" s="833"/>
      <c r="AH126" s="834"/>
      <c r="AK126" s="291"/>
    </row>
    <row r="127" spans="3:38" s="51" customFormat="1" ht="16" customHeight="1" x14ac:dyDescent="0.15">
      <c r="C127" s="828">
        <f t="shared" si="5"/>
        <v>392</v>
      </c>
      <c r="D127" s="829"/>
      <c r="E127" s="830"/>
      <c r="F127" s="830"/>
      <c r="G127" s="830"/>
      <c r="H127" s="830"/>
      <c r="I127" s="830"/>
      <c r="J127" s="830"/>
      <c r="K127" s="830"/>
      <c r="L127" s="830"/>
      <c r="M127" s="830"/>
      <c r="N127" s="58"/>
      <c r="O127" s="58" t="s">
        <v>140</v>
      </c>
      <c r="P127" s="59" t="s">
        <v>117</v>
      </c>
      <c r="Q127" s="831"/>
      <c r="R127" s="831"/>
      <c r="S127" s="67" t="s">
        <v>143</v>
      </c>
      <c r="T127" s="324"/>
      <c r="U127" s="88"/>
      <c r="V127" s="88"/>
      <c r="W127" s="664">
        <f t="shared" si="8"/>
        <v>0</v>
      </c>
      <c r="X127" s="664"/>
      <c r="Y127" s="664"/>
      <c r="Z127" s="665"/>
      <c r="AB127" s="832">
        <v>0</v>
      </c>
      <c r="AC127" s="833"/>
      <c r="AD127" s="834"/>
      <c r="AF127" s="832">
        <f t="shared" si="6"/>
        <v>0</v>
      </c>
      <c r="AG127" s="833"/>
      <c r="AH127" s="834"/>
      <c r="AK127" s="291"/>
    </row>
    <row r="128" spans="3:38" s="51" customFormat="1" ht="16" customHeight="1" x14ac:dyDescent="0.15">
      <c r="C128" s="828">
        <f t="shared" si="5"/>
        <v>393</v>
      </c>
      <c r="D128" s="829"/>
      <c r="E128" s="830"/>
      <c r="F128" s="830"/>
      <c r="G128" s="830"/>
      <c r="H128" s="830"/>
      <c r="I128" s="830"/>
      <c r="J128" s="830"/>
      <c r="K128" s="830"/>
      <c r="L128" s="830"/>
      <c r="M128" s="830"/>
      <c r="N128" s="58"/>
      <c r="O128" s="58" t="s">
        <v>140</v>
      </c>
      <c r="P128" s="59" t="s">
        <v>117</v>
      </c>
      <c r="Q128" s="831"/>
      <c r="R128" s="831"/>
      <c r="S128" s="67" t="s">
        <v>143</v>
      </c>
      <c r="T128" s="324"/>
      <c r="U128" s="88"/>
      <c r="V128" s="88"/>
      <c r="W128" s="664">
        <f t="shared" si="8"/>
        <v>0</v>
      </c>
      <c r="X128" s="664"/>
      <c r="Y128" s="664"/>
      <c r="Z128" s="665"/>
      <c r="AB128" s="832">
        <v>0</v>
      </c>
      <c r="AC128" s="833"/>
      <c r="AD128" s="834"/>
      <c r="AF128" s="832">
        <f t="shared" si="6"/>
        <v>0</v>
      </c>
      <c r="AG128" s="833"/>
      <c r="AH128" s="834"/>
      <c r="AK128" s="291"/>
    </row>
    <row r="129" spans="3:49" s="51" customFormat="1" ht="16" customHeight="1" x14ac:dyDescent="0.15">
      <c r="C129" s="828">
        <f t="shared" si="5"/>
        <v>394</v>
      </c>
      <c r="D129" s="829"/>
      <c r="E129" s="830"/>
      <c r="F129" s="830"/>
      <c r="G129" s="830"/>
      <c r="H129" s="830"/>
      <c r="I129" s="830"/>
      <c r="J129" s="830"/>
      <c r="K129" s="830"/>
      <c r="L129" s="830"/>
      <c r="M129" s="830"/>
      <c r="N129" s="58"/>
      <c r="O129" s="58" t="s">
        <v>140</v>
      </c>
      <c r="P129" s="59" t="s">
        <v>117</v>
      </c>
      <c r="Q129" s="831"/>
      <c r="R129" s="831"/>
      <c r="S129" s="67" t="s">
        <v>143</v>
      </c>
      <c r="T129" s="324"/>
      <c r="U129" s="88"/>
      <c r="V129" s="88"/>
      <c r="W129" s="664">
        <f t="shared" si="8"/>
        <v>0</v>
      </c>
      <c r="X129" s="664"/>
      <c r="Y129" s="664"/>
      <c r="Z129" s="665"/>
      <c r="AB129" s="832">
        <v>0</v>
      </c>
      <c r="AC129" s="833"/>
      <c r="AD129" s="834"/>
      <c r="AF129" s="832">
        <f t="shared" si="6"/>
        <v>0</v>
      </c>
      <c r="AG129" s="833"/>
      <c r="AH129" s="834"/>
    </row>
    <row r="130" spans="3:49" s="51" customFormat="1" ht="16" customHeight="1" x14ac:dyDescent="0.15">
      <c r="C130" s="828">
        <f t="shared" si="5"/>
        <v>395</v>
      </c>
      <c r="D130" s="829"/>
      <c r="E130" s="830"/>
      <c r="F130" s="830"/>
      <c r="G130" s="830"/>
      <c r="H130" s="830"/>
      <c r="I130" s="830"/>
      <c r="J130" s="830"/>
      <c r="K130" s="830"/>
      <c r="L130" s="830"/>
      <c r="M130" s="830"/>
      <c r="N130" s="58"/>
      <c r="O130" s="58" t="s">
        <v>140</v>
      </c>
      <c r="P130" s="59" t="s">
        <v>117</v>
      </c>
      <c r="Q130" s="831"/>
      <c r="R130" s="831"/>
      <c r="S130" s="67" t="s">
        <v>143</v>
      </c>
      <c r="T130" s="324"/>
      <c r="U130" s="88"/>
      <c r="V130" s="88"/>
      <c r="W130" s="664">
        <f t="shared" si="8"/>
        <v>0</v>
      </c>
      <c r="X130" s="664"/>
      <c r="Y130" s="664"/>
      <c r="Z130" s="665"/>
      <c r="AB130" s="832">
        <v>0</v>
      </c>
      <c r="AC130" s="833"/>
      <c r="AD130" s="834"/>
      <c r="AF130" s="832">
        <f t="shared" si="6"/>
        <v>0</v>
      </c>
      <c r="AG130" s="833"/>
      <c r="AH130" s="834"/>
      <c r="AK130" s="291"/>
    </row>
    <row r="131" spans="3:49" s="51" customFormat="1" ht="16" customHeight="1" x14ac:dyDescent="0.15">
      <c r="C131" s="828">
        <f t="shared" si="5"/>
        <v>396</v>
      </c>
      <c r="D131" s="829"/>
      <c r="E131" s="830"/>
      <c r="F131" s="830"/>
      <c r="G131" s="830"/>
      <c r="H131" s="830"/>
      <c r="I131" s="830"/>
      <c r="J131" s="830"/>
      <c r="K131" s="830"/>
      <c r="L131" s="830"/>
      <c r="M131" s="830"/>
      <c r="N131" s="58"/>
      <c r="O131" s="58" t="s">
        <v>140</v>
      </c>
      <c r="P131" s="59" t="s">
        <v>117</v>
      </c>
      <c r="Q131" s="831"/>
      <c r="R131" s="831"/>
      <c r="S131" s="67" t="s">
        <v>143</v>
      </c>
      <c r="T131" s="324"/>
      <c r="U131" s="88"/>
      <c r="V131" s="88"/>
      <c r="W131" s="664">
        <f t="shared" si="8"/>
        <v>0</v>
      </c>
      <c r="X131" s="664"/>
      <c r="Y131" s="664"/>
      <c r="Z131" s="665"/>
      <c r="AB131" s="832">
        <v>0</v>
      </c>
      <c r="AC131" s="833"/>
      <c r="AD131" s="834"/>
      <c r="AF131" s="832">
        <f t="shared" si="6"/>
        <v>0</v>
      </c>
      <c r="AG131" s="833"/>
      <c r="AH131" s="834"/>
      <c r="AK131" s="291"/>
    </row>
    <row r="132" spans="3:49" s="51" customFormat="1" ht="16" customHeight="1" x14ac:dyDescent="0.15">
      <c r="C132" s="828">
        <f t="shared" si="5"/>
        <v>397</v>
      </c>
      <c r="D132" s="829"/>
      <c r="E132" s="604"/>
      <c r="F132" s="604"/>
      <c r="G132" s="604"/>
      <c r="H132" s="604"/>
      <c r="I132" s="604"/>
      <c r="J132" s="604"/>
      <c r="K132" s="604"/>
      <c r="L132" s="604"/>
      <c r="M132" s="604"/>
      <c r="N132" s="58"/>
      <c r="O132" s="58" t="s">
        <v>140</v>
      </c>
      <c r="P132" s="59" t="s">
        <v>117</v>
      </c>
      <c r="Q132" s="831"/>
      <c r="R132" s="831"/>
      <c r="S132" s="67" t="s">
        <v>143</v>
      </c>
      <c r="T132" s="324"/>
      <c r="U132" s="88"/>
      <c r="V132" s="88"/>
      <c r="W132" s="664">
        <f>N132*Q132*(IF(ISNUMBER(T132),T132,IF(ISNUMBER(N132),1,0)))</f>
        <v>0</v>
      </c>
      <c r="X132" s="664"/>
      <c r="Y132" s="664"/>
      <c r="Z132" s="665"/>
      <c r="AB132" s="832">
        <v>0</v>
      </c>
      <c r="AC132" s="833"/>
      <c r="AD132" s="834"/>
      <c r="AF132" s="832">
        <f>AB132-W132</f>
        <v>0</v>
      </c>
      <c r="AG132" s="833"/>
      <c r="AH132" s="834"/>
      <c r="AM132" s="316"/>
      <c r="AN132" s="316"/>
    </row>
    <row r="133" spans="3:49" s="51" customFormat="1" ht="16" customHeight="1" x14ac:dyDescent="0.15">
      <c r="C133" s="828">
        <f t="shared" si="5"/>
        <v>398</v>
      </c>
      <c r="D133" s="829"/>
      <c r="E133" s="830"/>
      <c r="F133" s="830"/>
      <c r="G133" s="830"/>
      <c r="H133" s="830"/>
      <c r="I133" s="830"/>
      <c r="J133" s="830"/>
      <c r="K133" s="830"/>
      <c r="L133" s="830"/>
      <c r="M133" s="830"/>
      <c r="N133" s="58"/>
      <c r="O133" s="58" t="s">
        <v>140</v>
      </c>
      <c r="P133" s="59" t="s">
        <v>117</v>
      </c>
      <c r="Q133" s="831"/>
      <c r="R133" s="831"/>
      <c r="S133" s="67" t="s">
        <v>143</v>
      </c>
      <c r="T133" s="324"/>
      <c r="U133" s="88"/>
      <c r="V133" s="88"/>
      <c r="W133" s="664">
        <f>N133*Q133*(IF(ISNUMBER(T133),T133,IF(ISNUMBER(N133),1,0)))</f>
        <v>0</v>
      </c>
      <c r="X133" s="664"/>
      <c r="Y133" s="664"/>
      <c r="Z133" s="665"/>
      <c r="AB133" s="832">
        <v>0</v>
      </c>
      <c r="AC133" s="833"/>
      <c r="AD133" s="834"/>
      <c r="AF133" s="832">
        <f t="shared" ref="AF133:AF134" si="9">AB133-W133</f>
        <v>0</v>
      </c>
      <c r="AG133" s="833"/>
      <c r="AH133" s="834"/>
      <c r="AK133" s="325"/>
    </row>
    <row r="134" spans="3:49" s="51" customFormat="1" ht="16" customHeight="1" x14ac:dyDescent="0.15">
      <c r="C134" s="828">
        <f t="shared" si="5"/>
        <v>399</v>
      </c>
      <c r="D134" s="829"/>
      <c r="E134" s="830"/>
      <c r="F134" s="830"/>
      <c r="G134" s="830"/>
      <c r="H134" s="830"/>
      <c r="I134" s="830"/>
      <c r="J134" s="830"/>
      <c r="K134" s="830"/>
      <c r="L134" s="830"/>
      <c r="M134" s="830"/>
      <c r="N134" s="58"/>
      <c r="O134" s="58" t="s">
        <v>140</v>
      </c>
      <c r="P134" s="59" t="s">
        <v>117</v>
      </c>
      <c r="Q134" s="831"/>
      <c r="R134" s="831"/>
      <c r="S134" s="67" t="s">
        <v>143</v>
      </c>
      <c r="T134" s="324"/>
      <c r="U134" s="88"/>
      <c r="V134" s="88"/>
      <c r="W134" s="664">
        <f>N134*Q134*(IF(ISNUMBER(T134),T134,IF(ISNUMBER(N134),1,0)))</f>
        <v>0</v>
      </c>
      <c r="X134" s="664"/>
      <c r="Y134" s="664"/>
      <c r="Z134" s="665"/>
      <c r="AB134" s="832">
        <v>0</v>
      </c>
      <c r="AC134" s="833"/>
      <c r="AD134" s="834"/>
      <c r="AF134" s="832">
        <f t="shared" si="9"/>
        <v>0</v>
      </c>
      <c r="AG134" s="833"/>
      <c r="AH134" s="834"/>
      <c r="AK134" s="325"/>
    </row>
    <row r="135" spans="3:49" s="322" customFormat="1" ht="16" customHeight="1" x14ac:dyDescent="0.2">
      <c r="E135" s="391"/>
      <c r="F135" s="391"/>
      <c r="G135" s="391"/>
      <c r="H135" s="391"/>
      <c r="I135" s="391"/>
      <c r="J135" s="391"/>
      <c r="K135" s="391"/>
      <c r="L135" s="391"/>
      <c r="M135" s="391"/>
      <c r="N135" s="392"/>
      <c r="O135" s="824" t="s">
        <v>408</v>
      </c>
      <c r="P135" s="824"/>
      <c r="Q135" s="824"/>
      <c r="R135" s="824"/>
      <c r="S135" s="824"/>
      <c r="T135" s="824"/>
      <c r="U135" s="824"/>
      <c r="V135" s="825"/>
      <c r="W135" s="859">
        <f>SUM(W10:W72)+SUM(W75:W134)</f>
        <v>0</v>
      </c>
      <c r="X135" s="860"/>
      <c r="Y135" s="860"/>
      <c r="Z135" s="861"/>
      <c r="AB135" s="862">
        <f>SUM(AB10:AD69)</f>
        <v>0</v>
      </c>
      <c r="AC135" s="863"/>
      <c r="AD135" s="864"/>
      <c r="AF135" s="838">
        <f t="shared" ref="AF135:AF137" si="10">AB135-W135</f>
        <v>0</v>
      </c>
      <c r="AG135" s="839"/>
      <c r="AH135" s="840"/>
      <c r="AK135" s="329"/>
    </row>
    <row r="136" spans="3:49" s="322" customFormat="1" ht="16" customHeight="1" x14ac:dyDescent="0.2">
      <c r="E136" s="391"/>
      <c r="F136" s="391"/>
      <c r="G136" s="391"/>
      <c r="H136" s="391"/>
      <c r="I136" s="391"/>
      <c r="J136" s="391"/>
      <c r="K136" s="391"/>
      <c r="L136" s="391"/>
      <c r="M136" s="391"/>
      <c r="N136" s="392"/>
      <c r="O136" s="826" t="s">
        <v>409</v>
      </c>
      <c r="P136" s="826"/>
      <c r="Q136" s="826"/>
      <c r="R136" s="826"/>
      <c r="S136" s="826"/>
      <c r="T136" s="826"/>
      <c r="U136" s="826"/>
      <c r="V136" s="827"/>
      <c r="W136" s="859">
        <f>W135*AR136</f>
        <v>0</v>
      </c>
      <c r="X136" s="860"/>
      <c r="Y136" s="860"/>
      <c r="Z136" s="861"/>
      <c r="AB136" s="862">
        <f>W136</f>
        <v>0</v>
      </c>
      <c r="AC136" s="863"/>
      <c r="AD136" s="864"/>
      <c r="AF136" s="838">
        <f t="shared" si="10"/>
        <v>0</v>
      </c>
      <c r="AG136" s="839"/>
      <c r="AH136" s="840"/>
      <c r="AJ136" s="854" t="str">
        <f>"Handling  Travel"</f>
        <v>Handling  Travel</v>
      </c>
      <c r="AK136" s="855"/>
      <c r="AL136" s="855"/>
      <c r="AM136" s="855"/>
      <c r="AN136" s="855"/>
      <c r="AO136" s="855"/>
      <c r="AP136" s="855"/>
      <c r="AQ136" s="856"/>
      <c r="AR136" s="857">
        <v>0</v>
      </c>
      <c r="AS136" s="858"/>
    </row>
    <row r="137" spans="3:49" s="322" customFormat="1" ht="16" customHeight="1" x14ac:dyDescent="0.2">
      <c r="O137" s="656" t="s">
        <v>139</v>
      </c>
      <c r="P137" s="656"/>
      <c r="Q137" s="656"/>
      <c r="R137" s="656"/>
      <c r="S137" s="656"/>
      <c r="T137" s="656"/>
      <c r="U137" s="656"/>
      <c r="V137" s="657"/>
      <c r="W137" s="841">
        <f>SUM(W135:Z136)</f>
        <v>0</v>
      </c>
      <c r="X137" s="842"/>
      <c r="Y137" s="842"/>
      <c r="Z137" s="843"/>
      <c r="AB137" s="835">
        <f>SUM(AB135:AD136)</f>
        <v>0</v>
      </c>
      <c r="AC137" s="836"/>
      <c r="AD137" s="837"/>
      <c r="AF137" s="838">
        <f t="shared" si="10"/>
        <v>0</v>
      </c>
      <c r="AG137" s="839"/>
      <c r="AH137" s="840"/>
    </row>
    <row r="138" spans="3:49" customFormat="1" ht="16.25" customHeight="1" x14ac:dyDescent="0.2">
      <c r="U138" s="45"/>
      <c r="V138" s="45"/>
      <c r="AK138" s="36"/>
      <c r="AT138" s="7"/>
      <c r="AU138" s="7"/>
      <c r="AV138" s="7"/>
      <c r="AW138" s="7"/>
    </row>
    <row r="139" spans="3:49" customFormat="1" ht="16.25" customHeight="1" x14ac:dyDescent="0.2">
      <c r="U139" s="44"/>
      <c r="V139" s="44"/>
      <c r="W139" s="7"/>
      <c r="X139" s="7"/>
      <c r="Y139" s="7"/>
      <c r="Z139" s="7"/>
      <c r="AA139" s="7"/>
      <c r="AB139" s="7"/>
      <c r="AF139" s="7"/>
      <c r="AK139" s="36"/>
      <c r="AT139" s="7"/>
      <c r="AU139" s="7"/>
      <c r="AV139" s="7"/>
      <c r="AW139" s="7"/>
    </row>
    <row r="140" spans="3:49" customFormat="1" ht="16.25" customHeight="1" x14ac:dyDescent="0.2">
      <c r="U140" s="44"/>
      <c r="V140" s="44"/>
      <c r="W140" s="7"/>
      <c r="X140" s="7"/>
      <c r="Y140" s="7"/>
      <c r="Z140" s="7"/>
      <c r="AA140" s="7"/>
      <c r="AB140" s="7"/>
      <c r="AF140" s="7"/>
      <c r="AK140" s="36"/>
      <c r="AV140" s="7"/>
      <c r="AW140" s="7"/>
    </row>
    <row r="141" spans="3:49" customFormat="1" ht="16.25" customHeight="1" x14ac:dyDescent="0.2">
      <c r="U141" s="44"/>
      <c r="V141" s="44"/>
      <c r="W141" s="7"/>
      <c r="X141" s="7"/>
      <c r="Y141" s="7"/>
      <c r="Z141" s="7"/>
      <c r="AA141" s="7"/>
      <c r="AB141" s="7"/>
      <c r="AF141" s="7"/>
      <c r="AK141" s="36"/>
    </row>
    <row r="142" spans="3:49" customFormat="1" ht="16.25" customHeight="1" x14ac:dyDescent="0.2">
      <c r="U142" s="44"/>
      <c r="V142" s="44"/>
      <c r="W142" s="7"/>
      <c r="X142" s="7"/>
      <c r="Y142" s="7"/>
      <c r="Z142" s="7"/>
      <c r="AA142" s="7"/>
      <c r="AB142" s="7"/>
      <c r="AF142" s="7"/>
      <c r="AK142" s="36"/>
    </row>
    <row r="143" spans="3:49" customFormat="1" ht="16.25" customHeight="1" x14ac:dyDescent="0.2">
      <c r="U143" s="44"/>
      <c r="V143" s="44"/>
      <c r="W143" s="7"/>
      <c r="X143" s="7"/>
      <c r="Y143" s="7"/>
      <c r="Z143" s="7"/>
      <c r="AA143" s="7"/>
      <c r="AB143" s="7"/>
      <c r="AF143" s="7"/>
      <c r="AK143" s="36"/>
    </row>
    <row r="144" spans="3:49" customFormat="1" ht="16.25" customHeight="1" x14ac:dyDescent="0.2">
      <c r="U144" s="45"/>
      <c r="V144" s="45"/>
      <c r="AK144" s="36"/>
    </row>
    <row r="145" spans="21:82" customFormat="1" ht="16.25" customHeight="1" x14ac:dyDescent="0.2">
      <c r="U145" s="45"/>
      <c r="V145" s="45"/>
      <c r="AK145" s="36"/>
    </row>
    <row r="146" spans="21:82" customFormat="1" ht="16.25" customHeight="1" x14ac:dyDescent="0.2">
      <c r="U146" s="45"/>
      <c r="V146" s="45"/>
      <c r="AK146" s="36"/>
    </row>
    <row r="147" spans="21:82" customFormat="1" ht="16.25" customHeight="1" x14ac:dyDescent="0.2">
      <c r="U147" s="45"/>
      <c r="V147" s="45"/>
      <c r="AK147" s="36"/>
    </row>
    <row r="148" spans="21:82" customFormat="1" ht="16.25" customHeight="1" x14ac:dyDescent="0.2">
      <c r="U148" s="45"/>
      <c r="V148" s="45"/>
      <c r="AK148" s="36"/>
    </row>
    <row r="149" spans="21:82" customFormat="1" ht="16.25" customHeight="1" x14ac:dyDescent="0.2">
      <c r="U149" s="45"/>
      <c r="V149" s="45"/>
      <c r="AK149" s="36"/>
      <c r="CD149" t="s">
        <v>812</v>
      </c>
    </row>
    <row r="150" spans="21:82" customFormat="1" ht="16.25" customHeight="1" x14ac:dyDescent="0.2">
      <c r="U150" s="45"/>
      <c r="V150" s="45"/>
      <c r="AK150" s="36"/>
    </row>
    <row r="151" spans="21:82" customFormat="1" ht="16.25" customHeight="1" x14ac:dyDescent="0.2">
      <c r="U151" s="45"/>
      <c r="V151" s="45"/>
      <c r="AK151" s="36"/>
    </row>
    <row r="152" spans="21:82" customFormat="1" ht="16.25" customHeight="1" x14ac:dyDescent="0.2">
      <c r="U152" s="45"/>
      <c r="V152" s="45"/>
      <c r="AK152" s="36"/>
    </row>
    <row r="153" spans="21:82" customFormat="1" ht="16" x14ac:dyDescent="0.2">
      <c r="U153" s="45"/>
      <c r="V153" s="45"/>
      <c r="AK153" s="36"/>
    </row>
    <row r="154" spans="21:82" customFormat="1" ht="16" x14ac:dyDescent="0.2">
      <c r="U154" s="45"/>
      <c r="V154" s="45"/>
      <c r="AK154" s="36"/>
    </row>
    <row r="155" spans="21:82" customFormat="1" ht="16" x14ac:dyDescent="0.2">
      <c r="U155" s="45"/>
      <c r="V155" s="45"/>
      <c r="AK155" s="36"/>
    </row>
    <row r="156" spans="21:82" customFormat="1" ht="16" x14ac:dyDescent="0.2">
      <c r="U156" s="45"/>
      <c r="V156" s="45"/>
      <c r="AK156" s="36"/>
    </row>
    <row r="157" spans="21:82" customFormat="1" ht="16" x14ac:dyDescent="0.2">
      <c r="U157" s="45"/>
      <c r="V157" s="45"/>
      <c r="AK157" s="36"/>
    </row>
    <row r="158" spans="21:82" customFormat="1" ht="16" x14ac:dyDescent="0.2">
      <c r="U158" s="45"/>
      <c r="V158" s="45"/>
      <c r="AK158" s="36"/>
    </row>
    <row r="159" spans="21:82" customFormat="1" ht="16" x14ac:dyDescent="0.2">
      <c r="U159" s="45"/>
      <c r="V159" s="45"/>
      <c r="AK159" s="36"/>
    </row>
    <row r="160" spans="21:82" customFormat="1" ht="16" x14ac:dyDescent="0.2">
      <c r="U160" s="45"/>
      <c r="V160" s="45"/>
      <c r="AK160" s="36"/>
    </row>
    <row r="161" spans="21:37" customFormat="1" ht="16" x14ac:dyDescent="0.2">
      <c r="U161" s="45"/>
      <c r="V161" s="45"/>
      <c r="AK161" s="36"/>
    </row>
    <row r="162" spans="21:37" customFormat="1" ht="16" x14ac:dyDescent="0.2">
      <c r="U162" s="45"/>
      <c r="V162" s="45"/>
      <c r="AK162" s="36"/>
    </row>
    <row r="163" spans="21:37" customFormat="1" ht="16" x14ac:dyDescent="0.2">
      <c r="U163" s="45"/>
      <c r="V163" s="45"/>
      <c r="AK163" s="36"/>
    </row>
    <row r="164" spans="21:37" customFormat="1" ht="16" x14ac:dyDescent="0.2">
      <c r="U164" s="45"/>
      <c r="V164" s="45"/>
      <c r="AK164" s="36"/>
    </row>
  </sheetData>
  <sheetProtection selectLockedCells="1"/>
  <mergeCells count="768">
    <mergeCell ref="AF39:AH39"/>
    <mergeCell ref="AF29:AH29"/>
    <mergeCell ref="AF30:AH30"/>
    <mergeCell ref="AF31:AH31"/>
    <mergeCell ref="AF32:AH32"/>
    <mergeCell ref="AF33:AH33"/>
    <mergeCell ref="AF34:AH34"/>
    <mergeCell ref="AF35:AH35"/>
    <mergeCell ref="AF36:AH36"/>
    <mergeCell ref="AF37:AH37"/>
    <mergeCell ref="AF38:AH38"/>
    <mergeCell ref="W31:Z31"/>
    <mergeCell ref="E37:M37"/>
    <mergeCell ref="Q37:R37"/>
    <mergeCell ref="W37:Z37"/>
    <mergeCell ref="E38:M38"/>
    <mergeCell ref="Q38:R38"/>
    <mergeCell ref="W38:Z38"/>
    <mergeCell ref="E34:M34"/>
    <mergeCell ref="Q34:R34"/>
    <mergeCell ref="W34:Z34"/>
    <mergeCell ref="Q35:R35"/>
    <mergeCell ref="W35:Z35"/>
    <mergeCell ref="E36:M36"/>
    <mergeCell ref="Q36:R36"/>
    <mergeCell ref="W36:Z36"/>
    <mergeCell ref="C25:D25"/>
    <mergeCell ref="E25:M25"/>
    <mergeCell ref="Q25:R25"/>
    <mergeCell ref="W25:Z25"/>
    <mergeCell ref="C26:D26"/>
    <mergeCell ref="E26:M26"/>
    <mergeCell ref="Q26:R26"/>
    <mergeCell ref="W26:Z26"/>
    <mergeCell ref="C27:D27"/>
    <mergeCell ref="E27:M27"/>
    <mergeCell ref="Q27:R27"/>
    <mergeCell ref="W27:Z27"/>
    <mergeCell ref="C22:D22"/>
    <mergeCell ref="E22:M22"/>
    <mergeCell ref="Q22:R22"/>
    <mergeCell ref="W22:Z22"/>
    <mergeCell ref="C23:D23"/>
    <mergeCell ref="E23:M23"/>
    <mergeCell ref="Q23:R23"/>
    <mergeCell ref="W23:Z23"/>
    <mergeCell ref="C24:D24"/>
    <mergeCell ref="E24:M24"/>
    <mergeCell ref="Q24:R24"/>
    <mergeCell ref="W24:Z24"/>
    <mergeCell ref="C19:D19"/>
    <mergeCell ref="E19:M19"/>
    <mergeCell ref="Q19:R19"/>
    <mergeCell ref="W19:Z19"/>
    <mergeCell ref="C20:D20"/>
    <mergeCell ref="E20:M20"/>
    <mergeCell ref="Q20:R20"/>
    <mergeCell ref="W20:Z20"/>
    <mergeCell ref="C21:D21"/>
    <mergeCell ref="E21:M21"/>
    <mergeCell ref="Q21:R21"/>
    <mergeCell ref="W21:Z21"/>
    <mergeCell ref="C16:D16"/>
    <mergeCell ref="E16:M16"/>
    <mergeCell ref="Q16:R16"/>
    <mergeCell ref="W16:Z16"/>
    <mergeCell ref="C17:D17"/>
    <mergeCell ref="E17:M17"/>
    <mergeCell ref="Q17:R17"/>
    <mergeCell ref="W17:Z17"/>
    <mergeCell ref="C18:D18"/>
    <mergeCell ref="E18:M18"/>
    <mergeCell ref="Q18:R18"/>
    <mergeCell ref="W18:Z18"/>
    <mergeCell ref="C13:D13"/>
    <mergeCell ref="E13:M13"/>
    <mergeCell ref="Q13:R13"/>
    <mergeCell ref="W13:Z13"/>
    <mergeCell ref="C14:D14"/>
    <mergeCell ref="E14:M14"/>
    <mergeCell ref="Q14:R14"/>
    <mergeCell ref="W14:Z14"/>
    <mergeCell ref="C15:D15"/>
    <mergeCell ref="E15:M15"/>
    <mergeCell ref="Q15:R15"/>
    <mergeCell ref="W15:Z15"/>
    <mergeCell ref="C57:D57"/>
    <mergeCell ref="C58:D58"/>
    <mergeCell ref="C59:D59"/>
    <mergeCell ref="C60:D60"/>
    <mergeCell ref="C61:D61"/>
    <mergeCell ref="C62:D62"/>
    <mergeCell ref="C63:D63"/>
    <mergeCell ref="C53:D53"/>
    <mergeCell ref="C54:D54"/>
    <mergeCell ref="C55:D55"/>
    <mergeCell ref="C56:D56"/>
    <mergeCell ref="AF27:AH27"/>
    <mergeCell ref="AF28:AH28"/>
    <mergeCell ref="C46:D46"/>
    <mergeCell ref="C47:D47"/>
    <mergeCell ref="C48:D48"/>
    <mergeCell ref="C49:D49"/>
    <mergeCell ref="C28:D28"/>
    <mergeCell ref="C29:D29"/>
    <mergeCell ref="C30:D30"/>
    <mergeCell ref="C31:D31"/>
    <mergeCell ref="C32:D32"/>
    <mergeCell ref="C35:D35"/>
    <mergeCell ref="C38:D38"/>
    <mergeCell ref="C40:D40"/>
    <mergeCell ref="C41:D41"/>
    <mergeCell ref="C42:D42"/>
    <mergeCell ref="C43:D43"/>
    <mergeCell ref="C44:D44"/>
    <mergeCell ref="C45:D45"/>
    <mergeCell ref="C33:D33"/>
    <mergeCell ref="C37:D37"/>
    <mergeCell ref="C39:D39"/>
    <mergeCell ref="C34:D34"/>
    <mergeCell ref="C36:D36"/>
    <mergeCell ref="C10:D10"/>
    <mergeCell ref="C11:D11"/>
    <mergeCell ref="C12:D12"/>
    <mergeCell ref="N9:O9"/>
    <mergeCell ref="Q9:R9"/>
    <mergeCell ref="X9:Z9"/>
    <mergeCell ref="W8:Z8"/>
    <mergeCell ref="Q52:R52"/>
    <mergeCell ref="Q51:R51"/>
    <mergeCell ref="W41:Z41"/>
    <mergeCell ref="W42:Z42"/>
    <mergeCell ref="W43:Z43"/>
    <mergeCell ref="W44:Z44"/>
    <mergeCell ref="W45:Z45"/>
    <mergeCell ref="W46:Z46"/>
    <mergeCell ref="W47:Z47"/>
    <mergeCell ref="W48:Z48"/>
    <mergeCell ref="W49:Z49"/>
    <mergeCell ref="W50:Z50"/>
    <mergeCell ref="W51:Z51"/>
    <mergeCell ref="W52:Z52"/>
    <mergeCell ref="C50:D50"/>
    <mergeCell ref="C51:D51"/>
    <mergeCell ref="C52:D52"/>
    <mergeCell ref="W59:Z59"/>
    <mergeCell ref="AF64:AH64"/>
    <mergeCell ref="AF66:AH66"/>
    <mergeCell ref="AF68:AH68"/>
    <mergeCell ref="AF60:AH60"/>
    <mergeCell ref="W60:Z60"/>
    <mergeCell ref="AF59:AH59"/>
    <mergeCell ref="AF57:AH57"/>
    <mergeCell ref="AF58:AH58"/>
    <mergeCell ref="AB59:AD59"/>
    <mergeCell ref="AB60:AD60"/>
    <mergeCell ref="AB61:AD61"/>
    <mergeCell ref="AB62:AD62"/>
    <mergeCell ref="AB63:AD63"/>
    <mergeCell ref="AF61:AH61"/>
    <mergeCell ref="AF62:AH62"/>
    <mergeCell ref="AF63:AH63"/>
    <mergeCell ref="W61:Z61"/>
    <mergeCell ref="W62:Z62"/>
    <mergeCell ref="W63:Z63"/>
    <mergeCell ref="AB48:AD48"/>
    <mergeCell ref="AB49:AD49"/>
    <mergeCell ref="AB50:AD50"/>
    <mergeCell ref="AB51:AD51"/>
    <mergeCell ref="AB52:AD52"/>
    <mergeCell ref="AB53:AD53"/>
    <mergeCell ref="AB54:AD54"/>
    <mergeCell ref="AB55:AD55"/>
    <mergeCell ref="AB56:AD56"/>
    <mergeCell ref="AF49:AH49"/>
    <mergeCell ref="AF50:AH50"/>
    <mergeCell ref="AF51:AH51"/>
    <mergeCell ref="AF52:AH52"/>
    <mergeCell ref="W56:Z56"/>
    <mergeCell ref="W57:Z57"/>
    <mergeCell ref="W58:Z58"/>
    <mergeCell ref="AF53:AH53"/>
    <mergeCell ref="AF54:AH54"/>
    <mergeCell ref="AB57:AD57"/>
    <mergeCell ref="AB58:AD58"/>
    <mergeCell ref="W53:Z53"/>
    <mergeCell ref="AF55:AH55"/>
    <mergeCell ref="AF56:AH56"/>
    <mergeCell ref="W54:Z54"/>
    <mergeCell ref="W55:Z55"/>
    <mergeCell ref="AF8:AH8"/>
    <mergeCell ref="W135:Z135"/>
    <mergeCell ref="W39:Z39"/>
    <mergeCell ref="W33:Z33"/>
    <mergeCell ref="AF13:AH13"/>
    <mergeCell ref="AF14:AH14"/>
    <mergeCell ref="AF15:AH15"/>
    <mergeCell ref="AF16:AH16"/>
    <mergeCell ref="AF17:AH17"/>
    <mergeCell ref="AF18:AH18"/>
    <mergeCell ref="AF19:AH19"/>
    <mergeCell ref="AF20:AH20"/>
    <mergeCell ref="AF21:AH21"/>
    <mergeCell ref="AF22:AH22"/>
    <mergeCell ref="AF23:AH23"/>
    <mergeCell ref="AF24:AH24"/>
    <mergeCell ref="AF25:AH25"/>
    <mergeCell ref="AF42:AH42"/>
    <mergeCell ref="AF43:AH43"/>
    <mergeCell ref="AF44:AH44"/>
    <mergeCell ref="AF45:AH45"/>
    <mergeCell ref="AF46:AH46"/>
    <mergeCell ref="AF47:AH47"/>
    <mergeCell ref="AF48:AH48"/>
    <mergeCell ref="E10:M10"/>
    <mergeCell ref="E28:M28"/>
    <mergeCell ref="Q28:R28"/>
    <mergeCell ref="W28:Z28"/>
    <mergeCell ref="E29:M29"/>
    <mergeCell ref="Q29:R29"/>
    <mergeCell ref="W29:Z29"/>
    <mergeCell ref="E30:M30"/>
    <mergeCell ref="Q30:R30"/>
    <mergeCell ref="W30:Z30"/>
    <mergeCell ref="E11:M11"/>
    <mergeCell ref="E12:M12"/>
    <mergeCell ref="W10:Z10"/>
    <mergeCell ref="W11:Z11"/>
    <mergeCell ref="W12:Z12"/>
    <mergeCell ref="Q10:R10"/>
    <mergeCell ref="Q11:R11"/>
    <mergeCell ref="Q12:R12"/>
    <mergeCell ref="Q47:R47"/>
    <mergeCell ref="Q48:R48"/>
    <mergeCell ref="Q49:R49"/>
    <mergeCell ref="Q50:R50"/>
    <mergeCell ref="W32:Z32"/>
    <mergeCell ref="E33:M33"/>
    <mergeCell ref="E42:M42"/>
    <mergeCell ref="E43:M43"/>
    <mergeCell ref="E44:M44"/>
    <mergeCell ref="E45:M45"/>
    <mergeCell ref="E46:M46"/>
    <mergeCell ref="E47:M47"/>
    <mergeCell ref="Q40:R40"/>
    <mergeCell ref="W40:Z40"/>
    <mergeCell ref="E40:M40"/>
    <mergeCell ref="E41:M41"/>
    <mergeCell ref="E39:M39"/>
    <mergeCell ref="Q39:R39"/>
    <mergeCell ref="Q33:R33"/>
    <mergeCell ref="E35:M35"/>
    <mergeCell ref="E32:M32"/>
    <mergeCell ref="Q32:R32"/>
    <mergeCell ref="Q41:R41"/>
    <mergeCell ref="Q42:R42"/>
    <mergeCell ref="Q43:R43"/>
    <mergeCell ref="Q44:R44"/>
    <mergeCell ref="Q45:R45"/>
    <mergeCell ref="Q46:R46"/>
    <mergeCell ref="E31:M31"/>
    <mergeCell ref="Q31:R31"/>
    <mergeCell ref="Q63:R63"/>
    <mergeCell ref="Q53:R53"/>
    <mergeCell ref="Q133:R133"/>
    <mergeCell ref="E48:M48"/>
    <mergeCell ref="E49:M49"/>
    <mergeCell ref="E50:M50"/>
    <mergeCell ref="E51:M51"/>
    <mergeCell ref="E52:M52"/>
    <mergeCell ref="E60:M60"/>
    <mergeCell ref="Q54:R54"/>
    <mergeCell ref="Q55:R55"/>
    <mergeCell ref="Q56:R56"/>
    <mergeCell ref="Q59:R59"/>
    <mergeCell ref="Q60:R60"/>
    <mergeCell ref="Q61:R61"/>
    <mergeCell ref="Q62:R62"/>
    <mergeCell ref="Q57:R57"/>
    <mergeCell ref="Q58:R58"/>
    <mergeCell ref="E61:M61"/>
    <mergeCell ref="E62:M62"/>
    <mergeCell ref="E63:M63"/>
    <mergeCell ref="E53:M53"/>
    <mergeCell ref="E54:M54"/>
    <mergeCell ref="E55:M55"/>
    <mergeCell ref="E56:M56"/>
    <mergeCell ref="E57:M57"/>
    <mergeCell ref="E58:M58"/>
    <mergeCell ref="E59:M59"/>
    <mergeCell ref="C65:D65"/>
    <mergeCell ref="E65:M65"/>
    <mergeCell ref="Q65:R65"/>
    <mergeCell ref="W65:Z65"/>
    <mergeCell ref="AF65:AH65"/>
    <mergeCell ref="C64:D64"/>
    <mergeCell ref="E64:M64"/>
    <mergeCell ref="Q64:R64"/>
    <mergeCell ref="W64:Z64"/>
    <mergeCell ref="AB64:AD64"/>
    <mergeCell ref="AB65:AD65"/>
    <mergeCell ref="C67:D67"/>
    <mergeCell ref="E67:M67"/>
    <mergeCell ref="Q67:R67"/>
    <mergeCell ref="W67:Z67"/>
    <mergeCell ref="AF67:AH67"/>
    <mergeCell ref="C66:D66"/>
    <mergeCell ref="E66:M66"/>
    <mergeCell ref="Q66:R66"/>
    <mergeCell ref="W66:Z66"/>
    <mergeCell ref="AB66:AD66"/>
    <mergeCell ref="AB67:AD67"/>
    <mergeCell ref="AJ136:AQ136"/>
    <mergeCell ref="AR136:AS136"/>
    <mergeCell ref="C69:D69"/>
    <mergeCell ref="E69:M69"/>
    <mergeCell ref="Q69:R69"/>
    <mergeCell ref="W69:Z69"/>
    <mergeCell ref="AF69:AH69"/>
    <mergeCell ref="C68:D68"/>
    <mergeCell ref="E68:M68"/>
    <mergeCell ref="Q68:R68"/>
    <mergeCell ref="W68:Z68"/>
    <mergeCell ref="W136:Z136"/>
    <mergeCell ref="AB68:AD68"/>
    <mergeCell ref="AB69:AD69"/>
    <mergeCell ref="AB135:AD135"/>
    <mergeCell ref="AB136:AD136"/>
    <mergeCell ref="C132:D132"/>
    <mergeCell ref="E132:M132"/>
    <mergeCell ref="Q132:R132"/>
    <mergeCell ref="W132:Z132"/>
    <mergeCell ref="AB132:AD132"/>
    <mergeCell ref="AF132:AH132"/>
    <mergeCell ref="C133:D133"/>
    <mergeCell ref="E133:M133"/>
    <mergeCell ref="AB8:AD8"/>
    <mergeCell ref="AB10:AD10"/>
    <mergeCell ref="AB11:AD11"/>
    <mergeCell ref="AB12:AD12"/>
    <mergeCell ref="AB13:AD13"/>
    <mergeCell ref="AB14:AD14"/>
    <mergeCell ref="AB15:AD15"/>
    <mergeCell ref="AB16:AD16"/>
    <mergeCell ref="AB17:AD17"/>
    <mergeCell ref="AB46:AD46"/>
    <mergeCell ref="AB47:AD47"/>
    <mergeCell ref="AB27:AD27"/>
    <mergeCell ref="AB28:AD28"/>
    <mergeCell ref="AB29:AD29"/>
    <mergeCell ref="AB30:AD30"/>
    <mergeCell ref="AB31:AD31"/>
    <mergeCell ref="AB32:AD32"/>
    <mergeCell ref="AB33:AD33"/>
    <mergeCell ref="AB34:AD34"/>
    <mergeCell ref="AB35:AD35"/>
    <mergeCell ref="AB36:AD36"/>
    <mergeCell ref="AB37:AD37"/>
    <mergeCell ref="AB38:AD38"/>
    <mergeCell ref="AF9:AH9"/>
    <mergeCell ref="AB9:AD9"/>
    <mergeCell ref="AB39:AD39"/>
    <mergeCell ref="AB40:AD40"/>
    <mergeCell ref="AB41:AD41"/>
    <mergeCell ref="AB42:AD42"/>
    <mergeCell ref="AB43:AD43"/>
    <mergeCell ref="AB44:AD44"/>
    <mergeCell ref="AB45:AD45"/>
    <mergeCell ref="AB18:AD18"/>
    <mergeCell ref="AB19:AD19"/>
    <mergeCell ref="AB20:AD20"/>
    <mergeCell ref="AB21:AD21"/>
    <mergeCell ref="AB22:AD22"/>
    <mergeCell ref="AB23:AD23"/>
    <mergeCell ref="AB24:AD24"/>
    <mergeCell ref="AB25:AD25"/>
    <mergeCell ref="AB26:AD26"/>
    <mergeCell ref="AF10:AH10"/>
    <mergeCell ref="AF11:AH11"/>
    <mergeCell ref="AF12:AH12"/>
    <mergeCell ref="AF40:AH40"/>
    <mergeCell ref="AF41:AH41"/>
    <mergeCell ref="AF26:AH26"/>
    <mergeCell ref="C72:D72"/>
    <mergeCell ref="E72:M72"/>
    <mergeCell ref="Q72:R72"/>
    <mergeCell ref="W72:Z72"/>
    <mergeCell ref="AB72:AD72"/>
    <mergeCell ref="AF72:AH72"/>
    <mergeCell ref="W133:Z133"/>
    <mergeCell ref="AB133:AD133"/>
    <mergeCell ref="AF133:AH133"/>
    <mergeCell ref="C75:D75"/>
    <mergeCell ref="E75:M75"/>
    <mergeCell ref="Q75:R75"/>
    <mergeCell ref="W75:Z75"/>
    <mergeCell ref="AB75:AD75"/>
    <mergeCell ref="AF75:AH75"/>
    <mergeCell ref="C76:D76"/>
    <mergeCell ref="E76:M76"/>
    <mergeCell ref="Q76:R76"/>
    <mergeCell ref="W76:Z76"/>
    <mergeCell ref="AB76:AD76"/>
    <mergeCell ref="AF76:AH76"/>
    <mergeCell ref="C77:D77"/>
    <mergeCell ref="E77:M77"/>
    <mergeCell ref="Q77:R77"/>
    <mergeCell ref="C70:D70"/>
    <mergeCell ref="E70:M70"/>
    <mergeCell ref="Q70:R70"/>
    <mergeCell ref="W70:Z70"/>
    <mergeCell ref="AB70:AD70"/>
    <mergeCell ref="AF70:AH70"/>
    <mergeCell ref="C71:D71"/>
    <mergeCell ref="E71:M71"/>
    <mergeCell ref="Q71:R71"/>
    <mergeCell ref="W71:Z71"/>
    <mergeCell ref="AB71:AD71"/>
    <mergeCell ref="AF71:AH71"/>
    <mergeCell ref="W77:Z77"/>
    <mergeCell ref="AB77:AD77"/>
    <mergeCell ref="AF77:AH77"/>
    <mergeCell ref="C78:D78"/>
    <mergeCell ref="E78:M78"/>
    <mergeCell ref="Q78:R78"/>
    <mergeCell ref="W78:Z78"/>
    <mergeCell ref="AB78:AD78"/>
    <mergeCell ref="AF78:AH78"/>
    <mergeCell ref="C79:D79"/>
    <mergeCell ref="E79:M79"/>
    <mergeCell ref="Q79:R79"/>
    <mergeCell ref="W79:Z79"/>
    <mergeCell ref="AB79:AD79"/>
    <mergeCell ref="AF79:AH79"/>
    <mergeCell ref="C80:D80"/>
    <mergeCell ref="E80:M80"/>
    <mergeCell ref="Q80:R80"/>
    <mergeCell ref="W80:Z80"/>
    <mergeCell ref="AB80:AD80"/>
    <mergeCell ref="AF80:AH80"/>
    <mergeCell ref="C81:D81"/>
    <mergeCell ref="E81:M81"/>
    <mergeCell ref="Q81:R81"/>
    <mergeCell ref="W81:Z81"/>
    <mergeCell ref="AB81:AD81"/>
    <mergeCell ref="AF81:AH81"/>
    <mergeCell ref="C82:D82"/>
    <mergeCell ref="E82:M82"/>
    <mergeCell ref="Q82:R82"/>
    <mergeCell ref="W82:Z82"/>
    <mergeCell ref="AB82:AD82"/>
    <mergeCell ref="AF82:AH82"/>
    <mergeCell ref="C83:D83"/>
    <mergeCell ref="E83:M83"/>
    <mergeCell ref="Q83:R83"/>
    <mergeCell ref="W83:Z83"/>
    <mergeCell ref="AB83:AD83"/>
    <mergeCell ref="AF83:AH83"/>
    <mergeCell ref="C84:D84"/>
    <mergeCell ref="E84:M84"/>
    <mergeCell ref="Q84:R84"/>
    <mergeCell ref="W84:Z84"/>
    <mergeCell ref="AB84:AD84"/>
    <mergeCell ref="AF84:AH84"/>
    <mergeCell ref="C85:D85"/>
    <mergeCell ref="E85:M85"/>
    <mergeCell ref="Q85:R85"/>
    <mergeCell ref="W85:Z85"/>
    <mergeCell ref="AB85:AD85"/>
    <mergeCell ref="AF85:AH85"/>
    <mergeCell ref="C86:D86"/>
    <mergeCell ref="E86:M86"/>
    <mergeCell ref="Q86:R86"/>
    <mergeCell ref="W86:Z86"/>
    <mergeCell ref="AB86:AD86"/>
    <mergeCell ref="AF86:AH86"/>
    <mergeCell ref="C87:D87"/>
    <mergeCell ref="E87:M87"/>
    <mergeCell ref="Q87:R87"/>
    <mergeCell ref="W87:Z87"/>
    <mergeCell ref="AB87:AD87"/>
    <mergeCell ref="AF87:AH87"/>
    <mergeCell ref="C88:D88"/>
    <mergeCell ref="E88:M88"/>
    <mergeCell ref="Q88:R88"/>
    <mergeCell ref="W88:Z88"/>
    <mergeCell ref="AB88:AD88"/>
    <mergeCell ref="AF88:AH88"/>
    <mergeCell ref="C89:D89"/>
    <mergeCell ref="E89:M89"/>
    <mergeCell ref="Q89:R89"/>
    <mergeCell ref="W89:Z89"/>
    <mergeCell ref="AB89:AD89"/>
    <mergeCell ref="AF89:AH89"/>
    <mergeCell ref="C90:D90"/>
    <mergeCell ref="E90:M90"/>
    <mergeCell ref="Q90:R90"/>
    <mergeCell ref="W90:Z90"/>
    <mergeCell ref="AB90:AD90"/>
    <mergeCell ref="AF90:AH90"/>
    <mergeCell ref="C91:D91"/>
    <mergeCell ref="E91:M91"/>
    <mergeCell ref="Q91:R91"/>
    <mergeCell ref="W91:Z91"/>
    <mergeCell ref="AB91:AD91"/>
    <mergeCell ref="AF91:AH91"/>
    <mergeCell ref="C92:D92"/>
    <mergeCell ref="E92:M92"/>
    <mergeCell ref="Q92:R92"/>
    <mergeCell ref="W92:Z92"/>
    <mergeCell ref="AB92:AD92"/>
    <mergeCell ref="AF92:AH92"/>
    <mergeCell ref="C93:D93"/>
    <mergeCell ref="E93:M93"/>
    <mergeCell ref="Q93:R93"/>
    <mergeCell ref="W93:Z93"/>
    <mergeCell ref="AB93:AD93"/>
    <mergeCell ref="AF93:AH93"/>
    <mergeCell ref="C94:D94"/>
    <mergeCell ref="E94:M94"/>
    <mergeCell ref="Q94:R94"/>
    <mergeCell ref="W94:Z94"/>
    <mergeCell ref="AB94:AD94"/>
    <mergeCell ref="AF94:AH94"/>
    <mergeCell ref="C95:D95"/>
    <mergeCell ref="E95:M95"/>
    <mergeCell ref="Q95:R95"/>
    <mergeCell ref="W95:Z95"/>
    <mergeCell ref="AB95:AD95"/>
    <mergeCell ref="AF95:AH95"/>
    <mergeCell ref="C96:D96"/>
    <mergeCell ref="E96:M96"/>
    <mergeCell ref="Q96:R96"/>
    <mergeCell ref="W96:Z96"/>
    <mergeCell ref="AB96:AD96"/>
    <mergeCell ref="AF96:AH96"/>
    <mergeCell ref="C97:D97"/>
    <mergeCell ref="E97:M97"/>
    <mergeCell ref="Q97:R97"/>
    <mergeCell ref="W97:Z97"/>
    <mergeCell ref="AB97:AD97"/>
    <mergeCell ref="AF97:AH97"/>
    <mergeCell ref="C98:D98"/>
    <mergeCell ref="E98:M98"/>
    <mergeCell ref="Q98:R98"/>
    <mergeCell ref="W98:Z98"/>
    <mergeCell ref="AB98:AD98"/>
    <mergeCell ref="AF98:AH98"/>
    <mergeCell ref="C99:D99"/>
    <mergeCell ref="E99:M99"/>
    <mergeCell ref="Q99:R99"/>
    <mergeCell ref="W99:Z99"/>
    <mergeCell ref="AB99:AD99"/>
    <mergeCell ref="AF99:AH99"/>
    <mergeCell ref="C100:D100"/>
    <mergeCell ref="E100:M100"/>
    <mergeCell ref="Q100:R100"/>
    <mergeCell ref="W100:Z100"/>
    <mergeCell ref="AB100:AD100"/>
    <mergeCell ref="AF100:AH100"/>
    <mergeCell ref="C101:D101"/>
    <mergeCell ref="E101:M101"/>
    <mergeCell ref="Q101:R101"/>
    <mergeCell ref="W101:Z101"/>
    <mergeCell ref="AB101:AD101"/>
    <mergeCell ref="AF101:AH101"/>
    <mergeCell ref="C102:D102"/>
    <mergeCell ref="E102:M102"/>
    <mergeCell ref="Q102:R102"/>
    <mergeCell ref="W102:Z102"/>
    <mergeCell ref="AB102:AD102"/>
    <mergeCell ref="AF102:AH102"/>
    <mergeCell ref="C103:D103"/>
    <mergeCell ref="E103:M103"/>
    <mergeCell ref="Q103:R103"/>
    <mergeCell ref="W103:Z103"/>
    <mergeCell ref="AB103:AD103"/>
    <mergeCell ref="AF103:AH103"/>
    <mergeCell ref="C104:D104"/>
    <mergeCell ref="E104:M104"/>
    <mergeCell ref="Q104:R104"/>
    <mergeCell ref="W104:Z104"/>
    <mergeCell ref="AB104:AD104"/>
    <mergeCell ref="AF104:AH104"/>
    <mergeCell ref="C105:D105"/>
    <mergeCell ref="E105:M105"/>
    <mergeCell ref="Q105:R105"/>
    <mergeCell ref="W105:Z105"/>
    <mergeCell ref="AB105:AD105"/>
    <mergeCell ref="AF105:AH105"/>
    <mergeCell ref="C106:D106"/>
    <mergeCell ref="E106:M106"/>
    <mergeCell ref="Q106:R106"/>
    <mergeCell ref="W106:Z106"/>
    <mergeCell ref="AB106:AD106"/>
    <mergeCell ref="AF106:AH106"/>
    <mergeCell ref="C107:D107"/>
    <mergeCell ref="E107:M107"/>
    <mergeCell ref="Q107:R107"/>
    <mergeCell ref="W107:Z107"/>
    <mergeCell ref="AB107:AD107"/>
    <mergeCell ref="AF107:AH107"/>
    <mergeCell ref="C108:D108"/>
    <mergeCell ref="E108:M108"/>
    <mergeCell ref="Q108:R108"/>
    <mergeCell ref="W108:Z108"/>
    <mergeCell ref="AB108:AD108"/>
    <mergeCell ref="AF108:AH108"/>
    <mergeCell ref="C109:D109"/>
    <mergeCell ref="E109:M109"/>
    <mergeCell ref="Q109:R109"/>
    <mergeCell ref="W109:Z109"/>
    <mergeCell ref="AB109:AD109"/>
    <mergeCell ref="AF109:AH109"/>
    <mergeCell ref="C110:D110"/>
    <mergeCell ref="E110:M110"/>
    <mergeCell ref="Q110:R110"/>
    <mergeCell ref="W110:Z110"/>
    <mergeCell ref="AB110:AD110"/>
    <mergeCell ref="AF110:AH110"/>
    <mergeCell ref="C111:D111"/>
    <mergeCell ref="E111:M111"/>
    <mergeCell ref="Q111:R111"/>
    <mergeCell ref="W111:Z111"/>
    <mergeCell ref="AB111:AD111"/>
    <mergeCell ref="AF111:AH111"/>
    <mergeCell ref="C112:D112"/>
    <mergeCell ref="E112:M112"/>
    <mergeCell ref="Q112:R112"/>
    <mergeCell ref="W112:Z112"/>
    <mergeCell ref="AB112:AD112"/>
    <mergeCell ref="AF112:AH112"/>
    <mergeCell ref="C113:D113"/>
    <mergeCell ref="E113:M113"/>
    <mergeCell ref="Q113:R113"/>
    <mergeCell ref="W113:Z113"/>
    <mergeCell ref="AB113:AD113"/>
    <mergeCell ref="AF113:AH113"/>
    <mergeCell ref="C114:D114"/>
    <mergeCell ref="E114:M114"/>
    <mergeCell ref="Q114:R114"/>
    <mergeCell ref="W114:Z114"/>
    <mergeCell ref="AB114:AD114"/>
    <mergeCell ref="AF114:AH114"/>
    <mergeCell ref="C115:D115"/>
    <mergeCell ref="E115:M115"/>
    <mergeCell ref="Q115:R115"/>
    <mergeCell ref="W115:Z115"/>
    <mergeCell ref="AB115:AD115"/>
    <mergeCell ref="AF115:AH115"/>
    <mergeCell ref="C116:D116"/>
    <mergeCell ref="E116:M116"/>
    <mergeCell ref="Q116:R116"/>
    <mergeCell ref="W116:Z116"/>
    <mergeCell ref="AB116:AD116"/>
    <mergeCell ref="AF116:AH116"/>
    <mergeCell ref="C117:D117"/>
    <mergeCell ref="E117:M117"/>
    <mergeCell ref="Q117:R117"/>
    <mergeCell ref="W117:Z117"/>
    <mergeCell ref="AB117:AD117"/>
    <mergeCell ref="AF117:AH117"/>
    <mergeCell ref="C118:D118"/>
    <mergeCell ref="E118:M118"/>
    <mergeCell ref="Q118:R118"/>
    <mergeCell ref="W118:Z118"/>
    <mergeCell ref="AB118:AD118"/>
    <mergeCell ref="AF118:AH118"/>
    <mergeCell ref="C119:D119"/>
    <mergeCell ref="E119:M119"/>
    <mergeCell ref="Q119:R119"/>
    <mergeCell ref="W119:Z119"/>
    <mergeCell ref="AB119:AD119"/>
    <mergeCell ref="AF119:AH119"/>
    <mergeCell ref="C120:D120"/>
    <mergeCell ref="E120:M120"/>
    <mergeCell ref="Q120:R120"/>
    <mergeCell ref="W120:Z120"/>
    <mergeCell ref="AB120:AD120"/>
    <mergeCell ref="AF120:AH120"/>
    <mergeCell ref="C121:D121"/>
    <mergeCell ref="E121:M121"/>
    <mergeCell ref="Q121:R121"/>
    <mergeCell ref="W121:Z121"/>
    <mergeCell ref="AB121:AD121"/>
    <mergeCell ref="AF121:AH121"/>
    <mergeCell ref="C122:D122"/>
    <mergeCell ref="E122:M122"/>
    <mergeCell ref="Q122:R122"/>
    <mergeCell ref="W122:Z122"/>
    <mergeCell ref="AB122:AD122"/>
    <mergeCell ref="AF122:AH122"/>
    <mergeCell ref="AB126:AD126"/>
    <mergeCell ref="AF126:AH126"/>
    <mergeCell ref="C123:D123"/>
    <mergeCell ref="E123:M123"/>
    <mergeCell ref="Q123:R123"/>
    <mergeCell ref="W123:Z123"/>
    <mergeCell ref="AB123:AD123"/>
    <mergeCell ref="AF123:AH123"/>
    <mergeCell ref="C124:D124"/>
    <mergeCell ref="E124:M124"/>
    <mergeCell ref="Q124:R124"/>
    <mergeCell ref="W124:Z124"/>
    <mergeCell ref="AB124:AD124"/>
    <mergeCell ref="AF124:AH124"/>
    <mergeCell ref="C130:D130"/>
    <mergeCell ref="E130:M130"/>
    <mergeCell ref="Q130:R130"/>
    <mergeCell ref="W130:Z130"/>
    <mergeCell ref="AB130:AD130"/>
    <mergeCell ref="AF130:AH130"/>
    <mergeCell ref="C127:D127"/>
    <mergeCell ref="E127:M127"/>
    <mergeCell ref="Q127:R127"/>
    <mergeCell ref="W127:Z127"/>
    <mergeCell ref="AB127:AD127"/>
    <mergeCell ref="AF127:AH127"/>
    <mergeCell ref="C128:D128"/>
    <mergeCell ref="E128:M128"/>
    <mergeCell ref="Q128:R128"/>
    <mergeCell ref="W128:Z128"/>
    <mergeCell ref="AB128:AD128"/>
    <mergeCell ref="AF128:AH128"/>
    <mergeCell ref="W73:Z73"/>
    <mergeCell ref="AB73:AD73"/>
    <mergeCell ref="AF73:AH73"/>
    <mergeCell ref="N74:O74"/>
    <mergeCell ref="Q74:R74"/>
    <mergeCell ref="X74:Z74"/>
    <mergeCell ref="AB74:AD74"/>
    <mergeCell ref="AF74:AH74"/>
    <mergeCell ref="C129:D129"/>
    <mergeCell ref="E129:M129"/>
    <mergeCell ref="Q129:R129"/>
    <mergeCell ref="W129:Z129"/>
    <mergeCell ref="AB129:AD129"/>
    <mergeCell ref="AF129:AH129"/>
    <mergeCell ref="C125:D125"/>
    <mergeCell ref="E125:M125"/>
    <mergeCell ref="Q125:R125"/>
    <mergeCell ref="W125:Z125"/>
    <mergeCell ref="AB125:AD125"/>
    <mergeCell ref="AF125:AH125"/>
    <mergeCell ref="C126:D126"/>
    <mergeCell ref="E126:M126"/>
    <mergeCell ref="Q126:R126"/>
    <mergeCell ref="W126:Z126"/>
    <mergeCell ref="O135:V135"/>
    <mergeCell ref="O136:V136"/>
    <mergeCell ref="O137:V137"/>
    <mergeCell ref="C131:D131"/>
    <mergeCell ref="E131:M131"/>
    <mergeCell ref="Q131:R131"/>
    <mergeCell ref="W131:Z131"/>
    <mergeCell ref="AB131:AD131"/>
    <mergeCell ref="AF131:AH131"/>
    <mergeCell ref="C134:D134"/>
    <mergeCell ref="E134:M134"/>
    <mergeCell ref="Q134:R134"/>
    <mergeCell ref="W134:Z134"/>
    <mergeCell ref="AB134:AD134"/>
    <mergeCell ref="AF134:AH134"/>
    <mergeCell ref="AB137:AD137"/>
    <mergeCell ref="AF137:AH137"/>
    <mergeCell ref="W137:Z137"/>
    <mergeCell ref="AF135:AH135"/>
    <mergeCell ref="AF136:AH136"/>
  </mergeCells>
  <pageMargins left="0.7" right="0.7" top="0.75" bottom="0.75" header="0.3" footer="0.3"/>
  <pageSetup scale="69" fitToHeight="2" orientation="portrait" r:id="rId1"/>
  <rowBreaks count="1" manualBreakCount="1">
    <brk id="72" min="1" max="26" man="1"/>
  </rowBreaks>
  <drawing r:id="rId2"/>
  <legacyDrawingHF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81EBCC-1241-418F-832B-D346EABCF02F}">
  <sheetPr codeName="Sheet20">
    <pageSetUpPr fitToPage="1"/>
  </sheetPr>
  <dimension ref="B1:DD99"/>
  <sheetViews>
    <sheetView tabSelected="1" zoomScale="110" zoomScaleNormal="110" zoomScaleSheetLayoutView="100" workbookViewId="0">
      <selection activeCell="N42" sqref="N42:Y42"/>
    </sheetView>
  </sheetViews>
  <sheetFormatPr baseColWidth="10" defaultColWidth="4.6640625" defaultRowHeight="17" x14ac:dyDescent="0.2"/>
  <cols>
    <col min="1" max="13" width="4.6640625" style="7"/>
    <col min="14" max="20" width="4.6640625" style="7" customWidth="1"/>
    <col min="21" max="22" width="4.6640625" style="44" customWidth="1"/>
    <col min="23" max="26" width="4.6640625" style="7" customWidth="1"/>
    <col min="27" max="27" width="4.33203125" style="7" customWidth="1"/>
    <col min="28" max="36" width="4.6640625" style="7"/>
    <col min="37" max="37" width="4.6640625" style="34"/>
    <col min="38" max="107" width="4.6640625" style="7"/>
    <col min="108" max="108" width="0" style="7" hidden="1" customWidth="1"/>
    <col min="109" max="16384" width="4.6640625" style="7"/>
  </cols>
  <sheetData>
    <row r="1" spans="2:108" ht="16.5" customHeight="1" x14ac:dyDescent="0.2">
      <c r="B1"/>
      <c r="C1"/>
      <c r="D1"/>
      <c r="E1"/>
      <c r="F1"/>
      <c r="G1"/>
      <c r="H1"/>
      <c r="I1"/>
      <c r="J1"/>
      <c r="K1"/>
      <c r="L1"/>
      <c r="Q1" s="63"/>
      <c r="R1" s="63"/>
      <c r="U1" s="7"/>
      <c r="V1" s="7"/>
      <c r="X1" s="24"/>
      <c r="Y1" s="24"/>
      <c r="Z1" s="24"/>
      <c r="AJ1" s="63"/>
      <c r="AK1" s="7"/>
      <c r="DD1" s="7" t="s">
        <v>518</v>
      </c>
    </row>
    <row r="2" spans="2:108" ht="6.5" customHeight="1" x14ac:dyDescent="0.2">
      <c r="B2"/>
      <c r="C2"/>
      <c r="D2"/>
      <c r="E2"/>
      <c r="F2"/>
      <c r="G2"/>
      <c r="H2"/>
      <c r="I2"/>
      <c r="J2"/>
      <c r="K2"/>
      <c r="L2"/>
      <c r="M2"/>
      <c r="Q2" s="63"/>
      <c r="R2" s="63"/>
      <c r="U2" s="7"/>
      <c r="V2" s="7"/>
      <c r="X2" s="24"/>
      <c r="Y2" s="24"/>
      <c r="Z2" s="24"/>
      <c r="AJ2" s="63"/>
      <c r="AK2" s="7"/>
    </row>
    <row r="3" spans="2:108" ht="16.5" customHeight="1" x14ac:dyDescent="0.2">
      <c r="B3"/>
      <c r="C3"/>
      <c r="D3"/>
      <c r="E3"/>
      <c r="F3"/>
      <c r="G3"/>
      <c r="H3"/>
      <c r="I3"/>
      <c r="J3"/>
      <c r="K3"/>
      <c r="L3"/>
      <c r="M3"/>
      <c r="Q3" s="63"/>
      <c r="U3" s="7"/>
      <c r="V3" s="7"/>
      <c r="X3" s="24"/>
      <c r="Y3" s="24"/>
      <c r="Z3" s="24"/>
      <c r="AJ3" s="63"/>
      <c r="AK3" s="7"/>
    </row>
    <row r="4" spans="2:108" ht="6.5" customHeight="1" x14ac:dyDescent="0.2">
      <c r="B4"/>
      <c r="C4"/>
      <c r="D4"/>
      <c r="E4"/>
      <c r="F4"/>
      <c r="G4"/>
      <c r="H4"/>
      <c r="I4"/>
      <c r="J4"/>
      <c r="K4"/>
      <c r="L4"/>
      <c r="Q4" s="63"/>
      <c r="U4" s="7"/>
      <c r="V4" s="7"/>
      <c r="X4" s="24"/>
      <c r="Y4" s="24"/>
      <c r="Z4" s="24"/>
      <c r="AJ4" s="63"/>
      <c r="AK4" s="7"/>
    </row>
    <row r="5" spans="2:108" ht="16.5" customHeight="1" x14ac:dyDescent="0.2">
      <c r="B5"/>
      <c r="C5"/>
      <c r="D5"/>
      <c r="E5"/>
      <c r="F5"/>
      <c r="G5"/>
      <c r="H5"/>
      <c r="I5"/>
      <c r="J5"/>
      <c r="K5"/>
      <c r="L5"/>
      <c r="M5"/>
      <c r="Q5" s="63"/>
      <c r="R5" s="63"/>
      <c r="U5" s="7"/>
      <c r="V5" s="7"/>
      <c r="X5" s="24"/>
      <c r="Y5" s="24"/>
      <c r="Z5" s="24"/>
      <c r="AJ5" s="63"/>
      <c r="AK5" s="7"/>
    </row>
    <row r="6" spans="2:108" ht="16.25" customHeight="1" x14ac:dyDescent="0.2">
      <c r="C6" s="19"/>
      <c r="BI6" s="46"/>
    </row>
    <row r="7" spans="2:108" ht="16" customHeight="1" x14ac:dyDescent="0.2">
      <c r="AK7" s="35"/>
      <c r="AL7" s="2"/>
      <c r="AM7" s="2"/>
      <c r="AN7" s="2"/>
    </row>
    <row r="8" spans="2:108" s="323" customFormat="1" ht="20" customHeight="1" x14ac:dyDescent="0.2">
      <c r="C8" s="28" t="s">
        <v>427</v>
      </c>
      <c r="D8" s="280" t="s">
        <v>851</v>
      </c>
      <c r="E8" s="80"/>
      <c r="F8" s="370"/>
      <c r="G8" s="370"/>
      <c r="H8" s="370"/>
      <c r="I8" s="370"/>
      <c r="J8" s="370"/>
      <c r="K8" s="370"/>
      <c r="L8" s="370"/>
      <c r="M8" s="370"/>
      <c r="N8" s="370"/>
      <c r="O8" s="370"/>
      <c r="P8" s="370"/>
      <c r="Q8" s="370"/>
      <c r="R8" s="370"/>
      <c r="S8" s="370"/>
      <c r="T8" s="370"/>
      <c r="U8" s="371"/>
      <c r="V8" s="371"/>
      <c r="W8" s="866"/>
      <c r="X8" s="866"/>
      <c r="Y8" s="866"/>
      <c r="Z8" s="866"/>
      <c r="AB8" s="867"/>
      <c r="AC8" s="867"/>
      <c r="AD8" s="868"/>
      <c r="AF8" s="869"/>
      <c r="AG8" s="867"/>
      <c r="AH8" s="868"/>
      <c r="AK8" s="368"/>
      <c r="AL8" s="372"/>
      <c r="AM8" s="372"/>
      <c r="AN8" s="372"/>
    </row>
    <row r="9" spans="2:108" s="110" customFormat="1" ht="16.25" customHeight="1" x14ac:dyDescent="0.15">
      <c r="C9" s="152"/>
      <c r="D9" s="116"/>
      <c r="E9" s="116"/>
      <c r="F9" s="130"/>
      <c r="G9" s="130"/>
      <c r="H9" s="130"/>
      <c r="I9" s="130"/>
      <c r="J9" s="130"/>
      <c r="K9" s="130"/>
      <c r="L9" s="130"/>
      <c r="M9" s="130"/>
      <c r="N9" s="185"/>
      <c r="O9" s="185"/>
      <c r="P9" s="130"/>
      <c r="Q9" s="185"/>
      <c r="R9" s="185"/>
      <c r="S9" s="130"/>
      <c r="T9" s="116"/>
      <c r="U9" s="130"/>
      <c r="V9" s="130"/>
      <c r="W9" s="870" t="s">
        <v>370</v>
      </c>
      <c r="X9" s="870"/>
      <c r="Y9" s="870"/>
      <c r="Z9" s="871"/>
      <c r="AB9" s="848" t="s">
        <v>363</v>
      </c>
      <c r="AC9" s="849"/>
      <c r="AD9" s="850"/>
      <c r="AF9" s="848" t="s">
        <v>447</v>
      </c>
      <c r="AG9" s="849"/>
      <c r="AH9" s="850"/>
      <c r="AK9" s="165"/>
      <c r="AL9" s="166"/>
    </row>
    <row r="10" spans="2:108" s="51" customFormat="1" ht="16" customHeight="1" x14ac:dyDescent="0.15">
      <c r="C10" s="865">
        <v>400</v>
      </c>
      <c r="D10" s="419"/>
      <c r="E10" s="330"/>
      <c r="F10" s="330"/>
      <c r="G10" s="330"/>
      <c r="H10" s="330"/>
      <c r="I10" s="330"/>
      <c r="J10" s="330"/>
      <c r="K10" s="330"/>
      <c r="L10" s="330"/>
      <c r="M10" s="330"/>
      <c r="N10" s="58"/>
      <c r="O10" s="58"/>
      <c r="P10" s="59"/>
      <c r="Q10" s="58"/>
      <c r="R10" s="58"/>
      <c r="S10" s="67"/>
      <c r="T10" s="324"/>
      <c r="U10" s="88"/>
      <c r="V10" s="88"/>
      <c r="W10" s="729">
        <v>0</v>
      </c>
      <c r="X10" s="729"/>
      <c r="Y10" s="729"/>
      <c r="Z10" s="730"/>
      <c r="AB10" s="832">
        <v>0</v>
      </c>
      <c r="AC10" s="833"/>
      <c r="AD10" s="834"/>
      <c r="AF10" s="832">
        <f>AB10-W10</f>
        <v>0</v>
      </c>
      <c r="AG10" s="833"/>
      <c r="AH10" s="834"/>
      <c r="AM10" s="316"/>
      <c r="AN10" s="316"/>
    </row>
    <row r="11" spans="2:108" s="51" customFormat="1" ht="16" customHeight="1" x14ac:dyDescent="0.15">
      <c r="C11" s="865">
        <f>C10+1</f>
        <v>401</v>
      </c>
      <c r="D11" s="419"/>
      <c r="E11" s="330"/>
      <c r="F11" s="330"/>
      <c r="G11" s="330"/>
      <c r="H11" s="330"/>
      <c r="I11" s="330"/>
      <c r="J11" s="330"/>
      <c r="K11" s="330"/>
      <c r="L11" s="330"/>
      <c r="M11" s="330"/>
      <c r="N11" s="58"/>
      <c r="O11" s="58"/>
      <c r="P11" s="59"/>
      <c r="Q11" s="58"/>
      <c r="R11" s="58"/>
      <c r="S11" s="67"/>
      <c r="T11" s="324"/>
      <c r="U11" s="88"/>
      <c r="V11" s="88"/>
      <c r="W11" s="729">
        <v>0</v>
      </c>
      <c r="X11" s="729"/>
      <c r="Y11" s="729"/>
      <c r="Z11" s="730"/>
      <c r="AB11" s="832">
        <v>0</v>
      </c>
      <c r="AC11" s="833"/>
      <c r="AD11" s="834"/>
      <c r="AF11" s="832">
        <f t="shared" ref="AF11:AF72" si="0">AB11-W11</f>
        <v>0</v>
      </c>
      <c r="AG11" s="833"/>
      <c r="AH11" s="834"/>
      <c r="AK11" s="325"/>
    </row>
    <row r="12" spans="2:108" s="51" customFormat="1" ht="16" customHeight="1" x14ac:dyDescent="0.15">
      <c r="C12" s="865">
        <f t="shared" ref="C12:C69" si="1">C11+1</f>
        <v>402</v>
      </c>
      <c r="D12" s="419"/>
      <c r="E12" s="330"/>
      <c r="F12" s="330"/>
      <c r="G12" s="330"/>
      <c r="H12" s="330"/>
      <c r="I12" s="330"/>
      <c r="J12" s="330"/>
      <c r="K12" s="330"/>
      <c r="L12" s="330"/>
      <c r="M12" s="330"/>
      <c r="N12" s="58"/>
      <c r="O12" s="58"/>
      <c r="P12" s="59"/>
      <c r="Q12" s="58"/>
      <c r="R12" s="58"/>
      <c r="S12" s="67"/>
      <c r="T12" s="324"/>
      <c r="U12" s="88"/>
      <c r="V12" s="88"/>
      <c r="W12" s="729">
        <v>0</v>
      </c>
      <c r="X12" s="729"/>
      <c r="Y12" s="729"/>
      <c r="Z12" s="730"/>
      <c r="AB12" s="832">
        <v>0</v>
      </c>
      <c r="AC12" s="833"/>
      <c r="AD12" s="834"/>
      <c r="AF12" s="832">
        <f t="shared" si="0"/>
        <v>0</v>
      </c>
      <c r="AG12" s="833"/>
      <c r="AH12" s="834"/>
      <c r="AK12" s="325"/>
    </row>
    <row r="13" spans="2:108" s="51" customFormat="1" ht="16" customHeight="1" x14ac:dyDescent="0.15">
      <c r="C13" s="865">
        <f t="shared" si="1"/>
        <v>403</v>
      </c>
      <c r="D13" s="419"/>
      <c r="E13" s="330"/>
      <c r="F13" s="330"/>
      <c r="G13" s="330"/>
      <c r="H13" s="330"/>
      <c r="I13" s="330"/>
      <c r="J13" s="330"/>
      <c r="K13" s="330"/>
      <c r="L13" s="330"/>
      <c r="M13" s="330"/>
      <c r="N13" s="58"/>
      <c r="O13" s="58"/>
      <c r="P13" s="59"/>
      <c r="Q13" s="58"/>
      <c r="R13" s="58"/>
      <c r="S13" s="67"/>
      <c r="T13" s="324"/>
      <c r="U13" s="88"/>
      <c r="V13" s="88"/>
      <c r="W13" s="729">
        <v>0</v>
      </c>
      <c r="X13" s="729"/>
      <c r="Y13" s="729"/>
      <c r="Z13" s="730"/>
      <c r="AB13" s="832">
        <v>0</v>
      </c>
      <c r="AC13" s="833"/>
      <c r="AD13" s="834"/>
      <c r="AF13" s="832">
        <f t="shared" si="0"/>
        <v>0</v>
      </c>
      <c r="AG13" s="833"/>
      <c r="AH13" s="834"/>
      <c r="AK13" s="325"/>
    </row>
    <row r="14" spans="2:108" s="51" customFormat="1" ht="16" customHeight="1" x14ac:dyDescent="0.15">
      <c r="C14" s="865">
        <f t="shared" si="1"/>
        <v>404</v>
      </c>
      <c r="D14" s="419"/>
      <c r="E14" s="330"/>
      <c r="F14" s="330"/>
      <c r="G14" s="330"/>
      <c r="H14" s="330"/>
      <c r="I14" s="330"/>
      <c r="J14" s="330"/>
      <c r="K14" s="330"/>
      <c r="L14" s="330"/>
      <c r="M14" s="330"/>
      <c r="N14" s="58"/>
      <c r="O14" s="58"/>
      <c r="P14" s="59"/>
      <c r="Q14" s="58"/>
      <c r="R14" s="58"/>
      <c r="S14" s="67"/>
      <c r="T14" s="324"/>
      <c r="U14" s="88"/>
      <c r="V14" s="88"/>
      <c r="W14" s="729">
        <v>0</v>
      </c>
      <c r="X14" s="729"/>
      <c r="Y14" s="729"/>
      <c r="Z14" s="730"/>
      <c r="AB14" s="832">
        <v>0</v>
      </c>
      <c r="AC14" s="833"/>
      <c r="AD14" s="834"/>
      <c r="AF14" s="832">
        <f t="shared" si="0"/>
        <v>0</v>
      </c>
      <c r="AG14" s="833"/>
      <c r="AH14" s="834"/>
      <c r="AK14" s="325"/>
    </row>
    <row r="15" spans="2:108" s="51" customFormat="1" ht="16" customHeight="1" x14ac:dyDescent="0.15">
      <c r="C15" s="865">
        <f t="shared" si="1"/>
        <v>405</v>
      </c>
      <c r="D15" s="419"/>
      <c r="E15" s="330"/>
      <c r="F15" s="330"/>
      <c r="G15" s="330"/>
      <c r="H15" s="330"/>
      <c r="I15" s="330"/>
      <c r="J15" s="330"/>
      <c r="K15" s="330"/>
      <c r="L15" s="330"/>
      <c r="M15" s="330"/>
      <c r="N15" s="58"/>
      <c r="O15" s="58"/>
      <c r="P15" s="59"/>
      <c r="Q15" s="58"/>
      <c r="R15" s="58"/>
      <c r="S15" s="67"/>
      <c r="T15" s="324"/>
      <c r="U15" s="88"/>
      <c r="V15" s="88"/>
      <c r="W15" s="729">
        <v>0</v>
      </c>
      <c r="X15" s="729"/>
      <c r="Y15" s="729"/>
      <c r="Z15" s="730"/>
      <c r="AB15" s="832">
        <v>0</v>
      </c>
      <c r="AC15" s="833"/>
      <c r="AD15" s="834"/>
      <c r="AF15" s="832">
        <f t="shared" si="0"/>
        <v>0</v>
      </c>
      <c r="AG15" s="833"/>
      <c r="AH15" s="834"/>
      <c r="AK15" s="325"/>
    </row>
    <row r="16" spans="2:108" s="51" customFormat="1" ht="16" customHeight="1" x14ac:dyDescent="0.15">
      <c r="C16" s="865">
        <f t="shared" si="1"/>
        <v>406</v>
      </c>
      <c r="D16" s="419"/>
      <c r="E16" s="330"/>
      <c r="F16" s="330"/>
      <c r="G16" s="330"/>
      <c r="H16" s="330"/>
      <c r="I16" s="330"/>
      <c r="J16" s="330"/>
      <c r="K16" s="330"/>
      <c r="L16" s="330"/>
      <c r="M16" s="330"/>
      <c r="N16" s="58"/>
      <c r="O16" s="58"/>
      <c r="P16" s="59"/>
      <c r="Q16" s="58"/>
      <c r="R16" s="58"/>
      <c r="S16" s="67"/>
      <c r="T16" s="324"/>
      <c r="U16" s="88"/>
      <c r="V16" s="88"/>
      <c r="W16" s="729">
        <v>0</v>
      </c>
      <c r="X16" s="729"/>
      <c r="Y16" s="729"/>
      <c r="Z16" s="730"/>
      <c r="AB16" s="832">
        <v>0</v>
      </c>
      <c r="AC16" s="833"/>
      <c r="AD16" s="834"/>
      <c r="AF16" s="832">
        <f t="shared" si="0"/>
        <v>0</v>
      </c>
      <c r="AG16" s="833"/>
      <c r="AH16" s="834"/>
      <c r="AK16" s="325"/>
    </row>
    <row r="17" spans="3:37" s="51" customFormat="1" ht="16" customHeight="1" x14ac:dyDescent="0.15">
      <c r="C17" s="865">
        <f t="shared" si="1"/>
        <v>407</v>
      </c>
      <c r="D17" s="419"/>
      <c r="E17" s="330"/>
      <c r="F17" s="330"/>
      <c r="G17" s="330"/>
      <c r="H17" s="330"/>
      <c r="I17" s="330"/>
      <c r="J17" s="330"/>
      <c r="K17" s="330"/>
      <c r="L17" s="330"/>
      <c r="M17" s="330"/>
      <c r="N17" s="58"/>
      <c r="O17" s="58"/>
      <c r="P17" s="59"/>
      <c r="Q17" s="58"/>
      <c r="R17" s="58"/>
      <c r="S17" s="67"/>
      <c r="T17" s="324"/>
      <c r="U17" s="88"/>
      <c r="V17" s="88"/>
      <c r="W17" s="729">
        <v>0</v>
      </c>
      <c r="X17" s="729"/>
      <c r="Y17" s="729"/>
      <c r="Z17" s="730"/>
      <c r="AB17" s="832">
        <v>0</v>
      </c>
      <c r="AC17" s="833"/>
      <c r="AD17" s="834"/>
      <c r="AF17" s="832">
        <f t="shared" si="0"/>
        <v>0</v>
      </c>
      <c r="AG17" s="833"/>
      <c r="AH17" s="834"/>
      <c r="AK17" s="325"/>
    </row>
    <row r="18" spans="3:37" s="51" customFormat="1" ht="16" customHeight="1" x14ac:dyDescent="0.15">
      <c r="C18" s="865">
        <f t="shared" si="1"/>
        <v>408</v>
      </c>
      <c r="D18" s="419"/>
      <c r="E18" s="330"/>
      <c r="F18" s="330"/>
      <c r="G18" s="330"/>
      <c r="H18" s="330"/>
      <c r="I18" s="330"/>
      <c r="J18" s="330"/>
      <c r="K18" s="330"/>
      <c r="L18" s="330"/>
      <c r="M18" s="330"/>
      <c r="N18" s="58"/>
      <c r="O18" s="58"/>
      <c r="P18" s="59"/>
      <c r="Q18" s="58"/>
      <c r="R18" s="58"/>
      <c r="S18" s="67"/>
      <c r="T18" s="324"/>
      <c r="U18" s="88"/>
      <c r="V18" s="88"/>
      <c r="W18" s="729">
        <v>0</v>
      </c>
      <c r="X18" s="729"/>
      <c r="Y18" s="729"/>
      <c r="Z18" s="730"/>
      <c r="AB18" s="832">
        <v>0</v>
      </c>
      <c r="AC18" s="833"/>
      <c r="AD18" s="834"/>
      <c r="AF18" s="832">
        <f t="shared" si="0"/>
        <v>0</v>
      </c>
      <c r="AG18" s="833"/>
      <c r="AH18" s="834"/>
      <c r="AK18" s="325"/>
    </row>
    <row r="19" spans="3:37" s="51" customFormat="1" ht="16" customHeight="1" x14ac:dyDescent="0.15">
      <c r="C19" s="865">
        <f t="shared" si="1"/>
        <v>409</v>
      </c>
      <c r="D19" s="419"/>
      <c r="E19" s="330"/>
      <c r="F19" s="330"/>
      <c r="G19" s="330"/>
      <c r="H19" s="330"/>
      <c r="I19" s="330"/>
      <c r="J19" s="330"/>
      <c r="K19" s="330"/>
      <c r="L19" s="330"/>
      <c r="M19" s="330"/>
      <c r="N19" s="58"/>
      <c r="O19" s="58"/>
      <c r="P19" s="59"/>
      <c r="Q19" s="58"/>
      <c r="R19" s="58"/>
      <c r="S19" s="67"/>
      <c r="T19" s="324"/>
      <c r="U19" s="88"/>
      <c r="V19" s="88"/>
      <c r="W19" s="729">
        <v>0</v>
      </c>
      <c r="X19" s="729"/>
      <c r="Y19" s="729"/>
      <c r="Z19" s="730"/>
      <c r="AB19" s="832">
        <v>0</v>
      </c>
      <c r="AC19" s="833"/>
      <c r="AD19" s="834"/>
      <c r="AF19" s="832">
        <f t="shared" si="0"/>
        <v>0</v>
      </c>
      <c r="AG19" s="833"/>
      <c r="AH19" s="834"/>
      <c r="AK19" s="325"/>
    </row>
    <row r="20" spans="3:37" s="51" customFormat="1" ht="16" customHeight="1" x14ac:dyDescent="0.15">
      <c r="C20" s="865">
        <f t="shared" si="1"/>
        <v>410</v>
      </c>
      <c r="D20" s="419"/>
      <c r="E20" s="330"/>
      <c r="F20" s="330"/>
      <c r="G20" s="330"/>
      <c r="H20" s="330"/>
      <c r="I20" s="330"/>
      <c r="J20" s="330"/>
      <c r="K20" s="330"/>
      <c r="L20" s="330"/>
      <c r="M20" s="330"/>
      <c r="N20" s="58"/>
      <c r="O20" s="58"/>
      <c r="P20" s="59"/>
      <c r="Q20" s="58"/>
      <c r="R20" s="58"/>
      <c r="S20" s="67"/>
      <c r="T20" s="324"/>
      <c r="U20" s="88"/>
      <c r="V20" s="88"/>
      <c r="W20" s="729">
        <v>0</v>
      </c>
      <c r="X20" s="729"/>
      <c r="Y20" s="729"/>
      <c r="Z20" s="730"/>
      <c r="AB20" s="832">
        <v>0</v>
      </c>
      <c r="AC20" s="833"/>
      <c r="AD20" s="834"/>
      <c r="AF20" s="832">
        <f t="shared" si="0"/>
        <v>0</v>
      </c>
      <c r="AG20" s="833"/>
      <c r="AH20" s="834"/>
      <c r="AK20" s="325"/>
    </row>
    <row r="21" spans="3:37" s="51" customFormat="1" ht="16" customHeight="1" x14ac:dyDescent="0.15">
      <c r="C21" s="865">
        <f t="shared" si="1"/>
        <v>411</v>
      </c>
      <c r="D21" s="419"/>
      <c r="E21" s="330"/>
      <c r="F21" s="330"/>
      <c r="G21" s="330"/>
      <c r="H21" s="330"/>
      <c r="I21" s="330"/>
      <c r="J21" s="330"/>
      <c r="K21" s="330"/>
      <c r="L21" s="330"/>
      <c r="M21" s="330"/>
      <c r="N21" s="58"/>
      <c r="O21" s="58"/>
      <c r="P21" s="59"/>
      <c r="Q21" s="58"/>
      <c r="R21" s="58"/>
      <c r="S21" s="67"/>
      <c r="T21" s="324"/>
      <c r="U21" s="88"/>
      <c r="V21" s="88"/>
      <c r="W21" s="729">
        <v>0</v>
      </c>
      <c r="X21" s="729"/>
      <c r="Y21" s="729"/>
      <c r="Z21" s="730"/>
      <c r="AB21" s="832">
        <v>0</v>
      </c>
      <c r="AC21" s="833"/>
      <c r="AD21" s="834"/>
      <c r="AF21" s="832">
        <f t="shared" si="0"/>
        <v>0</v>
      </c>
      <c r="AG21" s="833"/>
      <c r="AH21" s="834"/>
      <c r="AK21" s="325"/>
    </row>
    <row r="22" spans="3:37" s="51" customFormat="1" ht="16" customHeight="1" x14ac:dyDescent="0.15">
      <c r="C22" s="865">
        <f t="shared" si="1"/>
        <v>412</v>
      </c>
      <c r="D22" s="419"/>
      <c r="E22" s="330"/>
      <c r="F22" s="330"/>
      <c r="G22" s="330"/>
      <c r="H22" s="330"/>
      <c r="I22" s="330"/>
      <c r="J22" s="330"/>
      <c r="K22" s="330"/>
      <c r="L22" s="330"/>
      <c r="M22" s="330"/>
      <c r="N22" s="58"/>
      <c r="O22" s="58"/>
      <c r="P22" s="59"/>
      <c r="Q22" s="58"/>
      <c r="R22" s="58"/>
      <c r="S22" s="67"/>
      <c r="T22" s="324"/>
      <c r="U22" s="88"/>
      <c r="V22" s="88"/>
      <c r="W22" s="729">
        <v>0</v>
      </c>
      <c r="X22" s="729"/>
      <c r="Y22" s="729"/>
      <c r="Z22" s="730"/>
      <c r="AB22" s="832">
        <v>0</v>
      </c>
      <c r="AC22" s="833"/>
      <c r="AD22" s="834"/>
      <c r="AF22" s="832">
        <f t="shared" si="0"/>
        <v>0</v>
      </c>
      <c r="AG22" s="833"/>
      <c r="AH22" s="834"/>
      <c r="AK22" s="325"/>
    </row>
    <row r="23" spans="3:37" s="51" customFormat="1" ht="16" customHeight="1" x14ac:dyDescent="0.15">
      <c r="C23" s="865">
        <f t="shared" si="1"/>
        <v>413</v>
      </c>
      <c r="D23" s="419"/>
      <c r="E23" s="330"/>
      <c r="F23" s="330"/>
      <c r="G23" s="330"/>
      <c r="H23" s="330"/>
      <c r="I23" s="330"/>
      <c r="J23" s="330"/>
      <c r="K23" s="330"/>
      <c r="L23" s="330"/>
      <c r="M23" s="330"/>
      <c r="N23" s="58"/>
      <c r="O23" s="58"/>
      <c r="P23" s="59"/>
      <c r="Q23" s="58"/>
      <c r="R23" s="58"/>
      <c r="S23" s="67"/>
      <c r="T23" s="324"/>
      <c r="U23" s="88"/>
      <c r="V23" s="88"/>
      <c r="W23" s="729">
        <v>0</v>
      </c>
      <c r="X23" s="729"/>
      <c r="Y23" s="729"/>
      <c r="Z23" s="730"/>
      <c r="AB23" s="832">
        <v>0</v>
      </c>
      <c r="AC23" s="833"/>
      <c r="AD23" s="834"/>
      <c r="AF23" s="832">
        <f t="shared" si="0"/>
        <v>0</v>
      </c>
      <c r="AG23" s="833"/>
      <c r="AH23" s="834"/>
      <c r="AK23" s="325"/>
    </row>
    <row r="24" spans="3:37" s="51" customFormat="1" ht="16" customHeight="1" x14ac:dyDescent="0.15">
      <c r="C24" s="865">
        <f t="shared" si="1"/>
        <v>414</v>
      </c>
      <c r="D24" s="419"/>
      <c r="E24" s="330"/>
      <c r="F24" s="330"/>
      <c r="G24" s="330"/>
      <c r="H24" s="330"/>
      <c r="I24" s="330"/>
      <c r="J24" s="330"/>
      <c r="K24" s="330"/>
      <c r="L24" s="330"/>
      <c r="M24" s="330"/>
      <c r="N24" s="58"/>
      <c r="O24" s="58"/>
      <c r="P24" s="59"/>
      <c r="Q24" s="58"/>
      <c r="R24" s="58"/>
      <c r="S24" s="67"/>
      <c r="T24" s="324"/>
      <c r="U24" s="88"/>
      <c r="V24" s="88"/>
      <c r="W24" s="729">
        <v>0</v>
      </c>
      <c r="X24" s="729"/>
      <c r="Y24" s="729"/>
      <c r="Z24" s="730"/>
      <c r="AB24" s="832">
        <v>0</v>
      </c>
      <c r="AC24" s="833"/>
      <c r="AD24" s="834"/>
      <c r="AF24" s="832">
        <f t="shared" si="0"/>
        <v>0</v>
      </c>
      <c r="AG24" s="833"/>
      <c r="AH24" s="834"/>
      <c r="AK24" s="325"/>
    </row>
    <row r="25" spans="3:37" s="51" customFormat="1" ht="16" customHeight="1" x14ac:dyDescent="0.15">
      <c r="C25" s="865">
        <f t="shared" si="1"/>
        <v>415</v>
      </c>
      <c r="D25" s="419"/>
      <c r="E25" s="330"/>
      <c r="F25" s="330"/>
      <c r="G25" s="330"/>
      <c r="H25" s="330"/>
      <c r="I25" s="330"/>
      <c r="J25" s="330"/>
      <c r="K25" s="330"/>
      <c r="L25" s="330"/>
      <c r="M25" s="330"/>
      <c r="N25" s="58"/>
      <c r="O25" s="58"/>
      <c r="P25" s="59"/>
      <c r="Q25" s="58"/>
      <c r="R25" s="58"/>
      <c r="S25" s="67"/>
      <c r="T25" s="324"/>
      <c r="U25" s="88"/>
      <c r="V25" s="88"/>
      <c r="W25" s="729">
        <v>0</v>
      </c>
      <c r="X25" s="729"/>
      <c r="Y25" s="729"/>
      <c r="Z25" s="730"/>
      <c r="AB25" s="832">
        <v>0</v>
      </c>
      <c r="AC25" s="833"/>
      <c r="AD25" s="834"/>
      <c r="AF25" s="832">
        <f t="shared" si="0"/>
        <v>0</v>
      </c>
      <c r="AG25" s="833"/>
      <c r="AH25" s="834"/>
      <c r="AK25" s="325"/>
    </row>
    <row r="26" spans="3:37" s="51" customFormat="1" ht="16" customHeight="1" x14ac:dyDescent="0.15">
      <c r="C26" s="865">
        <f t="shared" si="1"/>
        <v>416</v>
      </c>
      <c r="D26" s="419"/>
      <c r="E26" s="330"/>
      <c r="F26" s="330"/>
      <c r="G26" s="330"/>
      <c r="H26" s="330"/>
      <c r="I26" s="330"/>
      <c r="J26" s="330"/>
      <c r="K26" s="330"/>
      <c r="L26" s="330"/>
      <c r="M26" s="330"/>
      <c r="N26" s="58"/>
      <c r="O26" s="58"/>
      <c r="P26" s="59"/>
      <c r="Q26" s="58"/>
      <c r="R26" s="58"/>
      <c r="S26" s="67"/>
      <c r="T26" s="324"/>
      <c r="U26" s="88"/>
      <c r="V26" s="88"/>
      <c r="W26" s="729">
        <v>0</v>
      </c>
      <c r="X26" s="729"/>
      <c r="Y26" s="729"/>
      <c r="Z26" s="730"/>
      <c r="AB26" s="832">
        <v>0</v>
      </c>
      <c r="AC26" s="833"/>
      <c r="AD26" s="834"/>
      <c r="AF26" s="832">
        <f t="shared" si="0"/>
        <v>0</v>
      </c>
      <c r="AG26" s="833"/>
      <c r="AH26" s="834"/>
      <c r="AK26" s="325"/>
    </row>
    <row r="27" spans="3:37" s="51" customFormat="1" ht="16" customHeight="1" x14ac:dyDescent="0.15">
      <c r="C27" s="865">
        <f t="shared" si="1"/>
        <v>417</v>
      </c>
      <c r="D27" s="419"/>
      <c r="E27" s="330"/>
      <c r="F27" s="330"/>
      <c r="G27" s="330"/>
      <c r="H27" s="330"/>
      <c r="I27" s="330"/>
      <c r="J27" s="330"/>
      <c r="K27" s="330"/>
      <c r="L27" s="330"/>
      <c r="M27" s="330"/>
      <c r="N27" s="58"/>
      <c r="O27" s="58"/>
      <c r="P27" s="59"/>
      <c r="Q27" s="58"/>
      <c r="R27" s="58"/>
      <c r="S27" s="67"/>
      <c r="T27" s="324"/>
      <c r="U27" s="88"/>
      <c r="V27" s="88"/>
      <c r="W27" s="729">
        <v>0</v>
      </c>
      <c r="X27" s="729"/>
      <c r="Y27" s="729"/>
      <c r="Z27" s="730"/>
      <c r="AB27" s="832">
        <v>0</v>
      </c>
      <c r="AC27" s="833"/>
      <c r="AD27" s="834"/>
      <c r="AF27" s="832">
        <f t="shared" si="0"/>
        <v>0</v>
      </c>
      <c r="AG27" s="833"/>
      <c r="AH27" s="834"/>
      <c r="AK27" s="325"/>
    </row>
    <row r="28" spans="3:37" s="51" customFormat="1" ht="16" customHeight="1" x14ac:dyDescent="0.15">
      <c r="C28" s="865">
        <f t="shared" si="1"/>
        <v>418</v>
      </c>
      <c r="D28" s="419"/>
      <c r="E28" s="330"/>
      <c r="F28" s="330"/>
      <c r="G28" s="330"/>
      <c r="H28" s="330"/>
      <c r="I28" s="330"/>
      <c r="J28" s="330"/>
      <c r="K28" s="330"/>
      <c r="L28" s="330"/>
      <c r="M28" s="330"/>
      <c r="N28" s="58"/>
      <c r="O28" s="58"/>
      <c r="P28" s="59"/>
      <c r="Q28" s="58"/>
      <c r="R28" s="58"/>
      <c r="S28" s="67"/>
      <c r="T28" s="324"/>
      <c r="U28" s="88"/>
      <c r="V28" s="88"/>
      <c r="W28" s="729">
        <v>0</v>
      </c>
      <c r="X28" s="729"/>
      <c r="Y28" s="729"/>
      <c r="Z28" s="730"/>
      <c r="AB28" s="832">
        <v>0</v>
      </c>
      <c r="AC28" s="833"/>
      <c r="AD28" s="834"/>
      <c r="AF28" s="832">
        <f t="shared" si="0"/>
        <v>0</v>
      </c>
      <c r="AG28" s="833"/>
      <c r="AH28" s="834"/>
      <c r="AK28" s="325"/>
    </row>
    <row r="29" spans="3:37" s="51" customFormat="1" ht="16" customHeight="1" x14ac:dyDescent="0.15">
      <c r="C29" s="865">
        <f t="shared" si="1"/>
        <v>419</v>
      </c>
      <c r="D29" s="419"/>
      <c r="E29" s="330"/>
      <c r="F29" s="330"/>
      <c r="G29" s="330"/>
      <c r="H29" s="330"/>
      <c r="I29" s="330"/>
      <c r="J29" s="330"/>
      <c r="K29" s="330"/>
      <c r="L29" s="330"/>
      <c r="M29" s="330"/>
      <c r="N29" s="58"/>
      <c r="O29" s="58"/>
      <c r="P29" s="59"/>
      <c r="Q29" s="58"/>
      <c r="R29" s="58"/>
      <c r="S29" s="67"/>
      <c r="T29" s="324"/>
      <c r="U29" s="88"/>
      <c r="V29" s="88"/>
      <c r="W29" s="729">
        <v>0</v>
      </c>
      <c r="X29" s="729"/>
      <c r="Y29" s="729"/>
      <c r="Z29" s="730"/>
      <c r="AB29" s="832">
        <v>0</v>
      </c>
      <c r="AC29" s="833"/>
      <c r="AD29" s="834"/>
      <c r="AF29" s="832">
        <f t="shared" si="0"/>
        <v>0</v>
      </c>
      <c r="AG29" s="833"/>
      <c r="AH29" s="834"/>
      <c r="AK29" s="325"/>
    </row>
    <row r="30" spans="3:37" s="51" customFormat="1" ht="16" customHeight="1" x14ac:dyDescent="0.15">
      <c r="C30" s="865">
        <f t="shared" si="1"/>
        <v>420</v>
      </c>
      <c r="D30" s="419"/>
      <c r="E30" s="330"/>
      <c r="F30" s="330"/>
      <c r="G30" s="330"/>
      <c r="H30" s="330"/>
      <c r="I30" s="330"/>
      <c r="J30" s="330"/>
      <c r="K30" s="330"/>
      <c r="L30" s="330"/>
      <c r="M30" s="330"/>
      <c r="N30" s="58"/>
      <c r="O30" s="58"/>
      <c r="P30" s="59"/>
      <c r="Q30" s="58"/>
      <c r="R30" s="58"/>
      <c r="S30" s="67"/>
      <c r="T30" s="324"/>
      <c r="U30" s="88"/>
      <c r="V30" s="88"/>
      <c r="W30" s="729">
        <v>0</v>
      </c>
      <c r="X30" s="729"/>
      <c r="Y30" s="729"/>
      <c r="Z30" s="730"/>
      <c r="AB30" s="832">
        <v>0</v>
      </c>
      <c r="AC30" s="833"/>
      <c r="AD30" s="834"/>
      <c r="AF30" s="832">
        <f t="shared" si="0"/>
        <v>0</v>
      </c>
      <c r="AG30" s="833"/>
      <c r="AH30" s="834"/>
      <c r="AK30" s="325"/>
    </row>
    <row r="31" spans="3:37" s="51" customFormat="1" ht="16" customHeight="1" x14ac:dyDescent="0.15">
      <c r="C31" s="865">
        <f t="shared" si="1"/>
        <v>421</v>
      </c>
      <c r="D31" s="419"/>
      <c r="E31" s="330"/>
      <c r="F31" s="330"/>
      <c r="G31" s="330"/>
      <c r="H31" s="330"/>
      <c r="I31" s="330"/>
      <c r="J31" s="330"/>
      <c r="K31" s="330"/>
      <c r="L31" s="330"/>
      <c r="M31" s="330"/>
      <c r="N31" s="58"/>
      <c r="O31" s="58"/>
      <c r="P31" s="59"/>
      <c r="Q31" s="58"/>
      <c r="R31" s="58"/>
      <c r="S31" s="67"/>
      <c r="T31" s="324"/>
      <c r="U31" s="88"/>
      <c r="V31" s="88"/>
      <c r="W31" s="729">
        <v>0</v>
      </c>
      <c r="X31" s="729"/>
      <c r="Y31" s="729"/>
      <c r="Z31" s="730"/>
      <c r="AB31" s="832">
        <v>0</v>
      </c>
      <c r="AC31" s="833"/>
      <c r="AD31" s="834"/>
      <c r="AF31" s="832">
        <f t="shared" si="0"/>
        <v>0</v>
      </c>
      <c r="AG31" s="833"/>
      <c r="AH31" s="834"/>
      <c r="AK31" s="325"/>
    </row>
    <row r="32" spans="3:37" s="51" customFormat="1" ht="16" customHeight="1" x14ac:dyDescent="0.15">
      <c r="C32" s="865">
        <f t="shared" si="1"/>
        <v>422</v>
      </c>
      <c r="D32" s="419"/>
      <c r="E32" s="330"/>
      <c r="F32" s="330"/>
      <c r="G32" s="330"/>
      <c r="H32" s="330"/>
      <c r="I32" s="330"/>
      <c r="J32" s="330"/>
      <c r="K32" s="330"/>
      <c r="L32" s="330"/>
      <c r="M32" s="330"/>
      <c r="N32" s="58"/>
      <c r="O32" s="58"/>
      <c r="P32" s="59"/>
      <c r="Q32" s="58"/>
      <c r="R32" s="58"/>
      <c r="S32" s="67"/>
      <c r="T32" s="324"/>
      <c r="U32" s="88"/>
      <c r="V32" s="88"/>
      <c r="W32" s="729">
        <v>0</v>
      </c>
      <c r="X32" s="729"/>
      <c r="Y32" s="729"/>
      <c r="Z32" s="730"/>
      <c r="AB32" s="832">
        <v>0</v>
      </c>
      <c r="AC32" s="833"/>
      <c r="AD32" s="834"/>
      <c r="AF32" s="832">
        <f t="shared" si="0"/>
        <v>0</v>
      </c>
      <c r="AG32" s="833"/>
      <c r="AH32" s="834"/>
      <c r="AK32" s="325"/>
    </row>
    <row r="33" spans="3:37" s="51" customFormat="1" ht="16" customHeight="1" x14ac:dyDescent="0.15">
      <c r="C33" s="865">
        <f t="shared" si="1"/>
        <v>423</v>
      </c>
      <c r="D33" s="419"/>
      <c r="E33" s="330"/>
      <c r="F33" s="330"/>
      <c r="G33" s="330"/>
      <c r="H33" s="330"/>
      <c r="I33" s="330"/>
      <c r="J33" s="330"/>
      <c r="K33" s="330"/>
      <c r="L33" s="330"/>
      <c r="M33" s="330"/>
      <c r="N33" s="58"/>
      <c r="O33" s="58"/>
      <c r="P33" s="59"/>
      <c r="Q33" s="58"/>
      <c r="R33" s="58"/>
      <c r="S33" s="67"/>
      <c r="T33" s="324"/>
      <c r="U33" s="88"/>
      <c r="V33" s="88"/>
      <c r="W33" s="729">
        <v>0</v>
      </c>
      <c r="X33" s="729"/>
      <c r="Y33" s="729"/>
      <c r="Z33" s="730"/>
      <c r="AB33" s="832">
        <v>0</v>
      </c>
      <c r="AC33" s="833"/>
      <c r="AD33" s="834"/>
      <c r="AF33" s="832">
        <f t="shared" si="0"/>
        <v>0</v>
      </c>
      <c r="AG33" s="833"/>
      <c r="AH33" s="834"/>
      <c r="AK33" s="325"/>
    </row>
    <row r="34" spans="3:37" s="51" customFormat="1" ht="16" customHeight="1" x14ac:dyDescent="0.15">
      <c r="C34" s="865">
        <f t="shared" si="1"/>
        <v>424</v>
      </c>
      <c r="D34" s="419"/>
      <c r="E34" s="330"/>
      <c r="F34" s="330"/>
      <c r="G34" s="330"/>
      <c r="H34" s="330"/>
      <c r="I34" s="330"/>
      <c r="J34" s="330"/>
      <c r="K34" s="330"/>
      <c r="L34" s="330"/>
      <c r="M34" s="330"/>
      <c r="N34" s="58"/>
      <c r="O34" s="58"/>
      <c r="P34" s="59"/>
      <c r="Q34" s="58"/>
      <c r="R34" s="58"/>
      <c r="S34" s="67"/>
      <c r="T34" s="324"/>
      <c r="U34" s="88"/>
      <c r="V34" s="88"/>
      <c r="W34" s="729">
        <v>0</v>
      </c>
      <c r="X34" s="729"/>
      <c r="Y34" s="729"/>
      <c r="Z34" s="730"/>
      <c r="AB34" s="832">
        <v>0</v>
      </c>
      <c r="AC34" s="833"/>
      <c r="AD34" s="834"/>
      <c r="AF34" s="832">
        <f t="shared" si="0"/>
        <v>0</v>
      </c>
      <c r="AG34" s="833"/>
      <c r="AH34" s="834"/>
      <c r="AK34" s="325"/>
    </row>
    <row r="35" spans="3:37" s="51" customFormat="1" ht="16" customHeight="1" x14ac:dyDescent="0.15">
      <c r="C35" s="865">
        <f t="shared" si="1"/>
        <v>425</v>
      </c>
      <c r="D35" s="419"/>
      <c r="E35" s="330"/>
      <c r="F35" s="330"/>
      <c r="G35" s="330"/>
      <c r="H35" s="330"/>
      <c r="I35" s="330"/>
      <c r="J35" s="330"/>
      <c r="K35" s="330"/>
      <c r="L35" s="330"/>
      <c r="M35" s="330"/>
      <c r="N35" s="58"/>
      <c r="O35" s="58"/>
      <c r="P35" s="59"/>
      <c r="Q35" s="58"/>
      <c r="R35" s="58"/>
      <c r="S35" s="67"/>
      <c r="T35" s="324"/>
      <c r="U35" s="88"/>
      <c r="V35" s="88"/>
      <c r="W35" s="729">
        <v>0</v>
      </c>
      <c r="X35" s="729"/>
      <c r="Y35" s="729"/>
      <c r="Z35" s="730"/>
      <c r="AB35" s="832">
        <v>0</v>
      </c>
      <c r="AC35" s="833"/>
      <c r="AD35" s="834"/>
      <c r="AF35" s="832">
        <f t="shared" si="0"/>
        <v>0</v>
      </c>
      <c r="AG35" s="833"/>
      <c r="AH35" s="834"/>
      <c r="AK35" s="325"/>
    </row>
    <row r="36" spans="3:37" s="51" customFormat="1" ht="16" customHeight="1" x14ac:dyDescent="0.15">
      <c r="C36" s="865">
        <f t="shared" si="1"/>
        <v>426</v>
      </c>
      <c r="D36" s="419"/>
      <c r="E36" s="330"/>
      <c r="F36" s="330"/>
      <c r="G36" s="330"/>
      <c r="H36" s="330"/>
      <c r="I36" s="330"/>
      <c r="J36" s="330"/>
      <c r="K36" s="330"/>
      <c r="L36" s="330"/>
      <c r="M36" s="330"/>
      <c r="N36" s="58"/>
      <c r="O36" s="58"/>
      <c r="P36" s="59"/>
      <c r="Q36" s="58"/>
      <c r="R36" s="58"/>
      <c r="S36" s="67"/>
      <c r="T36" s="324"/>
      <c r="U36" s="88"/>
      <c r="V36" s="88"/>
      <c r="W36" s="729">
        <v>0</v>
      </c>
      <c r="X36" s="729"/>
      <c r="Y36" s="729"/>
      <c r="Z36" s="730"/>
      <c r="AB36" s="832">
        <v>0</v>
      </c>
      <c r="AC36" s="833"/>
      <c r="AD36" s="834"/>
      <c r="AF36" s="832">
        <f t="shared" si="0"/>
        <v>0</v>
      </c>
      <c r="AG36" s="833"/>
      <c r="AH36" s="834"/>
      <c r="AK36" s="325"/>
    </row>
    <row r="37" spans="3:37" s="51" customFormat="1" ht="16" customHeight="1" x14ac:dyDescent="0.15">
      <c r="C37" s="865">
        <f t="shared" si="1"/>
        <v>427</v>
      </c>
      <c r="D37" s="419"/>
      <c r="E37" s="330"/>
      <c r="F37" s="330"/>
      <c r="G37" s="330"/>
      <c r="H37" s="330"/>
      <c r="I37" s="330"/>
      <c r="J37" s="330"/>
      <c r="K37" s="330"/>
      <c r="L37" s="330"/>
      <c r="M37" s="330"/>
      <c r="N37" s="58"/>
      <c r="O37" s="58"/>
      <c r="P37" s="59"/>
      <c r="Q37" s="58"/>
      <c r="R37" s="58"/>
      <c r="S37" s="67"/>
      <c r="T37" s="324"/>
      <c r="U37" s="88"/>
      <c r="V37" s="88"/>
      <c r="W37" s="729">
        <v>0</v>
      </c>
      <c r="X37" s="729"/>
      <c r="Y37" s="729"/>
      <c r="Z37" s="730"/>
      <c r="AB37" s="832">
        <v>0</v>
      </c>
      <c r="AC37" s="833"/>
      <c r="AD37" s="834"/>
      <c r="AF37" s="832">
        <f t="shared" si="0"/>
        <v>0</v>
      </c>
      <c r="AG37" s="833"/>
      <c r="AH37" s="834"/>
      <c r="AK37" s="325"/>
    </row>
    <row r="38" spans="3:37" s="51" customFormat="1" ht="16" customHeight="1" x14ac:dyDescent="0.15">
      <c r="C38" s="865">
        <f t="shared" si="1"/>
        <v>428</v>
      </c>
      <c r="D38" s="419"/>
      <c r="E38" s="330"/>
      <c r="F38" s="330"/>
      <c r="G38" s="330"/>
      <c r="H38" s="330"/>
      <c r="I38" s="330"/>
      <c r="J38" s="330"/>
      <c r="K38" s="330"/>
      <c r="L38" s="330"/>
      <c r="M38" s="330"/>
      <c r="N38" s="58"/>
      <c r="O38" s="58"/>
      <c r="P38" s="59"/>
      <c r="Q38" s="58"/>
      <c r="R38" s="58"/>
      <c r="S38" s="67"/>
      <c r="T38" s="324"/>
      <c r="U38" s="88"/>
      <c r="V38" s="88"/>
      <c r="W38" s="729">
        <v>0</v>
      </c>
      <c r="X38" s="729"/>
      <c r="Y38" s="729"/>
      <c r="Z38" s="730"/>
      <c r="AB38" s="832">
        <v>0</v>
      </c>
      <c r="AC38" s="833"/>
      <c r="AD38" s="834"/>
      <c r="AF38" s="832">
        <f t="shared" si="0"/>
        <v>0</v>
      </c>
      <c r="AG38" s="833"/>
      <c r="AH38" s="834"/>
      <c r="AK38" s="325"/>
    </row>
    <row r="39" spans="3:37" s="51" customFormat="1" ht="16" customHeight="1" x14ac:dyDescent="0.15">
      <c r="C39" s="865">
        <f t="shared" si="1"/>
        <v>429</v>
      </c>
      <c r="D39" s="419"/>
      <c r="E39" s="330"/>
      <c r="F39" s="330"/>
      <c r="G39" s="330"/>
      <c r="H39" s="330"/>
      <c r="I39" s="330"/>
      <c r="J39" s="330"/>
      <c r="K39" s="330"/>
      <c r="L39" s="330"/>
      <c r="M39" s="330"/>
      <c r="N39" s="58"/>
      <c r="O39" s="58"/>
      <c r="P39" s="59"/>
      <c r="Q39" s="58"/>
      <c r="R39" s="58"/>
      <c r="S39" s="67"/>
      <c r="T39" s="324"/>
      <c r="U39" s="88"/>
      <c r="V39" s="88"/>
      <c r="W39" s="729">
        <v>0</v>
      </c>
      <c r="X39" s="729"/>
      <c r="Y39" s="729"/>
      <c r="Z39" s="730"/>
      <c r="AB39" s="832">
        <v>0</v>
      </c>
      <c r="AC39" s="833"/>
      <c r="AD39" s="834"/>
      <c r="AF39" s="832">
        <f t="shared" si="0"/>
        <v>0</v>
      </c>
      <c r="AG39" s="833"/>
      <c r="AH39" s="834"/>
      <c r="AK39" s="325"/>
    </row>
    <row r="40" spans="3:37" s="51" customFormat="1" ht="16" customHeight="1" x14ac:dyDescent="0.15">
      <c r="C40" s="865">
        <f t="shared" si="1"/>
        <v>430</v>
      </c>
      <c r="D40" s="419"/>
      <c r="E40" s="330"/>
      <c r="F40" s="330"/>
      <c r="G40" s="330"/>
      <c r="H40" s="330"/>
      <c r="I40" s="330"/>
      <c r="J40" s="330"/>
      <c r="K40" s="330"/>
      <c r="L40" s="330"/>
      <c r="M40" s="330"/>
      <c r="N40" s="58"/>
      <c r="O40" s="58"/>
      <c r="P40" s="59"/>
      <c r="Q40" s="58"/>
      <c r="R40" s="58"/>
      <c r="S40" s="67"/>
      <c r="T40" s="324"/>
      <c r="U40" s="88"/>
      <c r="V40" s="88"/>
      <c r="W40" s="729">
        <v>0</v>
      </c>
      <c r="X40" s="729"/>
      <c r="Y40" s="729"/>
      <c r="Z40" s="730"/>
      <c r="AB40" s="832">
        <v>0</v>
      </c>
      <c r="AC40" s="833"/>
      <c r="AD40" s="834"/>
      <c r="AF40" s="832">
        <f t="shared" si="0"/>
        <v>0</v>
      </c>
      <c r="AG40" s="833"/>
      <c r="AH40" s="834"/>
      <c r="AK40" s="325"/>
    </row>
    <row r="41" spans="3:37" s="51" customFormat="1" ht="16" customHeight="1" x14ac:dyDescent="0.15">
      <c r="C41" s="865">
        <f t="shared" si="1"/>
        <v>431</v>
      </c>
      <c r="D41" s="419"/>
      <c r="E41" s="330"/>
      <c r="F41" s="330"/>
      <c r="G41" s="330"/>
      <c r="H41" s="330"/>
      <c r="I41" s="330"/>
      <c r="J41" s="330"/>
      <c r="K41" s="330"/>
      <c r="L41" s="330"/>
      <c r="M41" s="330"/>
      <c r="N41" s="58"/>
      <c r="O41" s="58"/>
      <c r="P41" s="59"/>
      <c r="Q41" s="58"/>
      <c r="R41" s="58"/>
      <c r="S41" s="67"/>
      <c r="T41" s="324"/>
      <c r="U41" s="88"/>
      <c r="V41" s="88"/>
      <c r="W41" s="729">
        <v>0</v>
      </c>
      <c r="X41" s="729"/>
      <c r="Y41" s="729"/>
      <c r="Z41" s="730"/>
      <c r="AB41" s="832">
        <v>0</v>
      </c>
      <c r="AC41" s="833"/>
      <c r="AD41" s="834"/>
      <c r="AF41" s="832">
        <f t="shared" si="0"/>
        <v>0</v>
      </c>
      <c r="AG41" s="833"/>
      <c r="AH41" s="834"/>
      <c r="AK41" s="325"/>
    </row>
    <row r="42" spans="3:37" s="51" customFormat="1" ht="16" customHeight="1" x14ac:dyDescent="0.15">
      <c r="C42" s="865">
        <f t="shared" si="1"/>
        <v>432</v>
      </c>
      <c r="D42" s="419"/>
      <c r="E42" s="330"/>
      <c r="F42" s="330"/>
      <c r="G42" s="330"/>
      <c r="H42" s="330"/>
      <c r="I42" s="330"/>
      <c r="J42" s="330"/>
      <c r="K42" s="330"/>
      <c r="L42" s="330"/>
      <c r="M42" s="330"/>
      <c r="N42" s="58"/>
      <c r="O42" s="58"/>
      <c r="P42" s="59"/>
      <c r="Q42" s="58"/>
      <c r="R42" s="58"/>
      <c r="S42" s="67"/>
      <c r="T42" s="324"/>
      <c r="U42" s="74"/>
      <c r="V42" s="74"/>
      <c r="W42" s="729">
        <v>0</v>
      </c>
      <c r="X42" s="729"/>
      <c r="Y42" s="729"/>
      <c r="Z42" s="730"/>
      <c r="AB42" s="832">
        <v>0</v>
      </c>
      <c r="AC42" s="833"/>
      <c r="AD42" s="834"/>
      <c r="AF42" s="832">
        <f t="shared" si="0"/>
        <v>0</v>
      </c>
      <c r="AG42" s="833"/>
      <c r="AH42" s="834"/>
      <c r="AK42" s="325"/>
    </row>
    <row r="43" spans="3:37" s="51" customFormat="1" ht="16" customHeight="1" x14ac:dyDescent="0.15">
      <c r="C43" s="865">
        <f t="shared" si="1"/>
        <v>433</v>
      </c>
      <c r="D43" s="419"/>
      <c r="E43" s="330"/>
      <c r="F43" s="330"/>
      <c r="G43" s="330"/>
      <c r="H43" s="330"/>
      <c r="I43" s="330"/>
      <c r="J43" s="330"/>
      <c r="K43" s="330"/>
      <c r="L43" s="330"/>
      <c r="M43" s="330"/>
      <c r="N43" s="58"/>
      <c r="O43" s="58"/>
      <c r="P43" s="59"/>
      <c r="Q43" s="58"/>
      <c r="R43" s="58"/>
      <c r="S43" s="67"/>
      <c r="T43" s="324"/>
      <c r="U43" s="74"/>
      <c r="V43" s="74"/>
      <c r="W43" s="729">
        <v>0</v>
      </c>
      <c r="X43" s="729"/>
      <c r="Y43" s="729"/>
      <c r="Z43" s="730"/>
      <c r="AB43" s="832">
        <v>0</v>
      </c>
      <c r="AC43" s="833"/>
      <c r="AD43" s="834"/>
      <c r="AF43" s="832">
        <f t="shared" si="0"/>
        <v>0</v>
      </c>
      <c r="AG43" s="833"/>
      <c r="AH43" s="834"/>
      <c r="AK43" s="325"/>
    </row>
    <row r="44" spans="3:37" s="51" customFormat="1" ht="16" customHeight="1" x14ac:dyDescent="0.15">
      <c r="C44" s="865">
        <f t="shared" si="1"/>
        <v>434</v>
      </c>
      <c r="D44" s="419"/>
      <c r="E44" s="330"/>
      <c r="F44" s="330"/>
      <c r="G44" s="330"/>
      <c r="H44" s="330"/>
      <c r="I44" s="330"/>
      <c r="J44" s="330"/>
      <c r="K44" s="330"/>
      <c r="L44" s="330"/>
      <c r="M44" s="330"/>
      <c r="N44" s="58"/>
      <c r="O44" s="58"/>
      <c r="P44" s="59"/>
      <c r="Q44" s="58"/>
      <c r="R44" s="58"/>
      <c r="S44" s="67"/>
      <c r="T44" s="324"/>
      <c r="U44" s="74"/>
      <c r="V44" s="74"/>
      <c r="W44" s="729">
        <v>0</v>
      </c>
      <c r="X44" s="729"/>
      <c r="Y44" s="729"/>
      <c r="Z44" s="730"/>
      <c r="AB44" s="832">
        <v>0</v>
      </c>
      <c r="AC44" s="833"/>
      <c r="AD44" s="834"/>
      <c r="AF44" s="832">
        <f t="shared" si="0"/>
        <v>0</v>
      </c>
      <c r="AG44" s="833"/>
      <c r="AH44" s="834"/>
      <c r="AK44" s="325"/>
    </row>
    <row r="45" spans="3:37" s="51" customFormat="1" ht="16" customHeight="1" x14ac:dyDescent="0.15">
      <c r="C45" s="865">
        <f t="shared" si="1"/>
        <v>435</v>
      </c>
      <c r="D45" s="419"/>
      <c r="E45" s="330"/>
      <c r="F45" s="330"/>
      <c r="G45" s="330"/>
      <c r="H45" s="330"/>
      <c r="I45" s="330"/>
      <c r="J45" s="330"/>
      <c r="K45" s="330"/>
      <c r="L45" s="330"/>
      <c r="M45" s="330"/>
      <c r="N45" s="58"/>
      <c r="O45" s="58"/>
      <c r="P45" s="59"/>
      <c r="Q45" s="58"/>
      <c r="R45" s="58"/>
      <c r="S45" s="67"/>
      <c r="T45" s="324"/>
      <c r="U45" s="74"/>
      <c r="V45" s="74"/>
      <c r="W45" s="729">
        <v>0</v>
      </c>
      <c r="X45" s="729"/>
      <c r="Y45" s="729"/>
      <c r="Z45" s="730"/>
      <c r="AB45" s="832">
        <v>0</v>
      </c>
      <c r="AC45" s="833"/>
      <c r="AD45" s="834"/>
      <c r="AF45" s="832">
        <f t="shared" si="0"/>
        <v>0</v>
      </c>
      <c r="AG45" s="833"/>
      <c r="AH45" s="834"/>
      <c r="AK45" s="325"/>
    </row>
    <row r="46" spans="3:37" s="51" customFormat="1" ht="16" customHeight="1" x14ac:dyDescent="0.15">
      <c r="C46" s="865">
        <f t="shared" si="1"/>
        <v>436</v>
      </c>
      <c r="D46" s="419"/>
      <c r="E46" s="330"/>
      <c r="F46" s="330"/>
      <c r="G46" s="330"/>
      <c r="H46" s="330"/>
      <c r="I46" s="330"/>
      <c r="J46" s="330"/>
      <c r="K46" s="330"/>
      <c r="L46" s="330"/>
      <c r="M46" s="330"/>
      <c r="N46" s="58"/>
      <c r="O46" s="58"/>
      <c r="P46" s="59"/>
      <c r="Q46" s="58"/>
      <c r="R46" s="58"/>
      <c r="S46" s="67"/>
      <c r="T46" s="324"/>
      <c r="U46" s="74"/>
      <c r="V46" s="74"/>
      <c r="W46" s="729">
        <v>0</v>
      </c>
      <c r="X46" s="729"/>
      <c r="Y46" s="729"/>
      <c r="Z46" s="730"/>
      <c r="AB46" s="832">
        <v>0</v>
      </c>
      <c r="AC46" s="833"/>
      <c r="AD46" s="834"/>
      <c r="AF46" s="832">
        <f t="shared" si="0"/>
        <v>0</v>
      </c>
      <c r="AG46" s="833"/>
      <c r="AH46" s="834"/>
      <c r="AK46" s="325"/>
    </row>
    <row r="47" spans="3:37" s="51" customFormat="1" ht="16" customHeight="1" x14ac:dyDescent="0.15">
      <c r="C47" s="865">
        <f t="shared" si="1"/>
        <v>437</v>
      </c>
      <c r="D47" s="419"/>
      <c r="E47" s="330"/>
      <c r="F47" s="330"/>
      <c r="G47" s="330"/>
      <c r="H47" s="330"/>
      <c r="I47" s="330"/>
      <c r="J47" s="330"/>
      <c r="K47" s="330"/>
      <c r="L47" s="330"/>
      <c r="M47" s="330"/>
      <c r="N47" s="58"/>
      <c r="O47" s="58"/>
      <c r="P47" s="59"/>
      <c r="Q47" s="58"/>
      <c r="R47" s="58"/>
      <c r="S47" s="67"/>
      <c r="T47" s="324"/>
      <c r="U47" s="74"/>
      <c r="V47" s="74"/>
      <c r="W47" s="729">
        <v>0</v>
      </c>
      <c r="X47" s="729"/>
      <c r="Y47" s="729"/>
      <c r="Z47" s="730"/>
      <c r="AB47" s="832">
        <v>0</v>
      </c>
      <c r="AC47" s="833"/>
      <c r="AD47" s="834"/>
      <c r="AF47" s="832">
        <f t="shared" si="0"/>
        <v>0</v>
      </c>
      <c r="AG47" s="833"/>
      <c r="AH47" s="834"/>
      <c r="AK47" s="325"/>
    </row>
    <row r="48" spans="3:37" s="51" customFormat="1" ht="16" customHeight="1" x14ac:dyDescent="0.15">
      <c r="C48" s="865">
        <f t="shared" si="1"/>
        <v>438</v>
      </c>
      <c r="D48" s="419"/>
      <c r="E48" s="330"/>
      <c r="F48" s="330"/>
      <c r="G48" s="330"/>
      <c r="H48" s="330"/>
      <c r="I48" s="330"/>
      <c r="J48" s="330"/>
      <c r="K48" s="330"/>
      <c r="L48" s="330"/>
      <c r="M48" s="330"/>
      <c r="N48" s="58"/>
      <c r="O48" s="58"/>
      <c r="P48" s="59"/>
      <c r="Q48" s="58"/>
      <c r="R48" s="58"/>
      <c r="S48" s="67"/>
      <c r="T48" s="324"/>
      <c r="U48" s="74"/>
      <c r="V48" s="74"/>
      <c r="W48" s="729">
        <v>0</v>
      </c>
      <c r="X48" s="729"/>
      <c r="Y48" s="729"/>
      <c r="Z48" s="730"/>
      <c r="AB48" s="832">
        <v>0</v>
      </c>
      <c r="AC48" s="833"/>
      <c r="AD48" s="834"/>
      <c r="AF48" s="832">
        <f t="shared" si="0"/>
        <v>0</v>
      </c>
      <c r="AG48" s="833"/>
      <c r="AH48" s="834"/>
      <c r="AK48" s="325"/>
    </row>
    <row r="49" spans="3:38" s="51" customFormat="1" ht="16" customHeight="1" x14ac:dyDescent="0.15">
      <c r="C49" s="865">
        <f t="shared" si="1"/>
        <v>439</v>
      </c>
      <c r="D49" s="419"/>
      <c r="E49" s="330"/>
      <c r="F49" s="330"/>
      <c r="G49" s="330"/>
      <c r="H49" s="330"/>
      <c r="I49" s="330"/>
      <c r="J49" s="330"/>
      <c r="K49" s="330"/>
      <c r="L49" s="330"/>
      <c r="M49" s="330"/>
      <c r="N49" s="58"/>
      <c r="O49" s="58"/>
      <c r="P49" s="59"/>
      <c r="Q49" s="58"/>
      <c r="R49" s="58"/>
      <c r="S49" s="67"/>
      <c r="T49" s="324"/>
      <c r="U49" s="74"/>
      <c r="V49" s="74"/>
      <c r="W49" s="729">
        <v>0</v>
      </c>
      <c r="X49" s="729"/>
      <c r="Y49" s="729"/>
      <c r="Z49" s="730"/>
      <c r="AB49" s="832">
        <v>0</v>
      </c>
      <c r="AC49" s="833"/>
      <c r="AD49" s="834"/>
      <c r="AF49" s="832">
        <f t="shared" si="0"/>
        <v>0</v>
      </c>
      <c r="AG49" s="833"/>
      <c r="AH49" s="834"/>
      <c r="AK49" s="325"/>
    </row>
    <row r="50" spans="3:38" s="51" customFormat="1" ht="16" customHeight="1" x14ac:dyDescent="0.15">
      <c r="C50" s="865">
        <f t="shared" si="1"/>
        <v>440</v>
      </c>
      <c r="D50" s="419"/>
      <c r="E50" s="330"/>
      <c r="F50" s="330"/>
      <c r="G50" s="330"/>
      <c r="H50" s="330"/>
      <c r="I50" s="330"/>
      <c r="J50" s="330"/>
      <c r="K50" s="330"/>
      <c r="L50" s="330"/>
      <c r="M50" s="330"/>
      <c r="N50" s="58"/>
      <c r="O50" s="58"/>
      <c r="P50" s="59"/>
      <c r="Q50" s="58"/>
      <c r="R50" s="58"/>
      <c r="S50" s="67"/>
      <c r="T50" s="324"/>
      <c r="U50" s="74"/>
      <c r="V50" s="74"/>
      <c r="W50" s="729">
        <v>0</v>
      </c>
      <c r="X50" s="729"/>
      <c r="Y50" s="729"/>
      <c r="Z50" s="730"/>
      <c r="AB50" s="832">
        <v>0</v>
      </c>
      <c r="AC50" s="833"/>
      <c r="AD50" s="834"/>
      <c r="AF50" s="832">
        <f t="shared" si="0"/>
        <v>0</v>
      </c>
      <c r="AG50" s="833"/>
      <c r="AH50" s="834"/>
      <c r="AK50" s="325"/>
    </row>
    <row r="51" spans="3:38" s="51" customFormat="1" ht="16" customHeight="1" x14ac:dyDescent="0.15">
      <c r="C51" s="865">
        <f t="shared" si="1"/>
        <v>441</v>
      </c>
      <c r="D51" s="419"/>
      <c r="E51" s="330"/>
      <c r="F51" s="330"/>
      <c r="G51" s="330"/>
      <c r="H51" s="330"/>
      <c r="I51" s="330"/>
      <c r="J51" s="330"/>
      <c r="K51" s="330"/>
      <c r="L51" s="330"/>
      <c r="M51" s="330"/>
      <c r="N51" s="58"/>
      <c r="O51" s="58"/>
      <c r="P51" s="59"/>
      <c r="Q51" s="58"/>
      <c r="R51" s="58"/>
      <c r="S51" s="67"/>
      <c r="T51" s="324"/>
      <c r="U51" s="74"/>
      <c r="V51" s="74"/>
      <c r="W51" s="729">
        <v>0</v>
      </c>
      <c r="X51" s="729"/>
      <c r="Y51" s="729"/>
      <c r="Z51" s="730"/>
      <c r="AB51" s="832">
        <v>0</v>
      </c>
      <c r="AC51" s="833"/>
      <c r="AD51" s="834"/>
      <c r="AF51" s="832">
        <f t="shared" si="0"/>
        <v>0</v>
      </c>
      <c r="AG51" s="833"/>
      <c r="AH51" s="834"/>
      <c r="AK51" s="325"/>
    </row>
    <row r="52" spans="3:38" s="51" customFormat="1" ht="16" customHeight="1" x14ac:dyDescent="0.15">
      <c r="C52" s="865">
        <f t="shared" si="1"/>
        <v>442</v>
      </c>
      <c r="D52" s="419"/>
      <c r="E52" s="330"/>
      <c r="F52" s="330"/>
      <c r="G52" s="330"/>
      <c r="H52" s="330"/>
      <c r="I52" s="330"/>
      <c r="J52" s="330"/>
      <c r="K52" s="330"/>
      <c r="L52" s="330"/>
      <c r="M52" s="330"/>
      <c r="N52" s="58"/>
      <c r="O52" s="58"/>
      <c r="P52" s="59"/>
      <c r="Q52" s="58"/>
      <c r="R52" s="58"/>
      <c r="S52" s="67"/>
      <c r="T52" s="324"/>
      <c r="U52" s="74"/>
      <c r="V52" s="74"/>
      <c r="W52" s="729">
        <v>0</v>
      </c>
      <c r="X52" s="729"/>
      <c r="Y52" s="729"/>
      <c r="Z52" s="730"/>
      <c r="AB52" s="832">
        <v>0</v>
      </c>
      <c r="AC52" s="833"/>
      <c r="AD52" s="834"/>
      <c r="AF52" s="832">
        <f t="shared" si="0"/>
        <v>0</v>
      </c>
      <c r="AG52" s="833"/>
      <c r="AH52" s="834"/>
      <c r="AK52" s="325"/>
    </row>
    <row r="53" spans="3:38" s="51" customFormat="1" ht="16" customHeight="1" x14ac:dyDescent="0.15">
      <c r="C53" s="865">
        <f t="shared" si="1"/>
        <v>443</v>
      </c>
      <c r="D53" s="419"/>
      <c r="E53" s="331"/>
      <c r="F53" s="331"/>
      <c r="G53" s="331"/>
      <c r="H53" s="331"/>
      <c r="I53" s="331"/>
      <c r="J53" s="331"/>
      <c r="K53" s="331"/>
      <c r="L53" s="331"/>
      <c r="M53" s="331"/>
      <c r="N53" s="326"/>
      <c r="O53" s="58"/>
      <c r="P53" s="49"/>
      <c r="Q53" s="326"/>
      <c r="R53" s="326"/>
      <c r="S53" s="50"/>
      <c r="T53" s="327"/>
      <c r="U53" s="89"/>
      <c r="V53" s="89"/>
      <c r="W53" s="729">
        <v>0</v>
      </c>
      <c r="X53" s="729"/>
      <c r="Y53" s="729"/>
      <c r="Z53" s="730"/>
      <c r="AB53" s="832">
        <v>0</v>
      </c>
      <c r="AC53" s="833"/>
      <c r="AD53" s="834"/>
      <c r="AF53" s="832">
        <f t="shared" si="0"/>
        <v>0</v>
      </c>
      <c r="AG53" s="833"/>
      <c r="AH53" s="834"/>
    </row>
    <row r="54" spans="3:38" s="51" customFormat="1" ht="16" customHeight="1" x14ac:dyDescent="0.15">
      <c r="C54" s="865">
        <f t="shared" si="1"/>
        <v>444</v>
      </c>
      <c r="D54" s="419"/>
      <c r="E54" s="332"/>
      <c r="F54" s="332"/>
      <c r="G54" s="332"/>
      <c r="H54" s="332"/>
      <c r="I54" s="332"/>
      <c r="J54" s="332"/>
      <c r="K54" s="332"/>
      <c r="L54" s="332"/>
      <c r="M54" s="332"/>
      <c r="N54" s="326"/>
      <c r="O54" s="58"/>
      <c r="P54" s="49"/>
      <c r="Q54" s="326"/>
      <c r="R54" s="326"/>
      <c r="S54" s="50"/>
      <c r="T54" s="327"/>
      <c r="U54" s="89"/>
      <c r="V54" s="89"/>
      <c r="W54" s="729">
        <v>0</v>
      </c>
      <c r="X54" s="729"/>
      <c r="Y54" s="729"/>
      <c r="Z54" s="730"/>
      <c r="AB54" s="832">
        <v>0</v>
      </c>
      <c r="AC54" s="833"/>
      <c r="AD54" s="834"/>
      <c r="AF54" s="832">
        <f t="shared" si="0"/>
        <v>0</v>
      </c>
      <c r="AG54" s="833"/>
      <c r="AH54" s="834"/>
    </row>
    <row r="55" spans="3:38" s="51" customFormat="1" ht="16" customHeight="1" x14ac:dyDescent="0.15">
      <c r="C55" s="865">
        <f t="shared" si="1"/>
        <v>445</v>
      </c>
      <c r="D55" s="419"/>
      <c r="E55" s="332"/>
      <c r="F55" s="332"/>
      <c r="G55" s="332"/>
      <c r="H55" s="332"/>
      <c r="I55" s="332"/>
      <c r="J55" s="332"/>
      <c r="K55" s="332"/>
      <c r="L55" s="332"/>
      <c r="M55" s="332"/>
      <c r="N55" s="326"/>
      <c r="O55" s="58"/>
      <c r="P55" s="49"/>
      <c r="Q55" s="326"/>
      <c r="R55" s="326"/>
      <c r="S55" s="50"/>
      <c r="T55" s="327"/>
      <c r="U55" s="89"/>
      <c r="V55" s="89"/>
      <c r="W55" s="729">
        <v>0</v>
      </c>
      <c r="X55" s="729"/>
      <c r="Y55" s="729"/>
      <c r="Z55" s="730"/>
      <c r="AB55" s="832">
        <v>0</v>
      </c>
      <c r="AC55" s="833"/>
      <c r="AD55" s="834"/>
      <c r="AF55" s="832">
        <f t="shared" si="0"/>
        <v>0</v>
      </c>
      <c r="AG55" s="833"/>
      <c r="AH55" s="834"/>
      <c r="AK55" s="291"/>
    </row>
    <row r="56" spans="3:38" s="51" customFormat="1" ht="16" customHeight="1" x14ac:dyDescent="0.15">
      <c r="C56" s="865">
        <f t="shared" si="1"/>
        <v>446</v>
      </c>
      <c r="D56" s="419"/>
      <c r="E56" s="332"/>
      <c r="F56" s="332"/>
      <c r="G56" s="332"/>
      <c r="H56" s="332"/>
      <c r="I56" s="332"/>
      <c r="J56" s="332"/>
      <c r="K56" s="332"/>
      <c r="L56" s="332"/>
      <c r="M56" s="332"/>
      <c r="N56" s="326"/>
      <c r="O56" s="58"/>
      <c r="P56" s="49"/>
      <c r="Q56" s="326"/>
      <c r="R56" s="326"/>
      <c r="S56" s="50"/>
      <c r="T56" s="327"/>
      <c r="U56" s="89"/>
      <c r="V56" s="89"/>
      <c r="W56" s="729">
        <v>0</v>
      </c>
      <c r="X56" s="729"/>
      <c r="Y56" s="729"/>
      <c r="Z56" s="730"/>
      <c r="AB56" s="832">
        <v>0</v>
      </c>
      <c r="AC56" s="833"/>
      <c r="AD56" s="834"/>
      <c r="AF56" s="832">
        <f t="shared" si="0"/>
        <v>0</v>
      </c>
      <c r="AG56" s="833"/>
      <c r="AH56" s="834"/>
      <c r="AK56" s="291"/>
    </row>
    <row r="57" spans="3:38" s="51" customFormat="1" ht="16" customHeight="1" x14ac:dyDescent="0.15">
      <c r="C57" s="865">
        <f t="shared" si="1"/>
        <v>447</v>
      </c>
      <c r="D57" s="419"/>
      <c r="E57" s="332"/>
      <c r="F57" s="332"/>
      <c r="G57" s="332"/>
      <c r="H57" s="332"/>
      <c r="I57" s="332"/>
      <c r="J57" s="332"/>
      <c r="K57" s="332"/>
      <c r="L57" s="332"/>
      <c r="M57" s="332"/>
      <c r="N57" s="326"/>
      <c r="O57" s="58"/>
      <c r="P57" s="49"/>
      <c r="Q57" s="326"/>
      <c r="R57" s="326"/>
      <c r="S57" s="50"/>
      <c r="T57" s="327"/>
      <c r="U57" s="89"/>
      <c r="V57" s="89"/>
      <c r="W57" s="729">
        <v>0</v>
      </c>
      <c r="X57" s="729"/>
      <c r="Y57" s="729"/>
      <c r="Z57" s="730"/>
      <c r="AB57" s="832">
        <v>0</v>
      </c>
      <c r="AC57" s="833"/>
      <c r="AD57" s="834"/>
      <c r="AF57" s="832">
        <f t="shared" si="0"/>
        <v>0</v>
      </c>
      <c r="AG57" s="833"/>
      <c r="AH57" s="834"/>
      <c r="AK57" s="291"/>
    </row>
    <row r="58" spans="3:38" s="51" customFormat="1" ht="16" customHeight="1" x14ac:dyDescent="0.15">
      <c r="C58" s="865">
        <f t="shared" si="1"/>
        <v>448</v>
      </c>
      <c r="D58" s="419"/>
      <c r="E58" s="332"/>
      <c r="F58" s="332"/>
      <c r="G58" s="332"/>
      <c r="H58" s="332"/>
      <c r="I58" s="332"/>
      <c r="J58" s="332"/>
      <c r="K58" s="332"/>
      <c r="L58" s="332"/>
      <c r="M58" s="332"/>
      <c r="N58" s="326"/>
      <c r="O58" s="58"/>
      <c r="P58" s="49"/>
      <c r="Q58" s="326"/>
      <c r="R58" s="326"/>
      <c r="S58" s="50"/>
      <c r="T58" s="327"/>
      <c r="U58" s="89"/>
      <c r="V58" s="89"/>
      <c r="W58" s="729">
        <v>0</v>
      </c>
      <c r="X58" s="729"/>
      <c r="Y58" s="729"/>
      <c r="Z58" s="730"/>
      <c r="AB58" s="832">
        <v>0</v>
      </c>
      <c r="AC58" s="833"/>
      <c r="AD58" s="834"/>
      <c r="AF58" s="832">
        <f t="shared" si="0"/>
        <v>0</v>
      </c>
      <c r="AG58" s="833"/>
      <c r="AH58" s="834"/>
      <c r="AK58" s="291"/>
    </row>
    <row r="59" spans="3:38" s="51" customFormat="1" ht="16" customHeight="1" x14ac:dyDescent="0.15">
      <c r="C59" s="865">
        <f t="shared" si="1"/>
        <v>449</v>
      </c>
      <c r="D59" s="419"/>
      <c r="E59" s="332"/>
      <c r="F59" s="332"/>
      <c r="G59" s="332"/>
      <c r="H59" s="332"/>
      <c r="I59" s="332"/>
      <c r="J59" s="332"/>
      <c r="K59" s="332"/>
      <c r="L59" s="332"/>
      <c r="M59" s="332"/>
      <c r="N59" s="326"/>
      <c r="O59" s="58"/>
      <c r="P59" s="49"/>
      <c r="Q59" s="326"/>
      <c r="R59" s="326"/>
      <c r="S59" s="50"/>
      <c r="T59" s="327"/>
      <c r="U59" s="89"/>
      <c r="V59" s="89"/>
      <c r="W59" s="729">
        <v>0</v>
      </c>
      <c r="X59" s="729"/>
      <c r="Y59" s="729"/>
      <c r="Z59" s="730"/>
      <c r="AB59" s="832">
        <v>0</v>
      </c>
      <c r="AC59" s="833"/>
      <c r="AD59" s="834"/>
      <c r="AF59" s="832">
        <f t="shared" si="0"/>
        <v>0</v>
      </c>
      <c r="AG59" s="833"/>
      <c r="AH59" s="834"/>
      <c r="AK59" s="291"/>
      <c r="AL59" s="328"/>
    </row>
    <row r="60" spans="3:38" s="51" customFormat="1" ht="16" customHeight="1" x14ac:dyDescent="0.15">
      <c r="C60" s="865">
        <f t="shared" si="1"/>
        <v>450</v>
      </c>
      <c r="D60" s="419"/>
      <c r="E60" s="330"/>
      <c r="F60" s="330"/>
      <c r="G60" s="330"/>
      <c r="H60" s="330"/>
      <c r="I60" s="330"/>
      <c r="J60" s="330"/>
      <c r="K60" s="330"/>
      <c r="L60" s="330"/>
      <c r="M60" s="330"/>
      <c r="N60" s="58"/>
      <c r="O60" s="58"/>
      <c r="P60" s="59"/>
      <c r="Q60" s="58"/>
      <c r="R60" s="58"/>
      <c r="S60" s="67"/>
      <c r="T60" s="324"/>
      <c r="U60" s="88"/>
      <c r="V60" s="88"/>
      <c r="W60" s="729">
        <v>0</v>
      </c>
      <c r="X60" s="729"/>
      <c r="Y60" s="729"/>
      <c r="Z60" s="730"/>
      <c r="AB60" s="832">
        <v>0</v>
      </c>
      <c r="AC60" s="833"/>
      <c r="AD60" s="834"/>
      <c r="AF60" s="832">
        <f t="shared" si="0"/>
        <v>0</v>
      </c>
      <c r="AG60" s="833"/>
      <c r="AH60" s="834"/>
      <c r="AK60" s="325"/>
    </row>
    <row r="61" spans="3:38" s="51" customFormat="1" ht="16" customHeight="1" x14ac:dyDescent="0.15">
      <c r="C61" s="865">
        <f t="shared" si="1"/>
        <v>451</v>
      </c>
      <c r="D61" s="419"/>
      <c r="E61" s="330"/>
      <c r="F61" s="330"/>
      <c r="G61" s="330"/>
      <c r="H61" s="330"/>
      <c r="I61" s="330"/>
      <c r="J61" s="330"/>
      <c r="K61" s="330"/>
      <c r="L61" s="330"/>
      <c r="M61" s="330"/>
      <c r="N61" s="58"/>
      <c r="O61" s="58"/>
      <c r="P61" s="59"/>
      <c r="Q61" s="58"/>
      <c r="R61" s="58"/>
      <c r="S61" s="67"/>
      <c r="T61" s="324"/>
      <c r="U61" s="88"/>
      <c r="V61" s="88"/>
      <c r="W61" s="729">
        <v>0</v>
      </c>
      <c r="X61" s="729"/>
      <c r="Y61" s="729"/>
      <c r="Z61" s="730"/>
      <c r="AB61" s="832">
        <v>0</v>
      </c>
      <c r="AC61" s="833"/>
      <c r="AD61" s="834"/>
      <c r="AF61" s="832">
        <f t="shared" si="0"/>
        <v>0</v>
      </c>
      <c r="AG61" s="833"/>
      <c r="AH61" s="834"/>
      <c r="AK61" s="325"/>
    </row>
    <row r="62" spans="3:38" s="51" customFormat="1" ht="16" customHeight="1" x14ac:dyDescent="0.15">
      <c r="C62" s="865">
        <f t="shared" si="1"/>
        <v>452</v>
      </c>
      <c r="D62" s="419"/>
      <c r="E62" s="330"/>
      <c r="F62" s="330"/>
      <c r="G62" s="330"/>
      <c r="H62" s="330"/>
      <c r="I62" s="330"/>
      <c r="J62" s="330"/>
      <c r="K62" s="330"/>
      <c r="L62" s="330"/>
      <c r="M62" s="330"/>
      <c r="N62" s="58"/>
      <c r="O62" s="58"/>
      <c r="P62" s="59"/>
      <c r="Q62" s="58"/>
      <c r="R62" s="58"/>
      <c r="S62" s="67"/>
      <c r="T62" s="324"/>
      <c r="U62" s="88"/>
      <c r="V62" s="88"/>
      <c r="W62" s="729">
        <v>0</v>
      </c>
      <c r="X62" s="729"/>
      <c r="Y62" s="729"/>
      <c r="Z62" s="730"/>
      <c r="AB62" s="832">
        <v>0</v>
      </c>
      <c r="AC62" s="833"/>
      <c r="AD62" s="834"/>
      <c r="AF62" s="832">
        <f t="shared" si="0"/>
        <v>0</v>
      </c>
      <c r="AG62" s="833"/>
      <c r="AH62" s="834"/>
      <c r="AK62" s="325"/>
    </row>
    <row r="63" spans="3:38" s="51" customFormat="1" ht="16" customHeight="1" x14ac:dyDescent="0.15">
      <c r="C63" s="865">
        <f t="shared" si="1"/>
        <v>453</v>
      </c>
      <c r="D63" s="419"/>
      <c r="E63" s="330"/>
      <c r="F63" s="330"/>
      <c r="G63" s="330"/>
      <c r="H63" s="330"/>
      <c r="I63" s="330"/>
      <c r="J63" s="330"/>
      <c r="K63" s="330"/>
      <c r="L63" s="330"/>
      <c r="M63" s="330"/>
      <c r="N63" s="58"/>
      <c r="O63" s="58"/>
      <c r="P63" s="59"/>
      <c r="Q63" s="58"/>
      <c r="R63" s="58"/>
      <c r="S63" s="67"/>
      <c r="T63" s="324"/>
      <c r="U63" s="88"/>
      <c r="V63" s="88"/>
      <c r="W63" s="729">
        <v>0</v>
      </c>
      <c r="X63" s="729"/>
      <c r="Y63" s="729"/>
      <c r="Z63" s="730"/>
      <c r="AB63" s="832">
        <v>0</v>
      </c>
      <c r="AC63" s="833"/>
      <c r="AD63" s="834"/>
      <c r="AF63" s="832">
        <f t="shared" si="0"/>
        <v>0</v>
      </c>
      <c r="AG63" s="833"/>
      <c r="AH63" s="834"/>
      <c r="AK63" s="325"/>
    </row>
    <row r="64" spans="3:38" s="51" customFormat="1" ht="16" customHeight="1" x14ac:dyDescent="0.15">
      <c r="C64" s="865">
        <f t="shared" si="1"/>
        <v>454</v>
      </c>
      <c r="D64" s="419"/>
      <c r="E64" s="330"/>
      <c r="F64" s="330"/>
      <c r="G64" s="330"/>
      <c r="H64" s="330"/>
      <c r="I64" s="330"/>
      <c r="J64" s="330"/>
      <c r="K64" s="330"/>
      <c r="L64" s="330"/>
      <c r="M64" s="330"/>
      <c r="N64" s="58"/>
      <c r="O64" s="58"/>
      <c r="P64" s="59"/>
      <c r="Q64" s="58"/>
      <c r="R64" s="58"/>
      <c r="S64" s="67"/>
      <c r="T64" s="324"/>
      <c r="U64" s="88"/>
      <c r="V64" s="88"/>
      <c r="W64" s="729">
        <v>0</v>
      </c>
      <c r="X64" s="729"/>
      <c r="Y64" s="729"/>
      <c r="Z64" s="730"/>
      <c r="AB64" s="832">
        <v>0</v>
      </c>
      <c r="AC64" s="833"/>
      <c r="AD64" s="834"/>
      <c r="AF64" s="832">
        <f t="shared" si="0"/>
        <v>0</v>
      </c>
      <c r="AG64" s="833"/>
      <c r="AH64" s="834"/>
      <c r="AK64" s="291"/>
    </row>
    <row r="65" spans="3:49" s="51" customFormat="1" ht="16" customHeight="1" x14ac:dyDescent="0.15">
      <c r="C65" s="865">
        <f t="shared" si="1"/>
        <v>455</v>
      </c>
      <c r="D65" s="419"/>
      <c r="E65" s="330"/>
      <c r="F65" s="330"/>
      <c r="G65" s="330"/>
      <c r="H65" s="330"/>
      <c r="I65" s="330"/>
      <c r="J65" s="330"/>
      <c r="K65" s="330"/>
      <c r="L65" s="330"/>
      <c r="M65" s="330"/>
      <c r="N65" s="58"/>
      <c r="O65" s="58"/>
      <c r="P65" s="59"/>
      <c r="Q65" s="58"/>
      <c r="R65" s="58"/>
      <c r="S65" s="67"/>
      <c r="T65" s="324"/>
      <c r="U65" s="88"/>
      <c r="V65" s="88"/>
      <c r="W65" s="729">
        <v>0</v>
      </c>
      <c r="X65" s="729"/>
      <c r="Y65" s="729"/>
      <c r="Z65" s="730"/>
      <c r="AB65" s="832">
        <v>0</v>
      </c>
      <c r="AC65" s="833"/>
      <c r="AD65" s="834"/>
      <c r="AF65" s="832">
        <f t="shared" si="0"/>
        <v>0</v>
      </c>
      <c r="AG65" s="833"/>
      <c r="AH65" s="834"/>
      <c r="AK65" s="291"/>
    </row>
    <row r="66" spans="3:49" s="51" customFormat="1" ht="16" customHeight="1" x14ac:dyDescent="0.15">
      <c r="C66" s="865">
        <f t="shared" si="1"/>
        <v>456</v>
      </c>
      <c r="D66" s="419"/>
      <c r="E66" s="330"/>
      <c r="F66" s="330"/>
      <c r="G66" s="330"/>
      <c r="H66" s="330"/>
      <c r="I66" s="330"/>
      <c r="J66" s="330"/>
      <c r="K66" s="330"/>
      <c r="L66" s="330"/>
      <c r="M66" s="330"/>
      <c r="N66" s="58"/>
      <c r="O66" s="58"/>
      <c r="P66" s="59"/>
      <c r="Q66" s="58"/>
      <c r="R66" s="58"/>
      <c r="S66" s="67"/>
      <c r="T66" s="324"/>
      <c r="U66" s="88"/>
      <c r="V66" s="88"/>
      <c r="W66" s="729">
        <v>0</v>
      </c>
      <c r="X66" s="729"/>
      <c r="Y66" s="729"/>
      <c r="Z66" s="730"/>
      <c r="AB66" s="832">
        <v>0</v>
      </c>
      <c r="AC66" s="833"/>
      <c r="AD66" s="834"/>
      <c r="AF66" s="832">
        <f t="shared" si="0"/>
        <v>0</v>
      </c>
      <c r="AG66" s="833"/>
      <c r="AH66" s="834"/>
      <c r="AK66" s="291"/>
    </row>
    <row r="67" spans="3:49" s="51" customFormat="1" ht="16" customHeight="1" x14ac:dyDescent="0.15">
      <c r="C67" s="865">
        <f t="shared" si="1"/>
        <v>457</v>
      </c>
      <c r="D67" s="419"/>
      <c r="E67" s="330"/>
      <c r="F67" s="330"/>
      <c r="G67" s="330"/>
      <c r="H67" s="330"/>
      <c r="I67" s="330"/>
      <c r="J67" s="330"/>
      <c r="K67" s="330"/>
      <c r="L67" s="330"/>
      <c r="M67" s="330"/>
      <c r="N67" s="58"/>
      <c r="O67" s="58"/>
      <c r="P67" s="59"/>
      <c r="Q67" s="58"/>
      <c r="R67" s="58"/>
      <c r="S67" s="67"/>
      <c r="T67" s="324"/>
      <c r="U67" s="88"/>
      <c r="V67" s="88"/>
      <c r="W67" s="729">
        <v>0</v>
      </c>
      <c r="X67" s="729"/>
      <c r="Y67" s="729"/>
      <c r="Z67" s="730"/>
      <c r="AB67" s="832">
        <v>0</v>
      </c>
      <c r="AC67" s="833"/>
      <c r="AD67" s="834"/>
      <c r="AF67" s="832">
        <f t="shared" si="0"/>
        <v>0</v>
      </c>
      <c r="AG67" s="833"/>
      <c r="AH67" s="834"/>
    </row>
    <row r="68" spans="3:49" s="51" customFormat="1" ht="16" customHeight="1" x14ac:dyDescent="0.15">
      <c r="C68" s="865">
        <f t="shared" si="1"/>
        <v>458</v>
      </c>
      <c r="D68" s="419"/>
      <c r="E68" s="330"/>
      <c r="F68" s="330"/>
      <c r="G68" s="330"/>
      <c r="H68" s="330"/>
      <c r="I68" s="330"/>
      <c r="J68" s="330"/>
      <c r="K68" s="330"/>
      <c r="L68" s="330"/>
      <c r="M68" s="330"/>
      <c r="N68" s="58"/>
      <c r="O68" s="58"/>
      <c r="P68" s="59"/>
      <c r="Q68" s="58"/>
      <c r="R68" s="58"/>
      <c r="S68" s="67"/>
      <c r="T68" s="324"/>
      <c r="U68" s="88"/>
      <c r="V68" s="88"/>
      <c r="W68" s="729">
        <v>0</v>
      </c>
      <c r="X68" s="729"/>
      <c r="Y68" s="729"/>
      <c r="Z68" s="730"/>
      <c r="AB68" s="832">
        <v>0</v>
      </c>
      <c r="AC68" s="833"/>
      <c r="AD68" s="834"/>
      <c r="AF68" s="832">
        <f t="shared" si="0"/>
        <v>0</v>
      </c>
      <c r="AG68" s="833"/>
      <c r="AH68" s="834"/>
      <c r="AK68" s="291"/>
    </row>
    <row r="69" spans="3:49" s="51" customFormat="1" ht="16" customHeight="1" x14ac:dyDescent="0.15">
      <c r="C69" s="865">
        <f t="shared" si="1"/>
        <v>459</v>
      </c>
      <c r="D69" s="419"/>
      <c r="E69" s="330"/>
      <c r="F69" s="330"/>
      <c r="G69" s="330"/>
      <c r="H69" s="330"/>
      <c r="I69" s="330"/>
      <c r="J69" s="330"/>
      <c r="K69" s="330"/>
      <c r="L69" s="330"/>
      <c r="M69" s="330"/>
      <c r="N69" s="58"/>
      <c r="O69" s="58"/>
      <c r="P69" s="59"/>
      <c r="Q69" s="58"/>
      <c r="R69" s="58"/>
      <c r="S69" s="67"/>
      <c r="T69" s="324"/>
      <c r="U69" s="88"/>
      <c r="V69" s="88"/>
      <c r="W69" s="729">
        <v>400</v>
      </c>
      <c r="X69" s="729"/>
      <c r="Y69" s="729"/>
      <c r="Z69" s="730"/>
      <c r="AB69" s="832">
        <v>0</v>
      </c>
      <c r="AC69" s="833"/>
      <c r="AD69" s="834"/>
      <c r="AF69" s="832">
        <f t="shared" si="0"/>
        <v>-400</v>
      </c>
      <c r="AG69" s="833"/>
      <c r="AH69" s="834"/>
      <c r="AK69" s="291"/>
    </row>
    <row r="70" spans="3:49" s="322" customFormat="1" ht="16" customHeight="1" x14ac:dyDescent="0.2">
      <c r="E70" s="391"/>
      <c r="F70" s="391"/>
      <c r="G70" s="391"/>
      <c r="H70" s="391"/>
      <c r="I70" s="391"/>
      <c r="J70" s="391"/>
      <c r="K70" s="391"/>
      <c r="L70" s="391"/>
      <c r="M70" s="391"/>
      <c r="N70" s="392"/>
      <c r="O70" s="824" t="str">
        <f>"Sub Total "&amp;D8</f>
        <v>Sub Total Breakout Expenses</v>
      </c>
      <c r="P70" s="824"/>
      <c r="Q70" s="824"/>
      <c r="R70" s="824"/>
      <c r="S70" s="824"/>
      <c r="T70" s="824"/>
      <c r="U70" s="824"/>
      <c r="V70" s="825"/>
      <c r="W70" s="859">
        <f>SUM(W10:Z69)</f>
        <v>400</v>
      </c>
      <c r="X70" s="860"/>
      <c r="Y70" s="860"/>
      <c r="Z70" s="861"/>
      <c r="AB70" s="862">
        <f>SUM(AB10:AD69)</f>
        <v>0</v>
      </c>
      <c r="AC70" s="863"/>
      <c r="AD70" s="864"/>
      <c r="AF70" s="838">
        <f t="shared" si="0"/>
        <v>-400</v>
      </c>
      <c r="AG70" s="839"/>
      <c r="AH70" s="840"/>
      <c r="AK70" s="329"/>
    </row>
    <row r="71" spans="3:49" s="322" customFormat="1" ht="16" customHeight="1" x14ac:dyDescent="0.2">
      <c r="E71" s="391"/>
      <c r="F71" s="391"/>
      <c r="G71" s="391"/>
      <c r="H71" s="391"/>
      <c r="I71" s="391"/>
      <c r="J71" s="391"/>
      <c r="K71" s="391"/>
      <c r="L71" s="391"/>
      <c r="M71" s="391"/>
      <c r="N71" s="392"/>
      <c r="O71" s="826" t="str">
        <f>"Handling "&amp;D8</f>
        <v>Handling Breakout Expenses</v>
      </c>
      <c r="P71" s="826"/>
      <c r="Q71" s="826"/>
      <c r="R71" s="826"/>
      <c r="S71" s="826"/>
      <c r="T71" s="826"/>
      <c r="U71" s="826"/>
      <c r="V71" s="827"/>
      <c r="W71" s="859">
        <f>W70*thsSheetHandling</f>
        <v>92</v>
      </c>
      <c r="X71" s="860"/>
      <c r="Y71" s="860"/>
      <c r="Z71" s="861"/>
      <c r="AB71" s="862">
        <f>W71</f>
        <v>92</v>
      </c>
      <c r="AC71" s="863"/>
      <c r="AD71" s="864"/>
      <c r="AF71" s="838">
        <f t="shared" si="0"/>
        <v>0</v>
      </c>
      <c r="AG71" s="839"/>
      <c r="AH71" s="840"/>
      <c r="AJ71" s="854" t="str">
        <f>"Handling  "&amp;D8</f>
        <v>Handling  Breakout Expenses</v>
      </c>
      <c r="AK71" s="855"/>
      <c r="AL71" s="855"/>
      <c r="AM71" s="855"/>
      <c r="AN71" s="855"/>
      <c r="AO71" s="855"/>
      <c r="AP71" s="855"/>
      <c r="AQ71" s="856"/>
      <c r="AR71" s="857">
        <v>0.23</v>
      </c>
      <c r="AS71" s="858"/>
    </row>
    <row r="72" spans="3:49" s="322" customFormat="1" ht="16" customHeight="1" x14ac:dyDescent="0.2">
      <c r="O72" s="656" t="str">
        <f>"Total "&amp;D8</f>
        <v>Total Breakout Expenses</v>
      </c>
      <c r="P72" s="656"/>
      <c r="Q72" s="656"/>
      <c r="R72" s="656"/>
      <c r="S72" s="656"/>
      <c r="T72" s="656"/>
      <c r="U72" s="656"/>
      <c r="V72" s="657"/>
      <c r="W72" s="841">
        <f>SUM(W70:Z71)</f>
        <v>492</v>
      </c>
      <c r="X72" s="842"/>
      <c r="Y72" s="842"/>
      <c r="Z72" s="843"/>
      <c r="AB72" s="835">
        <f>SUM(AB70:AD71)</f>
        <v>92</v>
      </c>
      <c r="AC72" s="836"/>
      <c r="AD72" s="837"/>
      <c r="AF72" s="838">
        <f t="shared" si="0"/>
        <v>-400</v>
      </c>
      <c r="AG72" s="839"/>
      <c r="AH72" s="840"/>
    </row>
    <row r="73" spans="3:49" customFormat="1" ht="16.25" customHeight="1" x14ac:dyDescent="0.2">
      <c r="U73" s="45"/>
      <c r="V73" s="45"/>
      <c r="AK73" s="36"/>
      <c r="AT73" s="7"/>
      <c r="AU73" s="7"/>
      <c r="AV73" s="7"/>
      <c r="AW73" s="7"/>
    </row>
    <row r="74" spans="3:49" customFormat="1" ht="16.25" customHeight="1" x14ac:dyDescent="0.2">
      <c r="U74" s="44"/>
      <c r="V74" s="44"/>
      <c r="W74" s="7"/>
      <c r="X74" s="7"/>
      <c r="Y74" s="7"/>
      <c r="Z74" s="7"/>
      <c r="AA74" s="7"/>
      <c r="AB74" s="7"/>
      <c r="AF74" s="7"/>
      <c r="AK74" s="36"/>
      <c r="AT74" s="7"/>
      <c r="AU74" s="7"/>
      <c r="AV74" s="7"/>
      <c r="AW74" s="7"/>
    </row>
    <row r="75" spans="3:49" customFormat="1" ht="16.25" customHeight="1" x14ac:dyDescent="0.2">
      <c r="U75" s="44"/>
      <c r="V75" s="44"/>
      <c r="W75" s="7"/>
      <c r="X75" s="7"/>
      <c r="Y75" s="7"/>
      <c r="Z75" s="7"/>
      <c r="AA75" s="7"/>
      <c r="AB75" s="7"/>
      <c r="AF75" s="7"/>
      <c r="AK75" s="36"/>
      <c r="AV75" s="7"/>
      <c r="AW75" s="7"/>
    </row>
    <row r="76" spans="3:49" customFormat="1" ht="16.25" customHeight="1" x14ac:dyDescent="0.2">
      <c r="U76" s="44"/>
      <c r="V76" s="44"/>
      <c r="W76" s="7"/>
      <c r="X76" s="7"/>
      <c r="Y76" s="7"/>
      <c r="Z76" s="7"/>
      <c r="AA76" s="7"/>
      <c r="AB76" s="7"/>
      <c r="AF76" s="7"/>
      <c r="AK76" s="36"/>
    </row>
    <row r="77" spans="3:49" customFormat="1" ht="16.25" customHeight="1" x14ac:dyDescent="0.2">
      <c r="U77" s="44"/>
      <c r="V77" s="44"/>
      <c r="W77" s="7"/>
      <c r="X77" s="7"/>
      <c r="Y77" s="7"/>
      <c r="Z77" s="7"/>
      <c r="AA77" s="7"/>
      <c r="AB77" s="7"/>
      <c r="AF77" s="7"/>
      <c r="AK77" s="36"/>
    </row>
    <row r="78" spans="3:49" customFormat="1" ht="16.25" customHeight="1" x14ac:dyDescent="0.2">
      <c r="U78" s="44"/>
      <c r="V78" s="44"/>
      <c r="W78" s="7"/>
      <c r="X78" s="7"/>
      <c r="Y78" s="7"/>
      <c r="Z78" s="7"/>
      <c r="AA78" s="7"/>
      <c r="AB78" s="7"/>
      <c r="AF78" s="7"/>
      <c r="AK78" s="36"/>
    </row>
    <row r="79" spans="3:49" customFormat="1" ht="16.25" customHeight="1" x14ac:dyDescent="0.2">
      <c r="U79" s="45"/>
      <c r="V79" s="45"/>
      <c r="AK79" s="36"/>
    </row>
    <row r="80" spans="3:49" customFormat="1" ht="16.25" customHeight="1" x14ac:dyDescent="0.2">
      <c r="U80" s="45"/>
      <c r="V80" s="45"/>
      <c r="AK80" s="36"/>
    </row>
    <row r="81" spans="21:37" customFormat="1" ht="16.25" customHeight="1" x14ac:dyDescent="0.2">
      <c r="U81" s="45"/>
      <c r="V81" s="45"/>
      <c r="AK81" s="36"/>
    </row>
    <row r="82" spans="21:37" customFormat="1" ht="16.25" customHeight="1" x14ac:dyDescent="0.2">
      <c r="U82" s="45"/>
      <c r="V82" s="45"/>
      <c r="AK82" s="36"/>
    </row>
    <row r="83" spans="21:37" customFormat="1" ht="16.25" customHeight="1" x14ac:dyDescent="0.2">
      <c r="U83" s="45"/>
      <c r="V83" s="45"/>
      <c r="AK83" s="36"/>
    </row>
    <row r="84" spans="21:37" customFormat="1" ht="16.25" customHeight="1" x14ac:dyDescent="0.2">
      <c r="U84" s="45"/>
      <c r="V84" s="45"/>
      <c r="AK84" s="36"/>
    </row>
    <row r="85" spans="21:37" customFormat="1" ht="16.25" customHeight="1" x14ac:dyDescent="0.2">
      <c r="U85" s="45"/>
      <c r="V85" s="45"/>
      <c r="AK85" s="36"/>
    </row>
    <row r="86" spans="21:37" customFormat="1" ht="16.25" customHeight="1" x14ac:dyDescent="0.2">
      <c r="U86" s="45"/>
      <c r="V86" s="45"/>
      <c r="AK86" s="36"/>
    </row>
    <row r="87" spans="21:37" customFormat="1" ht="16.25" customHeight="1" x14ac:dyDescent="0.2">
      <c r="U87" s="45"/>
      <c r="V87" s="45"/>
      <c r="AK87" s="36"/>
    </row>
    <row r="88" spans="21:37" customFormat="1" ht="16" x14ac:dyDescent="0.2">
      <c r="U88" s="45"/>
      <c r="V88" s="45"/>
      <c r="AK88" s="36"/>
    </row>
    <row r="89" spans="21:37" customFormat="1" ht="16" x14ac:dyDescent="0.2">
      <c r="U89" s="45"/>
      <c r="V89" s="45"/>
      <c r="AK89" s="36"/>
    </row>
    <row r="90" spans="21:37" customFormat="1" ht="16" x14ac:dyDescent="0.2">
      <c r="U90" s="45"/>
      <c r="V90" s="45"/>
      <c r="AK90" s="36"/>
    </row>
    <row r="91" spans="21:37" customFormat="1" ht="16" x14ac:dyDescent="0.2">
      <c r="U91" s="45"/>
      <c r="V91" s="45"/>
      <c r="AK91" s="36"/>
    </row>
    <row r="92" spans="21:37" customFormat="1" ht="16" x14ac:dyDescent="0.2">
      <c r="U92" s="45"/>
      <c r="V92" s="45"/>
      <c r="AK92" s="36"/>
    </row>
    <row r="93" spans="21:37" customFormat="1" ht="16" x14ac:dyDescent="0.2">
      <c r="U93" s="45"/>
      <c r="V93" s="45"/>
      <c r="AK93" s="36"/>
    </row>
    <row r="94" spans="21:37" customFormat="1" ht="16" x14ac:dyDescent="0.2">
      <c r="U94" s="45"/>
      <c r="V94" s="45"/>
      <c r="AK94" s="36"/>
    </row>
    <row r="95" spans="21:37" customFormat="1" ht="16" x14ac:dyDescent="0.2">
      <c r="U95" s="45"/>
      <c r="V95" s="45"/>
      <c r="AK95" s="36"/>
    </row>
    <row r="96" spans="21:37" customFormat="1" ht="16" x14ac:dyDescent="0.2">
      <c r="U96" s="45"/>
      <c r="V96" s="45"/>
      <c r="AK96" s="36"/>
    </row>
    <row r="97" spans="21:37" customFormat="1" ht="16" x14ac:dyDescent="0.2">
      <c r="U97" s="45"/>
      <c r="V97" s="45"/>
      <c r="AK97" s="36"/>
    </row>
    <row r="98" spans="21:37" customFormat="1" ht="16" x14ac:dyDescent="0.2">
      <c r="U98" s="45"/>
      <c r="V98" s="45"/>
      <c r="AK98" s="36"/>
    </row>
    <row r="99" spans="21:37" customFormat="1" ht="16" x14ac:dyDescent="0.2">
      <c r="U99" s="45"/>
      <c r="V99" s="45"/>
      <c r="AK99" s="36"/>
    </row>
  </sheetData>
  <mergeCells count="260">
    <mergeCell ref="AB49:AD49"/>
    <mergeCell ref="AF49:AH49"/>
    <mergeCell ref="AB50:AD50"/>
    <mergeCell ref="AF50:AH50"/>
    <mergeCell ref="AB51:AD51"/>
    <mergeCell ref="AF51:AH51"/>
    <mergeCell ref="AB52:AD52"/>
    <mergeCell ref="AF52:AH52"/>
    <mergeCell ref="AB53:AD53"/>
    <mergeCell ref="AF53:AH53"/>
    <mergeCell ref="AB60:AD60"/>
    <mergeCell ref="AF60:AH60"/>
    <mergeCell ref="AB61:AD61"/>
    <mergeCell ref="AF61:AH61"/>
    <mergeCell ref="AB62:AD62"/>
    <mergeCell ref="AF62:AH62"/>
    <mergeCell ref="AB63:AD63"/>
    <mergeCell ref="AF63:AH63"/>
    <mergeCell ref="AB54:AD54"/>
    <mergeCell ref="AF54:AH54"/>
    <mergeCell ref="AB55:AD55"/>
    <mergeCell ref="AF55:AH55"/>
    <mergeCell ref="AB56:AD56"/>
    <mergeCell ref="AF56:AH56"/>
    <mergeCell ref="AB57:AD57"/>
    <mergeCell ref="AF57:AH57"/>
    <mergeCell ref="AB58:AD58"/>
    <mergeCell ref="AF58:AH58"/>
    <mergeCell ref="AB59:AD59"/>
    <mergeCell ref="AF59:AH59"/>
    <mergeCell ref="AB46:AD46"/>
    <mergeCell ref="AF46:AH46"/>
    <mergeCell ref="AB47:AD47"/>
    <mergeCell ref="AF47:AH47"/>
    <mergeCell ref="AB48:AD48"/>
    <mergeCell ref="AF48:AH48"/>
    <mergeCell ref="AB39:AD39"/>
    <mergeCell ref="AF39:AH39"/>
    <mergeCell ref="AB40:AD40"/>
    <mergeCell ref="AF40:AH40"/>
    <mergeCell ref="AB41:AD41"/>
    <mergeCell ref="AF41:AH41"/>
    <mergeCell ref="AB42:AD42"/>
    <mergeCell ref="AF42:AH42"/>
    <mergeCell ref="AB43:AD43"/>
    <mergeCell ref="AF43:AH43"/>
    <mergeCell ref="AB44:AD44"/>
    <mergeCell ref="AF44:AH44"/>
    <mergeCell ref="AB45:AD45"/>
    <mergeCell ref="AF45:AH45"/>
    <mergeCell ref="AB34:AD34"/>
    <mergeCell ref="AF34:AH34"/>
    <mergeCell ref="AB35:AD35"/>
    <mergeCell ref="AF35:AH35"/>
    <mergeCell ref="AB36:AD36"/>
    <mergeCell ref="AF36:AH36"/>
    <mergeCell ref="AB37:AD37"/>
    <mergeCell ref="AF37:AH37"/>
    <mergeCell ref="AB38:AD38"/>
    <mergeCell ref="AF38:AH38"/>
    <mergeCell ref="AB29:AD29"/>
    <mergeCell ref="AF29:AH29"/>
    <mergeCell ref="AB30:AD30"/>
    <mergeCell ref="AF30:AH30"/>
    <mergeCell ref="AB31:AD31"/>
    <mergeCell ref="AF31:AH31"/>
    <mergeCell ref="AB32:AD32"/>
    <mergeCell ref="AF32:AH32"/>
    <mergeCell ref="AB33:AD33"/>
    <mergeCell ref="AF33:AH33"/>
    <mergeCell ref="AB24:AD24"/>
    <mergeCell ref="AF24:AH24"/>
    <mergeCell ref="AB25:AD25"/>
    <mergeCell ref="AF25:AH25"/>
    <mergeCell ref="AB26:AD26"/>
    <mergeCell ref="AF26:AH26"/>
    <mergeCell ref="AB27:AD27"/>
    <mergeCell ref="AF27:AH27"/>
    <mergeCell ref="AB28:AD28"/>
    <mergeCell ref="AF28:AH28"/>
    <mergeCell ref="AB19:AD19"/>
    <mergeCell ref="AF19:AH19"/>
    <mergeCell ref="AB20:AD20"/>
    <mergeCell ref="AF20:AH20"/>
    <mergeCell ref="AB21:AD21"/>
    <mergeCell ref="AF21:AH21"/>
    <mergeCell ref="AB22:AD22"/>
    <mergeCell ref="AF22:AH22"/>
    <mergeCell ref="AB23:AD23"/>
    <mergeCell ref="AF23:AH23"/>
    <mergeCell ref="W8:Z8"/>
    <mergeCell ref="AB8:AD8"/>
    <mergeCell ref="AF8:AH8"/>
    <mergeCell ref="W9:Z9"/>
    <mergeCell ref="AF15:AH15"/>
    <mergeCell ref="AF16:AH16"/>
    <mergeCell ref="AF17:AH17"/>
    <mergeCell ref="AF18:AH18"/>
    <mergeCell ref="AB15:AD15"/>
    <mergeCell ref="AB16:AD16"/>
    <mergeCell ref="AB17:AD17"/>
    <mergeCell ref="AB18:AD18"/>
    <mergeCell ref="AF11:AH11"/>
    <mergeCell ref="AF12:AH12"/>
    <mergeCell ref="AB9:AD9"/>
    <mergeCell ref="AF9:AH9"/>
    <mergeCell ref="AF13:AH13"/>
    <mergeCell ref="C59:D59"/>
    <mergeCell ref="W59:Z59"/>
    <mergeCell ref="C56:D56"/>
    <mergeCell ref="W56:Z56"/>
    <mergeCell ref="C57:D57"/>
    <mergeCell ref="W57:Z57"/>
    <mergeCell ref="W62:Z62"/>
    <mergeCell ref="W63:Z63"/>
    <mergeCell ref="C60:D60"/>
    <mergeCell ref="W60:Z60"/>
    <mergeCell ref="W61:Z61"/>
    <mergeCell ref="C61:D61"/>
    <mergeCell ref="C62:D62"/>
    <mergeCell ref="C63:D63"/>
    <mergeCell ref="C54:D54"/>
    <mergeCell ref="W54:Z54"/>
    <mergeCell ref="C55:D55"/>
    <mergeCell ref="W55:Z55"/>
    <mergeCell ref="C52:D52"/>
    <mergeCell ref="W52:Z52"/>
    <mergeCell ref="C53:D53"/>
    <mergeCell ref="W53:Z53"/>
    <mergeCell ref="C58:D58"/>
    <mergeCell ref="W58:Z58"/>
    <mergeCell ref="C47:D47"/>
    <mergeCell ref="W47:Z47"/>
    <mergeCell ref="C44:D44"/>
    <mergeCell ref="W44:Z44"/>
    <mergeCell ref="C45:D45"/>
    <mergeCell ref="W45:Z45"/>
    <mergeCell ref="C50:D50"/>
    <mergeCell ref="W50:Z50"/>
    <mergeCell ref="C51:D51"/>
    <mergeCell ref="W51:Z51"/>
    <mergeCell ref="C48:D48"/>
    <mergeCell ref="W48:Z48"/>
    <mergeCell ref="C49:D49"/>
    <mergeCell ref="W49:Z49"/>
    <mergeCell ref="C42:D42"/>
    <mergeCell ref="W42:Z42"/>
    <mergeCell ref="C43:D43"/>
    <mergeCell ref="W43:Z43"/>
    <mergeCell ref="C40:D40"/>
    <mergeCell ref="W40:Z40"/>
    <mergeCell ref="C41:D41"/>
    <mergeCell ref="W41:Z41"/>
    <mergeCell ref="C46:D46"/>
    <mergeCell ref="W46:Z46"/>
    <mergeCell ref="C35:D35"/>
    <mergeCell ref="W35:Z35"/>
    <mergeCell ref="C32:D32"/>
    <mergeCell ref="W32:Z32"/>
    <mergeCell ref="C33:D33"/>
    <mergeCell ref="W33:Z33"/>
    <mergeCell ref="C38:D38"/>
    <mergeCell ref="W38:Z38"/>
    <mergeCell ref="C39:D39"/>
    <mergeCell ref="W39:Z39"/>
    <mergeCell ref="C36:D36"/>
    <mergeCell ref="W36:Z36"/>
    <mergeCell ref="C37:D37"/>
    <mergeCell ref="W37:Z37"/>
    <mergeCell ref="C30:D30"/>
    <mergeCell ref="W30:Z30"/>
    <mergeCell ref="C31:D31"/>
    <mergeCell ref="W31:Z31"/>
    <mergeCell ref="C28:D28"/>
    <mergeCell ref="W28:Z28"/>
    <mergeCell ref="C29:D29"/>
    <mergeCell ref="W29:Z29"/>
    <mergeCell ref="C34:D34"/>
    <mergeCell ref="W34:Z34"/>
    <mergeCell ref="C26:D26"/>
    <mergeCell ref="W26:Z26"/>
    <mergeCell ref="C27:D27"/>
    <mergeCell ref="W27:Z27"/>
    <mergeCell ref="C24:D24"/>
    <mergeCell ref="W24:Z24"/>
    <mergeCell ref="C25:D25"/>
    <mergeCell ref="W25:Z25"/>
    <mergeCell ref="W19:Z19"/>
    <mergeCell ref="C14:D14"/>
    <mergeCell ref="W14:Z14"/>
    <mergeCell ref="AF14:AH14"/>
    <mergeCell ref="C15:D15"/>
    <mergeCell ref="AB11:AD11"/>
    <mergeCell ref="AB12:AD12"/>
    <mergeCell ref="AB13:AD13"/>
    <mergeCell ref="AB14:AD14"/>
    <mergeCell ref="C10:D10"/>
    <mergeCell ref="W10:Z10"/>
    <mergeCell ref="AB10:AD10"/>
    <mergeCell ref="AF10:AH10"/>
    <mergeCell ref="C12:D12"/>
    <mergeCell ref="W12:Z12"/>
    <mergeCell ref="W15:Z15"/>
    <mergeCell ref="C11:D11"/>
    <mergeCell ref="W11:Z11"/>
    <mergeCell ref="C13:D13"/>
    <mergeCell ref="W13:Z13"/>
    <mergeCell ref="C16:D16"/>
    <mergeCell ref="W16:Z16"/>
    <mergeCell ref="C17:D17"/>
    <mergeCell ref="W17:Z17"/>
    <mergeCell ref="C22:D22"/>
    <mergeCell ref="W22:Z22"/>
    <mergeCell ref="C23:D23"/>
    <mergeCell ref="W23:Z23"/>
    <mergeCell ref="C20:D20"/>
    <mergeCell ref="C18:D18"/>
    <mergeCell ref="W18:Z18"/>
    <mergeCell ref="C19:D19"/>
    <mergeCell ref="W20:Z20"/>
    <mergeCell ref="C21:D21"/>
    <mergeCell ref="W21:Z21"/>
    <mergeCell ref="C64:D64"/>
    <mergeCell ref="W64:Z64"/>
    <mergeCell ref="AB64:AD64"/>
    <mergeCell ref="AF64:AH64"/>
    <mergeCell ref="C65:D65"/>
    <mergeCell ref="W65:Z65"/>
    <mergeCell ref="AB65:AD65"/>
    <mergeCell ref="AF65:AH65"/>
    <mergeCell ref="C66:D66"/>
    <mergeCell ref="W66:Z66"/>
    <mergeCell ref="AB66:AD66"/>
    <mergeCell ref="AF66:AH66"/>
    <mergeCell ref="C67:D67"/>
    <mergeCell ref="W67:Z67"/>
    <mergeCell ref="AB67:AD67"/>
    <mergeCell ref="AF67:AH67"/>
    <mergeCell ref="C68:D68"/>
    <mergeCell ref="W68:Z68"/>
    <mergeCell ref="AB68:AD68"/>
    <mergeCell ref="AF68:AH68"/>
    <mergeCell ref="C69:D69"/>
    <mergeCell ref="W69:Z69"/>
    <mergeCell ref="AB69:AD69"/>
    <mergeCell ref="AF69:AH69"/>
    <mergeCell ref="AR71:AS71"/>
    <mergeCell ref="O72:V72"/>
    <mergeCell ref="W72:Z72"/>
    <mergeCell ref="AB72:AD72"/>
    <mergeCell ref="AF72:AH72"/>
    <mergeCell ref="O70:V70"/>
    <mergeCell ref="W70:Z70"/>
    <mergeCell ref="AB70:AD70"/>
    <mergeCell ref="AF70:AH70"/>
    <mergeCell ref="O71:V71"/>
    <mergeCell ref="W71:Z71"/>
    <mergeCell ref="AB71:AD71"/>
    <mergeCell ref="AF71:AH71"/>
    <mergeCell ref="AJ71:AQ71"/>
  </mergeCells>
  <pageMargins left="0.7" right="0.7" top="0.75" bottom="0.75" header="0.3" footer="0.3"/>
  <pageSetup scale="69" orientation="portrait" horizontalDpi="1200" verticalDpi="12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96B5C0-E200-7642-970F-AB6EE6388F7D}">
  <sheetPr codeName="Sheet18">
    <pageSetUpPr fitToPage="1"/>
  </sheetPr>
  <dimension ref="C1:DD71"/>
  <sheetViews>
    <sheetView tabSelected="1" zoomScaleNormal="100" workbookViewId="0">
      <selection activeCell="N42" sqref="N42:Y42"/>
    </sheetView>
  </sheetViews>
  <sheetFormatPr baseColWidth="10" defaultColWidth="10.6640625" defaultRowHeight="17" x14ac:dyDescent="0.2"/>
  <cols>
    <col min="1" max="2" width="4.6640625" style="7" customWidth="1"/>
    <col min="3" max="3" width="4.6640625" style="19" customWidth="1"/>
    <col min="4" max="16" width="4.6640625" style="7" customWidth="1"/>
    <col min="17" max="18" width="4.6640625" style="30" customWidth="1"/>
    <col min="19" max="23" width="4.6640625" style="7" customWidth="1"/>
    <col min="24" max="26" width="4.6640625" style="24" customWidth="1"/>
    <col min="27" max="35" width="4.6640625" customWidth="1"/>
    <col min="36" max="37" width="4.6640625" style="29" customWidth="1"/>
    <col min="38" max="38" width="4.6640625" style="7" customWidth="1"/>
    <col min="39" max="41" width="4.6640625" style="24" customWidth="1"/>
    <col min="42" max="49" width="4.6640625" style="7" customWidth="1"/>
    <col min="50" max="107" width="10.6640625" style="7"/>
    <col min="108" max="108" width="0" style="7" hidden="1" customWidth="1"/>
    <col min="109" max="16384" width="10.6640625" style="7"/>
  </cols>
  <sheetData>
    <row r="1" spans="3:108" ht="16.5" customHeight="1" x14ac:dyDescent="0.2">
      <c r="C1"/>
      <c r="D1"/>
      <c r="E1"/>
      <c r="F1"/>
      <c r="G1"/>
      <c r="I1"/>
      <c r="J1"/>
      <c r="K1"/>
      <c r="P1"/>
      <c r="Q1"/>
      <c r="R1" s="63"/>
      <c r="AA1" s="7"/>
      <c r="AB1" s="7"/>
      <c r="AC1" s="7"/>
      <c r="AD1" s="7"/>
      <c r="AE1" s="63"/>
      <c r="AF1" s="7"/>
      <c r="AG1" s="7"/>
      <c r="AH1" s="7"/>
      <c r="AI1" s="63"/>
      <c r="AJ1" s="63"/>
      <c r="AK1" s="7"/>
      <c r="AM1" s="7"/>
      <c r="AN1" s="7"/>
      <c r="AO1" s="7"/>
      <c r="AP1" s="24"/>
      <c r="AQ1" s="24"/>
      <c r="AR1" s="24"/>
      <c r="AU1" s="24"/>
      <c r="AV1" s="24"/>
      <c r="AW1" s="24"/>
      <c r="AY1" s="24"/>
      <c r="AZ1" s="24"/>
      <c r="BA1" s="24"/>
      <c r="DD1" s="7" t="s">
        <v>536</v>
      </c>
    </row>
    <row r="2" spans="3:108" ht="6.5" customHeight="1" x14ac:dyDescent="0.2">
      <c r="C2"/>
      <c r="D2"/>
      <c r="E2"/>
      <c r="F2"/>
      <c r="G2"/>
      <c r="H2" s="34"/>
      <c r="I2"/>
      <c r="J2"/>
      <c r="K2"/>
      <c r="L2"/>
      <c r="M2"/>
      <c r="Q2" s="63"/>
      <c r="R2" s="63"/>
      <c r="AA2" s="7"/>
      <c r="AB2" s="7"/>
      <c r="AC2" s="7"/>
      <c r="AD2" s="7"/>
      <c r="AE2" s="63"/>
      <c r="AF2" s="7"/>
      <c r="AG2" s="7"/>
      <c r="AH2" s="7"/>
      <c r="AI2" s="63"/>
      <c r="AJ2" s="63"/>
      <c r="AK2" s="7"/>
      <c r="AM2" s="7"/>
      <c r="AN2" s="7"/>
      <c r="AO2" s="7"/>
      <c r="AP2" s="24"/>
      <c r="AQ2" s="24"/>
      <c r="AR2" s="24"/>
      <c r="AU2" s="24"/>
      <c r="AV2" s="24"/>
      <c r="AW2" s="24"/>
      <c r="AY2" s="24"/>
      <c r="AZ2" s="24"/>
      <c r="BA2" s="24"/>
    </row>
    <row r="3" spans="3:108" ht="16.5" customHeight="1" x14ac:dyDescent="0.2">
      <c r="C3"/>
      <c r="D3"/>
      <c r="E3"/>
      <c r="F3"/>
      <c r="G3"/>
      <c r="H3" s="34"/>
      <c r="I3" s="82"/>
      <c r="J3" s="36"/>
      <c r="K3" s="36"/>
      <c r="L3"/>
      <c r="M3"/>
      <c r="Q3" s="63"/>
      <c r="R3" s="7"/>
      <c r="AA3" s="7"/>
      <c r="AB3" s="7"/>
      <c r="AC3" s="7"/>
      <c r="AD3" s="7"/>
      <c r="AE3" s="63"/>
      <c r="AF3" s="7"/>
      <c r="AG3" s="7"/>
      <c r="AH3" s="7"/>
      <c r="AI3" s="63"/>
      <c r="AJ3" s="63"/>
      <c r="AK3" s="7"/>
      <c r="AM3" s="7"/>
      <c r="AN3" s="7"/>
      <c r="AO3" s="7"/>
      <c r="AP3" s="24"/>
      <c r="AQ3" s="24"/>
      <c r="AR3" s="24"/>
      <c r="AU3" s="24"/>
      <c r="AV3" s="24"/>
      <c r="AW3" s="24"/>
      <c r="AY3" s="24"/>
      <c r="AZ3" s="24"/>
      <c r="BA3" s="24"/>
    </row>
    <row r="4" spans="3:108" ht="6.5" customHeight="1" x14ac:dyDescent="0.2">
      <c r="C4"/>
      <c r="D4"/>
      <c r="E4"/>
      <c r="F4"/>
      <c r="G4"/>
      <c r="Q4" s="63"/>
      <c r="R4" s="7"/>
      <c r="AA4" s="7"/>
      <c r="AB4" s="7"/>
      <c r="AC4" s="7"/>
      <c r="AD4" s="7"/>
      <c r="AE4" s="63"/>
      <c r="AF4" s="7"/>
      <c r="AG4" s="7"/>
      <c r="AH4" s="7"/>
      <c r="AI4" s="63"/>
      <c r="AJ4" s="63"/>
      <c r="AK4" s="7"/>
      <c r="AM4" s="7"/>
      <c r="AN4" s="7"/>
      <c r="AO4" s="7"/>
      <c r="AP4" s="24"/>
      <c r="AQ4" s="24"/>
      <c r="AR4" s="24"/>
      <c r="AU4" s="24"/>
      <c r="AV4" s="24"/>
      <c r="AW4" s="24"/>
      <c r="AY4" s="24"/>
      <c r="AZ4" s="24"/>
      <c r="BA4" s="24"/>
    </row>
    <row r="5" spans="3:108" ht="16.5" customHeight="1" x14ac:dyDescent="0.2">
      <c r="C5"/>
      <c r="D5"/>
      <c r="E5"/>
      <c r="F5"/>
      <c r="G5"/>
      <c r="I5" s="82"/>
      <c r="J5" s="36"/>
      <c r="K5" s="36"/>
      <c r="L5"/>
      <c r="M5"/>
      <c r="Q5" s="63"/>
      <c r="R5" s="63"/>
      <c r="AA5" s="7"/>
      <c r="AB5" s="7"/>
      <c r="AC5" s="7"/>
      <c r="AD5" s="7"/>
      <c r="AE5" s="63"/>
      <c r="AF5" s="7"/>
      <c r="AG5" s="7"/>
      <c r="AH5" s="7"/>
      <c r="AI5" s="63"/>
      <c r="AJ5" s="63"/>
      <c r="AK5" s="7"/>
      <c r="AM5" s="7"/>
      <c r="AN5" s="7"/>
      <c r="AO5" s="7"/>
      <c r="AP5" s="24"/>
      <c r="AQ5" s="24"/>
      <c r="AR5" s="24"/>
      <c r="AU5" s="24"/>
      <c r="AV5" s="24"/>
      <c r="AW5" s="24"/>
      <c r="AY5" s="24"/>
      <c r="AZ5" s="24"/>
      <c r="BA5" s="24"/>
    </row>
    <row r="6" spans="3:108" ht="16.25" customHeight="1" x14ac:dyDescent="0.2"/>
    <row r="7" spans="3:108" ht="16.25" customHeight="1" x14ac:dyDescent="0.2">
      <c r="C7"/>
      <c r="D7"/>
      <c r="E7"/>
      <c r="F7"/>
      <c r="G7"/>
      <c r="H7"/>
      <c r="I7"/>
      <c r="J7"/>
      <c r="K7"/>
      <c r="L7"/>
      <c r="M7"/>
      <c r="N7" s="79"/>
      <c r="O7" s="79"/>
      <c r="P7" s="79"/>
      <c r="Q7" s="79"/>
      <c r="R7" s="79"/>
      <c r="S7" s="79"/>
      <c r="T7" s="79"/>
      <c r="U7" s="79"/>
      <c r="V7" s="79"/>
      <c r="W7" s="79"/>
      <c r="X7" s="79"/>
      <c r="Y7" s="79"/>
      <c r="Z7" s="79"/>
    </row>
    <row r="8" spans="3:108" s="323" customFormat="1" ht="20" customHeight="1" x14ac:dyDescent="0.2">
      <c r="C8" s="4" t="s">
        <v>827</v>
      </c>
      <c r="D8" s="5" t="s">
        <v>850</v>
      </c>
      <c r="E8" s="5"/>
      <c r="F8" s="349"/>
      <c r="G8" s="349"/>
      <c r="H8" s="349"/>
      <c r="I8" s="349"/>
      <c r="J8" s="349"/>
      <c r="K8" s="349"/>
      <c r="L8" s="349"/>
      <c r="M8" s="349"/>
      <c r="N8" s="349"/>
      <c r="O8" s="349"/>
      <c r="P8" s="349"/>
      <c r="Q8" s="350"/>
      <c r="R8" s="350"/>
      <c r="S8" s="349"/>
      <c r="T8" s="349"/>
      <c r="U8" s="349"/>
      <c r="V8" s="349"/>
      <c r="W8" s="652"/>
      <c r="X8" s="652"/>
      <c r="Y8" s="652"/>
      <c r="Z8" s="652"/>
      <c r="AB8" s="351"/>
      <c r="AC8" s="352"/>
      <c r="AD8" s="352"/>
      <c r="AF8" s="351"/>
      <c r="AG8" s="352"/>
      <c r="AH8" s="352"/>
      <c r="AJ8" s="739" t="s">
        <v>148</v>
      </c>
      <c r="AK8" s="740"/>
      <c r="AL8" s="740"/>
      <c r="AM8" s="740"/>
      <c r="AN8" s="740"/>
      <c r="AO8" s="740"/>
      <c r="AP8" s="407"/>
      <c r="AQ8" s="407"/>
      <c r="AR8" s="741" t="s">
        <v>857</v>
      </c>
      <c r="AS8" s="740"/>
      <c r="AT8" s="740"/>
      <c r="AU8" s="740"/>
      <c r="AV8" s="740"/>
      <c r="AW8" s="740"/>
    </row>
    <row r="9" spans="3:108" s="115" customFormat="1" ht="16.25" customHeight="1" x14ac:dyDescent="0.2">
      <c r="C9" s="150"/>
      <c r="D9" s="144"/>
      <c r="E9" s="666" t="s">
        <v>384</v>
      </c>
      <c r="F9" s="666"/>
      <c r="G9" s="666"/>
      <c r="H9" s="666"/>
      <c r="I9" s="666"/>
      <c r="J9" s="666"/>
      <c r="K9" s="144"/>
      <c r="L9" s="144"/>
      <c r="M9" s="144"/>
      <c r="N9" s="668" t="s">
        <v>375</v>
      </c>
      <c r="O9" s="668"/>
      <c r="P9" s="145"/>
      <c r="Q9" s="693" t="s">
        <v>220</v>
      </c>
      <c r="R9" s="693"/>
      <c r="S9" s="145"/>
      <c r="T9" s="145"/>
      <c r="U9" s="146" t="s">
        <v>144</v>
      </c>
      <c r="V9" s="146"/>
      <c r="W9" s="145"/>
      <c r="X9" s="689" t="s">
        <v>370</v>
      </c>
      <c r="Y9" s="689"/>
      <c r="Z9" s="690"/>
      <c r="AB9" s="670" t="s">
        <v>363</v>
      </c>
      <c r="AC9" s="671"/>
      <c r="AD9" s="672"/>
      <c r="AF9" s="670" t="s">
        <v>447</v>
      </c>
      <c r="AG9" s="671"/>
      <c r="AH9" s="672"/>
      <c r="AJ9" s="749" t="s">
        <v>147</v>
      </c>
      <c r="AK9" s="750"/>
      <c r="AL9" s="749" t="s">
        <v>221</v>
      </c>
      <c r="AM9" s="750"/>
      <c r="AN9" s="749" t="s">
        <v>856</v>
      </c>
      <c r="AO9" s="750"/>
      <c r="AP9" s="742" t="s">
        <v>89</v>
      </c>
      <c r="AQ9" s="743"/>
      <c r="AR9" s="742" t="s">
        <v>353</v>
      </c>
      <c r="AS9" s="743"/>
      <c r="AT9" s="742" t="s">
        <v>858</v>
      </c>
      <c r="AU9" s="743"/>
      <c r="AV9" s="742" t="s">
        <v>858</v>
      </c>
      <c r="AW9" s="743"/>
    </row>
    <row r="10" spans="3:108" s="115" customFormat="1" ht="16.25" customHeight="1" x14ac:dyDescent="0.2">
      <c r="C10" s="151"/>
      <c r="D10" s="176"/>
      <c r="E10" s="667"/>
      <c r="F10" s="667"/>
      <c r="G10" s="667"/>
      <c r="H10" s="667"/>
      <c r="I10" s="667"/>
      <c r="J10" s="667"/>
      <c r="K10" s="147"/>
      <c r="L10" s="147"/>
      <c r="M10" s="147"/>
      <c r="N10" s="669"/>
      <c r="O10" s="669"/>
      <c r="P10" s="148"/>
      <c r="Q10" s="694"/>
      <c r="R10" s="694"/>
      <c r="S10" s="148"/>
      <c r="T10" s="148"/>
      <c r="U10" s="149">
        <v>1.5</v>
      </c>
      <c r="V10" s="149">
        <v>2</v>
      </c>
      <c r="W10" s="148"/>
      <c r="X10" s="691"/>
      <c r="Y10" s="691"/>
      <c r="Z10" s="692"/>
      <c r="AB10" s="673"/>
      <c r="AC10" s="674"/>
      <c r="AD10" s="675"/>
      <c r="AF10" s="673"/>
      <c r="AG10" s="674"/>
      <c r="AH10" s="675"/>
      <c r="AJ10" s="753" t="s">
        <v>223</v>
      </c>
      <c r="AK10" s="754"/>
      <c r="AL10" s="872" t="s">
        <v>220</v>
      </c>
      <c r="AM10" s="873"/>
      <c r="AN10" s="872" t="s">
        <v>220</v>
      </c>
      <c r="AO10" s="873"/>
      <c r="AP10" s="874" t="s">
        <v>220</v>
      </c>
      <c r="AQ10" s="875"/>
      <c r="AR10" s="874" t="s">
        <v>222</v>
      </c>
      <c r="AS10" s="875"/>
      <c r="AT10" s="744" t="s">
        <v>859</v>
      </c>
      <c r="AU10" s="745"/>
      <c r="AV10" s="744" t="s">
        <v>807</v>
      </c>
      <c r="AW10" s="745"/>
    </row>
    <row r="11" spans="3:108" s="51" customFormat="1" ht="19" customHeight="1" x14ac:dyDescent="0.15">
      <c r="C11" s="698">
        <v>501</v>
      </c>
      <c r="D11" s="699"/>
      <c r="E11" s="700"/>
      <c r="F11" s="700"/>
      <c r="G11" s="700"/>
      <c r="H11" s="700"/>
      <c r="I11" s="700"/>
      <c r="J11" s="700"/>
      <c r="K11" s="700"/>
      <c r="L11" s="700"/>
      <c r="M11" s="700"/>
      <c r="N11" s="309"/>
      <c r="O11" s="309" t="s">
        <v>116</v>
      </c>
      <c r="P11" s="310" t="s">
        <v>117</v>
      </c>
      <c r="Q11" s="687"/>
      <c r="R11" s="687"/>
      <c r="S11" s="311" t="s">
        <v>143</v>
      </c>
      <c r="T11" s="309"/>
      <c r="U11" s="309"/>
      <c r="V11" s="309"/>
      <c r="W11" s="664">
        <f t="shared" ref="W11:W60" si="0">IF(ISNUMBER(N11),(N11*Q11*IF(ISNUMBER(T11),T11,1)+(IFERROR(U11*(Q11/AJ11)*1.5,0))+(IFERROR(V11*(Q11/AJ11)*2,0))),0)</f>
        <v>0</v>
      </c>
      <c r="X11" s="664"/>
      <c r="Y11" s="664"/>
      <c r="Z11" s="665"/>
      <c r="AB11" s="663">
        <v>0</v>
      </c>
      <c r="AC11" s="664"/>
      <c r="AD11" s="665"/>
      <c r="AF11" s="663">
        <f t="shared" ref="AF11:AF60" si="1">AB11-W11</f>
        <v>0</v>
      </c>
      <c r="AG11" s="664"/>
      <c r="AH11" s="665"/>
      <c r="AJ11" s="681">
        <v>10</v>
      </c>
      <c r="AK11" s="682"/>
      <c r="AL11" s="677">
        <f>IFERROR(Q11/(AJ11+((AJ11-AP$11)*0.5)),0)</f>
        <v>0</v>
      </c>
      <c r="AM11" s="678"/>
      <c r="AN11" s="677">
        <f t="shared" ref="AN11:AN60" si="2">AL11*1.5</f>
        <v>0</v>
      </c>
      <c r="AO11" s="678"/>
      <c r="AP11" s="876">
        <v>0.38</v>
      </c>
      <c r="AQ11" s="877"/>
      <c r="AR11" s="878">
        <v>8</v>
      </c>
      <c r="AS11" s="879"/>
      <c r="AT11" s="696">
        <f t="shared" ref="AT11:AT42" si="3">AL11*ThisSheetState</f>
        <v>0</v>
      </c>
      <c r="AU11" s="697"/>
      <c r="AV11" s="696">
        <f t="shared" ref="AV11:AV42" si="4">(AJ11-ThisSheetState)*AN11</f>
        <v>0</v>
      </c>
      <c r="AW11" s="697"/>
    </row>
    <row r="12" spans="3:108" s="51" customFormat="1" ht="19" customHeight="1" x14ac:dyDescent="0.15">
      <c r="C12" s="698">
        <f>C11+1</f>
        <v>502</v>
      </c>
      <c r="D12" s="699"/>
      <c r="E12" s="700"/>
      <c r="F12" s="700"/>
      <c r="G12" s="700"/>
      <c r="H12" s="700"/>
      <c r="I12" s="700"/>
      <c r="J12" s="700"/>
      <c r="K12" s="700"/>
      <c r="L12" s="700"/>
      <c r="M12" s="700"/>
      <c r="N12" s="309"/>
      <c r="O12" s="309" t="s">
        <v>116</v>
      </c>
      <c r="P12" s="310" t="s">
        <v>117</v>
      </c>
      <c r="Q12" s="687"/>
      <c r="R12" s="687"/>
      <c r="S12" s="311" t="s">
        <v>143</v>
      </c>
      <c r="T12" s="309"/>
      <c r="U12" s="309"/>
      <c r="V12" s="309"/>
      <c r="W12" s="664">
        <f t="shared" si="0"/>
        <v>0</v>
      </c>
      <c r="X12" s="664"/>
      <c r="Y12" s="664"/>
      <c r="Z12" s="665"/>
      <c r="AB12" s="663">
        <v>0</v>
      </c>
      <c r="AC12" s="664"/>
      <c r="AD12" s="665"/>
      <c r="AF12" s="663">
        <f t="shared" si="1"/>
        <v>0</v>
      </c>
      <c r="AG12" s="664"/>
      <c r="AH12" s="665"/>
      <c r="AJ12" s="681">
        <v>10</v>
      </c>
      <c r="AK12" s="682"/>
      <c r="AL12" s="677">
        <f t="shared" ref="AL12:AL60" si="5">IFERROR(Q12/(AJ12+((AJ12-AP$11)*0.5)),0)</f>
        <v>0</v>
      </c>
      <c r="AM12" s="678"/>
      <c r="AN12" s="679">
        <f t="shared" si="2"/>
        <v>0</v>
      </c>
      <c r="AO12" s="680"/>
      <c r="AP12" s="676"/>
      <c r="AQ12" s="461"/>
      <c r="AT12" s="696">
        <f t="shared" si="3"/>
        <v>0</v>
      </c>
      <c r="AU12" s="697"/>
      <c r="AV12" s="696">
        <f t="shared" si="4"/>
        <v>0</v>
      </c>
      <c r="AW12" s="697"/>
    </row>
    <row r="13" spans="3:108" s="51" customFormat="1" ht="19" customHeight="1" x14ac:dyDescent="0.15">
      <c r="C13" s="698">
        <f t="shared" ref="C13:C60" si="6">C12+1</f>
        <v>503</v>
      </c>
      <c r="D13" s="699"/>
      <c r="E13" s="700"/>
      <c r="F13" s="700"/>
      <c r="G13" s="700"/>
      <c r="H13" s="700"/>
      <c r="I13" s="700"/>
      <c r="J13" s="700"/>
      <c r="K13" s="700"/>
      <c r="L13" s="700"/>
      <c r="M13" s="700"/>
      <c r="N13" s="309"/>
      <c r="O13" s="309" t="s">
        <v>116</v>
      </c>
      <c r="P13" s="310" t="s">
        <v>117</v>
      </c>
      <c r="Q13" s="687"/>
      <c r="R13" s="687"/>
      <c r="S13" s="311" t="s">
        <v>143</v>
      </c>
      <c r="T13" s="309"/>
      <c r="U13" s="309"/>
      <c r="V13" s="309"/>
      <c r="W13" s="664">
        <f t="shared" si="0"/>
        <v>0</v>
      </c>
      <c r="X13" s="664"/>
      <c r="Y13" s="664"/>
      <c r="Z13" s="665"/>
      <c r="AB13" s="663">
        <v>0</v>
      </c>
      <c r="AC13" s="664"/>
      <c r="AD13" s="665"/>
      <c r="AF13" s="663">
        <f t="shared" si="1"/>
        <v>0</v>
      </c>
      <c r="AG13" s="664"/>
      <c r="AH13" s="665"/>
      <c r="AJ13" s="681">
        <v>10</v>
      </c>
      <c r="AK13" s="682"/>
      <c r="AL13" s="677">
        <f t="shared" si="5"/>
        <v>0</v>
      </c>
      <c r="AM13" s="678"/>
      <c r="AN13" s="679">
        <f t="shared" si="2"/>
        <v>0</v>
      </c>
      <c r="AO13" s="680"/>
      <c r="AP13" s="676"/>
      <c r="AQ13" s="461"/>
      <c r="AT13" s="696">
        <f t="shared" si="3"/>
        <v>0</v>
      </c>
      <c r="AU13" s="697"/>
      <c r="AV13" s="696">
        <f t="shared" si="4"/>
        <v>0</v>
      </c>
      <c r="AW13" s="697"/>
    </row>
    <row r="14" spans="3:108" s="51" customFormat="1" ht="19" customHeight="1" x14ac:dyDescent="0.15">
      <c r="C14" s="698">
        <f t="shared" si="6"/>
        <v>504</v>
      </c>
      <c r="D14" s="699"/>
      <c r="E14" s="700"/>
      <c r="F14" s="700"/>
      <c r="G14" s="700"/>
      <c r="H14" s="700"/>
      <c r="I14" s="700"/>
      <c r="J14" s="700"/>
      <c r="K14" s="700"/>
      <c r="L14" s="700"/>
      <c r="M14" s="700"/>
      <c r="N14" s="309"/>
      <c r="O14" s="309" t="s">
        <v>116</v>
      </c>
      <c r="P14" s="310" t="s">
        <v>117</v>
      </c>
      <c r="Q14" s="687"/>
      <c r="R14" s="687"/>
      <c r="S14" s="311" t="s">
        <v>143</v>
      </c>
      <c r="T14" s="309"/>
      <c r="U14" s="309"/>
      <c r="V14" s="309"/>
      <c r="W14" s="664">
        <f t="shared" si="0"/>
        <v>0</v>
      </c>
      <c r="X14" s="664"/>
      <c r="Y14" s="664"/>
      <c r="Z14" s="665"/>
      <c r="AB14" s="663">
        <v>0</v>
      </c>
      <c r="AC14" s="664"/>
      <c r="AD14" s="665"/>
      <c r="AF14" s="663">
        <f t="shared" si="1"/>
        <v>0</v>
      </c>
      <c r="AG14" s="664"/>
      <c r="AH14" s="665"/>
      <c r="AJ14" s="681">
        <v>10</v>
      </c>
      <c r="AK14" s="682"/>
      <c r="AL14" s="677">
        <f t="shared" si="5"/>
        <v>0</v>
      </c>
      <c r="AM14" s="678"/>
      <c r="AN14" s="679">
        <f t="shared" si="2"/>
        <v>0</v>
      </c>
      <c r="AO14" s="680"/>
      <c r="AP14" s="676"/>
      <c r="AQ14" s="461"/>
      <c r="AT14" s="696">
        <f t="shared" si="3"/>
        <v>0</v>
      </c>
      <c r="AU14" s="697"/>
      <c r="AV14" s="696">
        <f t="shared" si="4"/>
        <v>0</v>
      </c>
      <c r="AW14" s="697"/>
    </row>
    <row r="15" spans="3:108" s="51" customFormat="1" ht="19" customHeight="1" x14ac:dyDescent="0.15">
      <c r="C15" s="698">
        <f t="shared" si="6"/>
        <v>505</v>
      </c>
      <c r="D15" s="699"/>
      <c r="E15" s="700"/>
      <c r="F15" s="700"/>
      <c r="G15" s="700"/>
      <c r="H15" s="700"/>
      <c r="I15" s="700"/>
      <c r="J15" s="700"/>
      <c r="K15" s="700"/>
      <c r="L15" s="700"/>
      <c r="M15" s="700"/>
      <c r="N15" s="309"/>
      <c r="O15" s="309" t="s">
        <v>116</v>
      </c>
      <c r="P15" s="310" t="s">
        <v>117</v>
      </c>
      <c r="Q15" s="687"/>
      <c r="R15" s="687"/>
      <c r="S15" s="311" t="s">
        <v>143</v>
      </c>
      <c r="T15" s="309"/>
      <c r="U15" s="309"/>
      <c r="V15" s="309"/>
      <c r="W15" s="664">
        <f t="shared" si="0"/>
        <v>0</v>
      </c>
      <c r="X15" s="664"/>
      <c r="Y15" s="664"/>
      <c r="Z15" s="665"/>
      <c r="AB15" s="663">
        <v>0</v>
      </c>
      <c r="AC15" s="664"/>
      <c r="AD15" s="665"/>
      <c r="AF15" s="663">
        <f t="shared" si="1"/>
        <v>0</v>
      </c>
      <c r="AG15" s="664"/>
      <c r="AH15" s="665"/>
      <c r="AJ15" s="681">
        <v>10</v>
      </c>
      <c r="AK15" s="682"/>
      <c r="AL15" s="677">
        <f t="shared" si="5"/>
        <v>0</v>
      </c>
      <c r="AM15" s="678"/>
      <c r="AN15" s="679">
        <f t="shared" si="2"/>
        <v>0</v>
      </c>
      <c r="AO15" s="680"/>
      <c r="AP15" s="676"/>
      <c r="AQ15" s="461"/>
      <c r="AT15" s="696">
        <f t="shared" si="3"/>
        <v>0</v>
      </c>
      <c r="AU15" s="697"/>
      <c r="AV15" s="696">
        <f t="shared" si="4"/>
        <v>0</v>
      </c>
      <c r="AW15" s="697"/>
    </row>
    <row r="16" spans="3:108" s="51" customFormat="1" ht="19" customHeight="1" x14ac:dyDescent="0.15">
      <c r="C16" s="698">
        <f t="shared" si="6"/>
        <v>506</v>
      </c>
      <c r="D16" s="699"/>
      <c r="E16" s="700"/>
      <c r="F16" s="700"/>
      <c r="G16" s="700"/>
      <c r="H16" s="700"/>
      <c r="I16" s="700"/>
      <c r="J16" s="700"/>
      <c r="K16" s="700"/>
      <c r="L16" s="700"/>
      <c r="M16" s="700"/>
      <c r="N16" s="309"/>
      <c r="O16" s="309" t="s">
        <v>116</v>
      </c>
      <c r="P16" s="310" t="s">
        <v>117</v>
      </c>
      <c r="Q16" s="687"/>
      <c r="R16" s="687"/>
      <c r="S16" s="311" t="s">
        <v>143</v>
      </c>
      <c r="T16" s="309"/>
      <c r="U16" s="309"/>
      <c r="V16" s="309"/>
      <c r="W16" s="664">
        <f t="shared" si="0"/>
        <v>0</v>
      </c>
      <c r="X16" s="664"/>
      <c r="Y16" s="664"/>
      <c r="Z16" s="665"/>
      <c r="AB16" s="663">
        <v>0</v>
      </c>
      <c r="AC16" s="664"/>
      <c r="AD16" s="665"/>
      <c r="AF16" s="663">
        <f t="shared" si="1"/>
        <v>0</v>
      </c>
      <c r="AG16" s="664"/>
      <c r="AH16" s="665"/>
      <c r="AJ16" s="681">
        <v>10</v>
      </c>
      <c r="AK16" s="682"/>
      <c r="AL16" s="677">
        <f t="shared" si="5"/>
        <v>0</v>
      </c>
      <c r="AM16" s="678"/>
      <c r="AN16" s="679">
        <f t="shared" si="2"/>
        <v>0</v>
      </c>
      <c r="AO16" s="680"/>
      <c r="AP16" s="676"/>
      <c r="AQ16" s="461"/>
      <c r="AT16" s="696">
        <f t="shared" si="3"/>
        <v>0</v>
      </c>
      <c r="AU16" s="697"/>
      <c r="AV16" s="696">
        <f t="shared" si="4"/>
        <v>0</v>
      </c>
      <c r="AW16" s="697"/>
    </row>
    <row r="17" spans="3:49" s="51" customFormat="1" ht="19" customHeight="1" x14ac:dyDescent="0.15">
      <c r="C17" s="698">
        <f t="shared" si="6"/>
        <v>507</v>
      </c>
      <c r="D17" s="699"/>
      <c r="E17" s="701"/>
      <c r="F17" s="701"/>
      <c r="G17" s="701"/>
      <c r="H17" s="701"/>
      <c r="I17" s="701"/>
      <c r="J17" s="701"/>
      <c r="K17" s="701"/>
      <c r="L17" s="701"/>
      <c r="M17" s="701"/>
      <c r="N17" s="309"/>
      <c r="O17" s="309" t="s">
        <v>116</v>
      </c>
      <c r="P17" s="310" t="s">
        <v>117</v>
      </c>
      <c r="Q17" s="687"/>
      <c r="R17" s="687"/>
      <c r="S17" s="311" t="s">
        <v>143</v>
      </c>
      <c r="T17" s="309"/>
      <c r="U17" s="309"/>
      <c r="V17" s="309"/>
      <c r="W17" s="664">
        <f t="shared" si="0"/>
        <v>0</v>
      </c>
      <c r="X17" s="664"/>
      <c r="Y17" s="664"/>
      <c r="Z17" s="665"/>
      <c r="AB17" s="663">
        <v>0</v>
      </c>
      <c r="AC17" s="664"/>
      <c r="AD17" s="665"/>
      <c r="AF17" s="663">
        <f t="shared" si="1"/>
        <v>0</v>
      </c>
      <c r="AG17" s="664"/>
      <c r="AH17" s="665"/>
      <c r="AJ17" s="681">
        <v>10</v>
      </c>
      <c r="AK17" s="682"/>
      <c r="AL17" s="677">
        <f t="shared" si="5"/>
        <v>0</v>
      </c>
      <c r="AM17" s="678"/>
      <c r="AN17" s="679">
        <f t="shared" si="2"/>
        <v>0</v>
      </c>
      <c r="AO17" s="680"/>
      <c r="AP17" s="676"/>
      <c r="AQ17" s="461"/>
      <c r="AT17" s="696">
        <f t="shared" si="3"/>
        <v>0</v>
      </c>
      <c r="AU17" s="697"/>
      <c r="AV17" s="696">
        <f t="shared" si="4"/>
        <v>0</v>
      </c>
      <c r="AW17" s="697"/>
    </row>
    <row r="18" spans="3:49" s="51" customFormat="1" ht="19" customHeight="1" x14ac:dyDescent="0.15">
      <c r="C18" s="698">
        <f t="shared" si="6"/>
        <v>508</v>
      </c>
      <c r="D18" s="699"/>
      <c r="E18" s="700"/>
      <c r="F18" s="700"/>
      <c r="G18" s="700"/>
      <c r="H18" s="700"/>
      <c r="I18" s="700"/>
      <c r="J18" s="700"/>
      <c r="K18" s="700"/>
      <c r="L18" s="700"/>
      <c r="M18" s="700"/>
      <c r="N18" s="309"/>
      <c r="O18" s="309" t="s">
        <v>116</v>
      </c>
      <c r="P18" s="310" t="s">
        <v>117</v>
      </c>
      <c r="Q18" s="687"/>
      <c r="R18" s="687"/>
      <c r="S18" s="311" t="s">
        <v>143</v>
      </c>
      <c r="T18" s="309"/>
      <c r="U18" s="309"/>
      <c r="V18" s="309"/>
      <c r="W18" s="664">
        <f t="shared" si="0"/>
        <v>0</v>
      </c>
      <c r="X18" s="664"/>
      <c r="Y18" s="664"/>
      <c r="Z18" s="665"/>
      <c r="AB18" s="663">
        <v>0</v>
      </c>
      <c r="AC18" s="664"/>
      <c r="AD18" s="665"/>
      <c r="AF18" s="663">
        <f t="shared" si="1"/>
        <v>0</v>
      </c>
      <c r="AG18" s="664"/>
      <c r="AH18" s="665"/>
      <c r="AJ18" s="681">
        <v>10</v>
      </c>
      <c r="AK18" s="682"/>
      <c r="AL18" s="677">
        <f t="shared" si="5"/>
        <v>0</v>
      </c>
      <c r="AM18" s="678"/>
      <c r="AN18" s="679">
        <f t="shared" si="2"/>
        <v>0</v>
      </c>
      <c r="AO18" s="680"/>
      <c r="AP18" s="676"/>
      <c r="AQ18" s="461"/>
      <c r="AT18" s="696">
        <f t="shared" si="3"/>
        <v>0</v>
      </c>
      <c r="AU18" s="697"/>
      <c r="AV18" s="696">
        <f t="shared" si="4"/>
        <v>0</v>
      </c>
      <c r="AW18" s="697"/>
    </row>
    <row r="19" spans="3:49" s="51" customFormat="1" ht="19" customHeight="1" x14ac:dyDescent="0.15">
      <c r="C19" s="698">
        <f t="shared" si="6"/>
        <v>509</v>
      </c>
      <c r="D19" s="699"/>
      <c r="E19" s="700"/>
      <c r="F19" s="700"/>
      <c r="G19" s="700"/>
      <c r="H19" s="700"/>
      <c r="I19" s="700"/>
      <c r="J19" s="700"/>
      <c r="K19" s="700"/>
      <c r="L19" s="700"/>
      <c r="M19" s="700"/>
      <c r="N19" s="309"/>
      <c r="O19" s="309" t="s">
        <v>116</v>
      </c>
      <c r="P19" s="310" t="s">
        <v>117</v>
      </c>
      <c r="Q19" s="687"/>
      <c r="R19" s="687"/>
      <c r="S19" s="311" t="s">
        <v>143</v>
      </c>
      <c r="T19" s="309"/>
      <c r="U19" s="309"/>
      <c r="V19" s="309"/>
      <c r="W19" s="664">
        <f t="shared" si="0"/>
        <v>0</v>
      </c>
      <c r="X19" s="664"/>
      <c r="Y19" s="664"/>
      <c r="Z19" s="665"/>
      <c r="AB19" s="663">
        <v>0</v>
      </c>
      <c r="AC19" s="664"/>
      <c r="AD19" s="665"/>
      <c r="AF19" s="663">
        <f t="shared" si="1"/>
        <v>0</v>
      </c>
      <c r="AG19" s="664"/>
      <c r="AH19" s="665"/>
      <c r="AJ19" s="681">
        <v>10</v>
      </c>
      <c r="AK19" s="682"/>
      <c r="AL19" s="677">
        <f t="shared" si="5"/>
        <v>0</v>
      </c>
      <c r="AM19" s="678"/>
      <c r="AN19" s="679">
        <f t="shared" si="2"/>
        <v>0</v>
      </c>
      <c r="AO19" s="680"/>
      <c r="AP19" s="676"/>
      <c r="AQ19" s="461"/>
      <c r="AT19" s="696">
        <f t="shared" si="3"/>
        <v>0</v>
      </c>
      <c r="AU19" s="697"/>
      <c r="AV19" s="696">
        <f t="shared" si="4"/>
        <v>0</v>
      </c>
      <c r="AW19" s="697"/>
    </row>
    <row r="20" spans="3:49" s="51" customFormat="1" ht="19" customHeight="1" x14ac:dyDescent="0.15">
      <c r="C20" s="698">
        <f t="shared" si="6"/>
        <v>510</v>
      </c>
      <c r="D20" s="699"/>
      <c r="E20" s="700"/>
      <c r="F20" s="700"/>
      <c r="G20" s="700"/>
      <c r="H20" s="700"/>
      <c r="I20" s="700"/>
      <c r="J20" s="700"/>
      <c r="K20" s="700"/>
      <c r="L20" s="700"/>
      <c r="M20" s="700"/>
      <c r="N20" s="309"/>
      <c r="O20" s="309" t="s">
        <v>116</v>
      </c>
      <c r="P20" s="310" t="s">
        <v>117</v>
      </c>
      <c r="Q20" s="687"/>
      <c r="R20" s="687"/>
      <c r="S20" s="311" t="s">
        <v>143</v>
      </c>
      <c r="T20" s="309"/>
      <c r="U20" s="309"/>
      <c r="V20" s="309"/>
      <c r="W20" s="664">
        <f t="shared" si="0"/>
        <v>0</v>
      </c>
      <c r="X20" s="664"/>
      <c r="Y20" s="664"/>
      <c r="Z20" s="665"/>
      <c r="AB20" s="663">
        <v>0</v>
      </c>
      <c r="AC20" s="664"/>
      <c r="AD20" s="665"/>
      <c r="AF20" s="663">
        <f t="shared" si="1"/>
        <v>0</v>
      </c>
      <c r="AG20" s="664"/>
      <c r="AH20" s="665"/>
      <c r="AJ20" s="681">
        <v>10</v>
      </c>
      <c r="AK20" s="682"/>
      <c r="AL20" s="677">
        <f t="shared" si="5"/>
        <v>0</v>
      </c>
      <c r="AM20" s="678"/>
      <c r="AN20" s="679">
        <f t="shared" si="2"/>
        <v>0</v>
      </c>
      <c r="AO20" s="680"/>
      <c r="AP20" s="676"/>
      <c r="AQ20" s="461"/>
      <c r="AT20" s="696">
        <f t="shared" si="3"/>
        <v>0</v>
      </c>
      <c r="AU20" s="697"/>
      <c r="AV20" s="696">
        <f t="shared" si="4"/>
        <v>0</v>
      </c>
      <c r="AW20" s="697"/>
    </row>
    <row r="21" spans="3:49" s="51" customFormat="1" ht="19" customHeight="1" x14ac:dyDescent="0.15">
      <c r="C21" s="698">
        <f t="shared" si="6"/>
        <v>511</v>
      </c>
      <c r="D21" s="699"/>
      <c r="E21" s="700"/>
      <c r="F21" s="700"/>
      <c r="G21" s="700"/>
      <c r="H21" s="700"/>
      <c r="I21" s="700"/>
      <c r="J21" s="700"/>
      <c r="K21" s="700"/>
      <c r="L21" s="700"/>
      <c r="M21" s="700"/>
      <c r="N21" s="309"/>
      <c r="O21" s="309" t="s">
        <v>116</v>
      </c>
      <c r="P21" s="310" t="s">
        <v>117</v>
      </c>
      <c r="Q21" s="687"/>
      <c r="R21" s="687"/>
      <c r="S21" s="311" t="s">
        <v>143</v>
      </c>
      <c r="T21" s="309"/>
      <c r="U21" s="309"/>
      <c r="V21" s="309"/>
      <c r="W21" s="664">
        <f t="shared" si="0"/>
        <v>0</v>
      </c>
      <c r="X21" s="664"/>
      <c r="Y21" s="664"/>
      <c r="Z21" s="665"/>
      <c r="AB21" s="663">
        <v>0</v>
      </c>
      <c r="AC21" s="664"/>
      <c r="AD21" s="665"/>
      <c r="AF21" s="663">
        <f t="shared" si="1"/>
        <v>0</v>
      </c>
      <c r="AG21" s="664"/>
      <c r="AH21" s="665"/>
      <c r="AJ21" s="681">
        <v>10</v>
      </c>
      <c r="AK21" s="682"/>
      <c r="AL21" s="677">
        <f t="shared" si="5"/>
        <v>0</v>
      </c>
      <c r="AM21" s="678"/>
      <c r="AN21" s="679">
        <f t="shared" si="2"/>
        <v>0</v>
      </c>
      <c r="AO21" s="680"/>
      <c r="AP21" s="676"/>
      <c r="AQ21" s="461"/>
      <c r="AT21" s="696">
        <f t="shared" si="3"/>
        <v>0</v>
      </c>
      <c r="AU21" s="697"/>
      <c r="AV21" s="696">
        <f t="shared" si="4"/>
        <v>0</v>
      </c>
      <c r="AW21" s="697"/>
    </row>
    <row r="22" spans="3:49" s="51" customFormat="1" ht="19" customHeight="1" x14ac:dyDescent="0.15">
      <c r="C22" s="698">
        <f t="shared" si="6"/>
        <v>512</v>
      </c>
      <c r="D22" s="699"/>
      <c r="E22" s="700"/>
      <c r="F22" s="700"/>
      <c r="G22" s="700"/>
      <c r="H22" s="700"/>
      <c r="I22" s="700"/>
      <c r="J22" s="700"/>
      <c r="K22" s="700"/>
      <c r="L22" s="700"/>
      <c r="M22" s="700"/>
      <c r="N22" s="309"/>
      <c r="O22" s="309" t="s">
        <v>116</v>
      </c>
      <c r="P22" s="310" t="s">
        <v>117</v>
      </c>
      <c r="Q22" s="687"/>
      <c r="R22" s="687"/>
      <c r="S22" s="311" t="s">
        <v>143</v>
      </c>
      <c r="T22" s="309"/>
      <c r="U22" s="309"/>
      <c r="V22" s="309"/>
      <c r="W22" s="664">
        <f t="shared" si="0"/>
        <v>0</v>
      </c>
      <c r="X22" s="664"/>
      <c r="Y22" s="664"/>
      <c r="Z22" s="665"/>
      <c r="AB22" s="663">
        <v>0</v>
      </c>
      <c r="AC22" s="664"/>
      <c r="AD22" s="665"/>
      <c r="AF22" s="663">
        <f t="shared" si="1"/>
        <v>0</v>
      </c>
      <c r="AG22" s="664"/>
      <c r="AH22" s="665"/>
      <c r="AJ22" s="681">
        <v>10</v>
      </c>
      <c r="AK22" s="682"/>
      <c r="AL22" s="677">
        <f t="shared" si="5"/>
        <v>0</v>
      </c>
      <c r="AM22" s="678"/>
      <c r="AN22" s="679">
        <f t="shared" si="2"/>
        <v>0</v>
      </c>
      <c r="AO22" s="680"/>
      <c r="AP22" s="676"/>
      <c r="AQ22" s="461"/>
      <c r="AT22" s="696">
        <f t="shared" si="3"/>
        <v>0</v>
      </c>
      <c r="AU22" s="697"/>
      <c r="AV22" s="696">
        <f t="shared" si="4"/>
        <v>0</v>
      </c>
      <c r="AW22" s="697"/>
    </row>
    <row r="23" spans="3:49" s="51" customFormat="1" ht="19" customHeight="1" x14ac:dyDescent="0.15">
      <c r="C23" s="698">
        <f t="shared" si="6"/>
        <v>513</v>
      </c>
      <c r="D23" s="699"/>
      <c r="E23" s="700"/>
      <c r="F23" s="700"/>
      <c r="G23" s="700"/>
      <c r="H23" s="700"/>
      <c r="I23" s="700"/>
      <c r="J23" s="700"/>
      <c r="K23" s="700"/>
      <c r="L23" s="700"/>
      <c r="M23" s="700"/>
      <c r="N23" s="309"/>
      <c r="O23" s="309" t="s">
        <v>116</v>
      </c>
      <c r="P23" s="310" t="s">
        <v>117</v>
      </c>
      <c r="Q23" s="687"/>
      <c r="R23" s="687"/>
      <c r="S23" s="311" t="s">
        <v>143</v>
      </c>
      <c r="T23" s="309"/>
      <c r="U23" s="309"/>
      <c r="V23" s="309"/>
      <c r="W23" s="664">
        <f t="shared" si="0"/>
        <v>0</v>
      </c>
      <c r="X23" s="664"/>
      <c r="Y23" s="664"/>
      <c r="Z23" s="665"/>
      <c r="AB23" s="663">
        <v>0</v>
      </c>
      <c r="AC23" s="664"/>
      <c r="AD23" s="665"/>
      <c r="AF23" s="663">
        <f t="shared" si="1"/>
        <v>0</v>
      </c>
      <c r="AG23" s="664"/>
      <c r="AH23" s="665"/>
      <c r="AJ23" s="681">
        <v>10</v>
      </c>
      <c r="AK23" s="682"/>
      <c r="AL23" s="677">
        <f t="shared" si="5"/>
        <v>0</v>
      </c>
      <c r="AM23" s="678"/>
      <c r="AN23" s="679">
        <f t="shared" si="2"/>
        <v>0</v>
      </c>
      <c r="AO23" s="680"/>
      <c r="AP23" s="676"/>
      <c r="AQ23" s="461"/>
      <c r="AT23" s="696">
        <f t="shared" si="3"/>
        <v>0</v>
      </c>
      <c r="AU23" s="697"/>
      <c r="AV23" s="696">
        <f t="shared" si="4"/>
        <v>0</v>
      </c>
      <c r="AW23" s="697"/>
    </row>
    <row r="24" spans="3:49" s="51" customFormat="1" ht="19" customHeight="1" x14ac:dyDescent="0.15">
      <c r="C24" s="698">
        <f t="shared" si="6"/>
        <v>514</v>
      </c>
      <c r="D24" s="699"/>
      <c r="E24" s="700"/>
      <c r="F24" s="700"/>
      <c r="G24" s="700"/>
      <c r="H24" s="700"/>
      <c r="I24" s="700"/>
      <c r="J24" s="700"/>
      <c r="K24" s="700"/>
      <c r="L24" s="700"/>
      <c r="M24" s="700"/>
      <c r="N24" s="309"/>
      <c r="O24" s="309" t="s">
        <v>116</v>
      </c>
      <c r="P24" s="310" t="s">
        <v>117</v>
      </c>
      <c r="Q24" s="687"/>
      <c r="R24" s="687"/>
      <c r="S24" s="311" t="s">
        <v>143</v>
      </c>
      <c r="T24" s="309"/>
      <c r="U24" s="309"/>
      <c r="V24" s="309"/>
      <c r="W24" s="664">
        <f t="shared" si="0"/>
        <v>0</v>
      </c>
      <c r="X24" s="664"/>
      <c r="Y24" s="664"/>
      <c r="Z24" s="665"/>
      <c r="AB24" s="663">
        <v>0</v>
      </c>
      <c r="AC24" s="664"/>
      <c r="AD24" s="665"/>
      <c r="AF24" s="663">
        <f t="shared" si="1"/>
        <v>0</v>
      </c>
      <c r="AG24" s="664"/>
      <c r="AH24" s="665"/>
      <c r="AJ24" s="681">
        <v>10</v>
      </c>
      <c r="AK24" s="682"/>
      <c r="AL24" s="677">
        <f t="shared" si="5"/>
        <v>0</v>
      </c>
      <c r="AM24" s="678"/>
      <c r="AN24" s="679">
        <f t="shared" si="2"/>
        <v>0</v>
      </c>
      <c r="AO24" s="680"/>
      <c r="AP24" s="676"/>
      <c r="AQ24" s="461"/>
      <c r="AT24" s="696">
        <f t="shared" si="3"/>
        <v>0</v>
      </c>
      <c r="AU24" s="697"/>
      <c r="AV24" s="696">
        <f t="shared" si="4"/>
        <v>0</v>
      </c>
      <c r="AW24" s="697"/>
    </row>
    <row r="25" spans="3:49" s="51" customFormat="1" ht="19" customHeight="1" x14ac:dyDescent="0.15">
      <c r="C25" s="698">
        <f t="shared" si="6"/>
        <v>515</v>
      </c>
      <c r="D25" s="699"/>
      <c r="E25" s="700"/>
      <c r="F25" s="700"/>
      <c r="G25" s="700"/>
      <c r="H25" s="700"/>
      <c r="I25" s="700"/>
      <c r="J25" s="700"/>
      <c r="K25" s="700"/>
      <c r="L25" s="700"/>
      <c r="M25" s="700"/>
      <c r="N25" s="309"/>
      <c r="O25" s="309" t="s">
        <v>116</v>
      </c>
      <c r="P25" s="310" t="s">
        <v>117</v>
      </c>
      <c r="Q25" s="687"/>
      <c r="R25" s="687"/>
      <c r="S25" s="311" t="s">
        <v>143</v>
      </c>
      <c r="T25" s="309"/>
      <c r="U25" s="309"/>
      <c r="V25" s="309"/>
      <c r="W25" s="664">
        <f t="shared" si="0"/>
        <v>0</v>
      </c>
      <c r="X25" s="664"/>
      <c r="Y25" s="664"/>
      <c r="Z25" s="665"/>
      <c r="AB25" s="663">
        <v>0</v>
      </c>
      <c r="AC25" s="664"/>
      <c r="AD25" s="665"/>
      <c r="AF25" s="663">
        <f t="shared" si="1"/>
        <v>0</v>
      </c>
      <c r="AG25" s="664"/>
      <c r="AH25" s="665"/>
      <c r="AJ25" s="681">
        <v>10</v>
      </c>
      <c r="AK25" s="682"/>
      <c r="AL25" s="677">
        <f t="shared" si="5"/>
        <v>0</v>
      </c>
      <c r="AM25" s="678"/>
      <c r="AN25" s="679">
        <f t="shared" si="2"/>
        <v>0</v>
      </c>
      <c r="AO25" s="680"/>
      <c r="AP25" s="676"/>
      <c r="AQ25" s="461"/>
      <c r="AT25" s="696">
        <f t="shared" si="3"/>
        <v>0</v>
      </c>
      <c r="AU25" s="697"/>
      <c r="AV25" s="696">
        <f t="shared" si="4"/>
        <v>0</v>
      </c>
      <c r="AW25" s="697"/>
    </row>
    <row r="26" spans="3:49" s="51" customFormat="1" ht="19" customHeight="1" x14ac:dyDescent="0.15">
      <c r="C26" s="698">
        <f t="shared" si="6"/>
        <v>516</v>
      </c>
      <c r="D26" s="699"/>
      <c r="E26" s="700"/>
      <c r="F26" s="700"/>
      <c r="G26" s="700"/>
      <c r="H26" s="700"/>
      <c r="I26" s="700"/>
      <c r="J26" s="700"/>
      <c r="K26" s="700"/>
      <c r="L26" s="700"/>
      <c r="M26" s="700"/>
      <c r="N26" s="309"/>
      <c r="O26" s="309" t="s">
        <v>116</v>
      </c>
      <c r="P26" s="310" t="s">
        <v>117</v>
      </c>
      <c r="Q26" s="687"/>
      <c r="R26" s="687"/>
      <c r="S26" s="311" t="s">
        <v>143</v>
      </c>
      <c r="T26" s="309"/>
      <c r="U26" s="309"/>
      <c r="V26" s="309"/>
      <c r="W26" s="664">
        <f t="shared" si="0"/>
        <v>0</v>
      </c>
      <c r="X26" s="664"/>
      <c r="Y26" s="664"/>
      <c r="Z26" s="665"/>
      <c r="AB26" s="663">
        <v>0</v>
      </c>
      <c r="AC26" s="664"/>
      <c r="AD26" s="665"/>
      <c r="AF26" s="663">
        <f t="shared" si="1"/>
        <v>0</v>
      </c>
      <c r="AG26" s="664"/>
      <c r="AH26" s="665"/>
      <c r="AJ26" s="681">
        <v>10</v>
      </c>
      <c r="AK26" s="682"/>
      <c r="AL26" s="677">
        <f t="shared" si="5"/>
        <v>0</v>
      </c>
      <c r="AM26" s="678"/>
      <c r="AN26" s="679">
        <f t="shared" si="2"/>
        <v>0</v>
      </c>
      <c r="AO26" s="680"/>
      <c r="AP26" s="676"/>
      <c r="AQ26" s="461"/>
      <c r="AT26" s="696">
        <f t="shared" si="3"/>
        <v>0</v>
      </c>
      <c r="AU26" s="697"/>
      <c r="AV26" s="696">
        <f t="shared" si="4"/>
        <v>0</v>
      </c>
      <c r="AW26" s="697"/>
    </row>
    <row r="27" spans="3:49" s="51" customFormat="1" ht="19" customHeight="1" x14ac:dyDescent="0.15">
      <c r="C27" s="698">
        <f t="shared" si="6"/>
        <v>517</v>
      </c>
      <c r="D27" s="699"/>
      <c r="E27" s="700"/>
      <c r="F27" s="700"/>
      <c r="G27" s="700"/>
      <c r="H27" s="700"/>
      <c r="I27" s="700"/>
      <c r="J27" s="700"/>
      <c r="K27" s="700"/>
      <c r="L27" s="700"/>
      <c r="M27" s="700"/>
      <c r="N27" s="309"/>
      <c r="O27" s="309" t="s">
        <v>116</v>
      </c>
      <c r="P27" s="310" t="s">
        <v>117</v>
      </c>
      <c r="Q27" s="687"/>
      <c r="R27" s="687"/>
      <c r="S27" s="311" t="s">
        <v>143</v>
      </c>
      <c r="T27" s="309"/>
      <c r="U27" s="309"/>
      <c r="V27" s="309"/>
      <c r="W27" s="664">
        <f t="shared" si="0"/>
        <v>0</v>
      </c>
      <c r="X27" s="664"/>
      <c r="Y27" s="664"/>
      <c r="Z27" s="665"/>
      <c r="AB27" s="663">
        <v>0</v>
      </c>
      <c r="AC27" s="664"/>
      <c r="AD27" s="665"/>
      <c r="AF27" s="663">
        <f t="shared" si="1"/>
        <v>0</v>
      </c>
      <c r="AG27" s="664"/>
      <c r="AH27" s="665"/>
      <c r="AJ27" s="681">
        <v>10</v>
      </c>
      <c r="AK27" s="682"/>
      <c r="AL27" s="677">
        <f t="shared" si="5"/>
        <v>0</v>
      </c>
      <c r="AM27" s="678"/>
      <c r="AN27" s="679">
        <f t="shared" si="2"/>
        <v>0</v>
      </c>
      <c r="AO27" s="680"/>
      <c r="AP27" s="676"/>
      <c r="AQ27" s="461"/>
      <c r="AT27" s="696">
        <f t="shared" si="3"/>
        <v>0</v>
      </c>
      <c r="AU27" s="697"/>
      <c r="AV27" s="696">
        <f t="shared" si="4"/>
        <v>0</v>
      </c>
      <c r="AW27" s="697"/>
    </row>
    <row r="28" spans="3:49" s="51" customFormat="1" ht="19" customHeight="1" x14ac:dyDescent="0.15">
      <c r="C28" s="698">
        <f t="shared" si="6"/>
        <v>518</v>
      </c>
      <c r="D28" s="699"/>
      <c r="E28" s="700"/>
      <c r="F28" s="700"/>
      <c r="G28" s="700"/>
      <c r="H28" s="700"/>
      <c r="I28" s="700"/>
      <c r="J28" s="700"/>
      <c r="K28" s="700"/>
      <c r="L28" s="700"/>
      <c r="M28" s="700"/>
      <c r="N28" s="309"/>
      <c r="O28" s="309" t="s">
        <v>116</v>
      </c>
      <c r="P28" s="310" t="s">
        <v>117</v>
      </c>
      <c r="Q28" s="687"/>
      <c r="R28" s="687"/>
      <c r="S28" s="311" t="s">
        <v>143</v>
      </c>
      <c r="T28" s="309"/>
      <c r="U28" s="309"/>
      <c r="V28" s="309"/>
      <c r="W28" s="664">
        <f t="shared" si="0"/>
        <v>0</v>
      </c>
      <c r="X28" s="664"/>
      <c r="Y28" s="664"/>
      <c r="Z28" s="665"/>
      <c r="AB28" s="663">
        <v>0</v>
      </c>
      <c r="AC28" s="664"/>
      <c r="AD28" s="665"/>
      <c r="AF28" s="663">
        <f t="shared" si="1"/>
        <v>0</v>
      </c>
      <c r="AG28" s="664"/>
      <c r="AH28" s="665"/>
      <c r="AJ28" s="681">
        <v>10</v>
      </c>
      <c r="AK28" s="682"/>
      <c r="AL28" s="677">
        <f t="shared" si="5"/>
        <v>0</v>
      </c>
      <c r="AM28" s="678"/>
      <c r="AN28" s="679">
        <f t="shared" si="2"/>
        <v>0</v>
      </c>
      <c r="AO28" s="680"/>
      <c r="AP28" s="676"/>
      <c r="AQ28" s="461"/>
      <c r="AT28" s="696">
        <f t="shared" si="3"/>
        <v>0</v>
      </c>
      <c r="AU28" s="697"/>
      <c r="AV28" s="696">
        <f t="shared" si="4"/>
        <v>0</v>
      </c>
      <c r="AW28" s="697"/>
    </row>
    <row r="29" spans="3:49" s="51" customFormat="1" ht="19" customHeight="1" x14ac:dyDescent="0.15">
      <c r="C29" s="698">
        <f t="shared" si="6"/>
        <v>519</v>
      </c>
      <c r="D29" s="699"/>
      <c r="E29" s="700"/>
      <c r="F29" s="700"/>
      <c r="G29" s="700"/>
      <c r="H29" s="700"/>
      <c r="I29" s="700"/>
      <c r="J29" s="700"/>
      <c r="K29" s="700"/>
      <c r="L29" s="700"/>
      <c r="M29" s="700"/>
      <c r="N29" s="309"/>
      <c r="O29" s="309" t="s">
        <v>116</v>
      </c>
      <c r="P29" s="310" t="s">
        <v>117</v>
      </c>
      <c r="Q29" s="687"/>
      <c r="R29" s="687"/>
      <c r="S29" s="311" t="s">
        <v>143</v>
      </c>
      <c r="T29" s="309"/>
      <c r="U29" s="309"/>
      <c r="V29" s="309"/>
      <c r="W29" s="664">
        <f t="shared" si="0"/>
        <v>0</v>
      </c>
      <c r="X29" s="664"/>
      <c r="Y29" s="664"/>
      <c r="Z29" s="665"/>
      <c r="AB29" s="663">
        <v>0</v>
      </c>
      <c r="AC29" s="664"/>
      <c r="AD29" s="665"/>
      <c r="AF29" s="663">
        <f t="shared" si="1"/>
        <v>0</v>
      </c>
      <c r="AG29" s="664"/>
      <c r="AH29" s="665"/>
      <c r="AJ29" s="681">
        <v>10</v>
      </c>
      <c r="AK29" s="682"/>
      <c r="AL29" s="677">
        <f t="shared" si="5"/>
        <v>0</v>
      </c>
      <c r="AM29" s="678"/>
      <c r="AN29" s="679">
        <f t="shared" si="2"/>
        <v>0</v>
      </c>
      <c r="AO29" s="680"/>
      <c r="AP29" s="676"/>
      <c r="AQ29" s="461"/>
      <c r="AT29" s="696">
        <f t="shared" si="3"/>
        <v>0</v>
      </c>
      <c r="AU29" s="697"/>
      <c r="AV29" s="696">
        <f t="shared" si="4"/>
        <v>0</v>
      </c>
      <c r="AW29" s="697"/>
    </row>
    <row r="30" spans="3:49" s="51" customFormat="1" ht="19" customHeight="1" x14ac:dyDescent="0.15">
      <c r="C30" s="698">
        <f t="shared" si="6"/>
        <v>520</v>
      </c>
      <c r="D30" s="699"/>
      <c r="E30" s="700"/>
      <c r="F30" s="700"/>
      <c r="G30" s="700"/>
      <c r="H30" s="700"/>
      <c r="I30" s="700"/>
      <c r="J30" s="700"/>
      <c r="K30" s="700"/>
      <c r="L30" s="700"/>
      <c r="M30" s="700"/>
      <c r="N30" s="309"/>
      <c r="O30" s="309" t="s">
        <v>116</v>
      </c>
      <c r="P30" s="310" t="s">
        <v>117</v>
      </c>
      <c r="Q30" s="687"/>
      <c r="R30" s="687"/>
      <c r="S30" s="311" t="s">
        <v>143</v>
      </c>
      <c r="T30" s="309"/>
      <c r="U30" s="309"/>
      <c r="V30" s="309"/>
      <c r="W30" s="664">
        <f t="shared" si="0"/>
        <v>0</v>
      </c>
      <c r="X30" s="664"/>
      <c r="Y30" s="664"/>
      <c r="Z30" s="665"/>
      <c r="AB30" s="663">
        <v>0</v>
      </c>
      <c r="AC30" s="664"/>
      <c r="AD30" s="665"/>
      <c r="AF30" s="663">
        <f t="shared" si="1"/>
        <v>0</v>
      </c>
      <c r="AG30" s="664"/>
      <c r="AH30" s="665"/>
      <c r="AJ30" s="681">
        <v>10</v>
      </c>
      <c r="AK30" s="682"/>
      <c r="AL30" s="677">
        <f t="shared" si="5"/>
        <v>0</v>
      </c>
      <c r="AM30" s="678"/>
      <c r="AN30" s="679">
        <f t="shared" si="2"/>
        <v>0</v>
      </c>
      <c r="AO30" s="680"/>
      <c r="AP30" s="676"/>
      <c r="AQ30" s="461"/>
      <c r="AT30" s="696">
        <f t="shared" si="3"/>
        <v>0</v>
      </c>
      <c r="AU30" s="697"/>
      <c r="AV30" s="696">
        <f t="shared" si="4"/>
        <v>0</v>
      </c>
      <c r="AW30" s="697"/>
    </row>
    <row r="31" spans="3:49" s="51" customFormat="1" ht="19" customHeight="1" x14ac:dyDescent="0.15">
      <c r="C31" s="698">
        <f t="shared" si="6"/>
        <v>521</v>
      </c>
      <c r="D31" s="699"/>
      <c r="E31" s="700"/>
      <c r="F31" s="700"/>
      <c r="G31" s="700"/>
      <c r="H31" s="700"/>
      <c r="I31" s="700"/>
      <c r="J31" s="700"/>
      <c r="K31" s="700"/>
      <c r="L31" s="700"/>
      <c r="M31" s="700"/>
      <c r="N31" s="309"/>
      <c r="O31" s="309" t="s">
        <v>116</v>
      </c>
      <c r="P31" s="310" t="s">
        <v>117</v>
      </c>
      <c r="Q31" s="687"/>
      <c r="R31" s="687"/>
      <c r="S31" s="311" t="s">
        <v>143</v>
      </c>
      <c r="T31" s="309"/>
      <c r="U31" s="309"/>
      <c r="V31" s="309"/>
      <c r="W31" s="664">
        <f t="shared" si="0"/>
        <v>0</v>
      </c>
      <c r="X31" s="664"/>
      <c r="Y31" s="664"/>
      <c r="Z31" s="665"/>
      <c r="AB31" s="663">
        <v>0</v>
      </c>
      <c r="AC31" s="664"/>
      <c r="AD31" s="665"/>
      <c r="AF31" s="663">
        <f t="shared" si="1"/>
        <v>0</v>
      </c>
      <c r="AG31" s="664"/>
      <c r="AH31" s="665"/>
      <c r="AJ31" s="681">
        <v>10</v>
      </c>
      <c r="AK31" s="682"/>
      <c r="AL31" s="677">
        <f t="shared" si="5"/>
        <v>0</v>
      </c>
      <c r="AM31" s="678"/>
      <c r="AN31" s="679">
        <f t="shared" si="2"/>
        <v>0</v>
      </c>
      <c r="AO31" s="680"/>
      <c r="AP31" s="676"/>
      <c r="AQ31" s="461"/>
      <c r="AT31" s="696">
        <f t="shared" si="3"/>
        <v>0</v>
      </c>
      <c r="AU31" s="697"/>
      <c r="AV31" s="696">
        <f t="shared" si="4"/>
        <v>0</v>
      </c>
      <c r="AW31" s="697"/>
    </row>
    <row r="32" spans="3:49" s="51" customFormat="1" ht="19" customHeight="1" x14ac:dyDescent="0.15">
      <c r="C32" s="698">
        <f t="shared" si="6"/>
        <v>522</v>
      </c>
      <c r="D32" s="699"/>
      <c r="E32" s="700"/>
      <c r="F32" s="700"/>
      <c r="G32" s="700"/>
      <c r="H32" s="700"/>
      <c r="I32" s="700"/>
      <c r="J32" s="700"/>
      <c r="K32" s="700"/>
      <c r="L32" s="700"/>
      <c r="M32" s="700"/>
      <c r="N32" s="309"/>
      <c r="O32" s="309" t="s">
        <v>116</v>
      </c>
      <c r="P32" s="310" t="s">
        <v>117</v>
      </c>
      <c r="Q32" s="687"/>
      <c r="R32" s="687"/>
      <c r="S32" s="311" t="s">
        <v>143</v>
      </c>
      <c r="T32" s="309"/>
      <c r="U32" s="309"/>
      <c r="V32" s="309"/>
      <c r="W32" s="664">
        <f t="shared" si="0"/>
        <v>0</v>
      </c>
      <c r="X32" s="664"/>
      <c r="Y32" s="664"/>
      <c r="Z32" s="665"/>
      <c r="AB32" s="663">
        <v>0</v>
      </c>
      <c r="AC32" s="664"/>
      <c r="AD32" s="665"/>
      <c r="AF32" s="663">
        <f t="shared" si="1"/>
        <v>0</v>
      </c>
      <c r="AG32" s="664"/>
      <c r="AH32" s="665"/>
      <c r="AJ32" s="681">
        <v>10</v>
      </c>
      <c r="AK32" s="682"/>
      <c r="AL32" s="677">
        <f t="shared" si="5"/>
        <v>0</v>
      </c>
      <c r="AM32" s="678"/>
      <c r="AN32" s="679">
        <f t="shared" si="2"/>
        <v>0</v>
      </c>
      <c r="AO32" s="680"/>
      <c r="AP32" s="676"/>
      <c r="AQ32" s="461"/>
      <c r="AT32" s="696">
        <f t="shared" si="3"/>
        <v>0</v>
      </c>
      <c r="AU32" s="697"/>
      <c r="AV32" s="696">
        <f t="shared" si="4"/>
        <v>0</v>
      </c>
      <c r="AW32" s="697"/>
    </row>
    <row r="33" spans="3:49" s="51" customFormat="1" ht="19" customHeight="1" x14ac:dyDescent="0.15">
      <c r="C33" s="698">
        <f t="shared" si="6"/>
        <v>523</v>
      </c>
      <c r="D33" s="699"/>
      <c r="E33" s="700"/>
      <c r="F33" s="700"/>
      <c r="G33" s="700"/>
      <c r="H33" s="700"/>
      <c r="I33" s="700"/>
      <c r="J33" s="700"/>
      <c r="K33" s="700"/>
      <c r="L33" s="700"/>
      <c r="M33" s="700"/>
      <c r="N33" s="309"/>
      <c r="O33" s="309" t="s">
        <v>116</v>
      </c>
      <c r="P33" s="310" t="s">
        <v>117</v>
      </c>
      <c r="Q33" s="687"/>
      <c r="R33" s="687"/>
      <c r="S33" s="311" t="s">
        <v>143</v>
      </c>
      <c r="T33" s="309"/>
      <c r="U33" s="309"/>
      <c r="V33" s="309"/>
      <c r="W33" s="664">
        <f t="shared" si="0"/>
        <v>0</v>
      </c>
      <c r="X33" s="664"/>
      <c r="Y33" s="664"/>
      <c r="Z33" s="665"/>
      <c r="AB33" s="663">
        <v>0</v>
      </c>
      <c r="AC33" s="664"/>
      <c r="AD33" s="665"/>
      <c r="AF33" s="663">
        <f t="shared" si="1"/>
        <v>0</v>
      </c>
      <c r="AG33" s="664"/>
      <c r="AH33" s="665"/>
      <c r="AJ33" s="681">
        <v>8</v>
      </c>
      <c r="AK33" s="682"/>
      <c r="AL33" s="677">
        <f t="shared" si="5"/>
        <v>0</v>
      </c>
      <c r="AM33" s="678"/>
      <c r="AN33" s="679">
        <f t="shared" si="2"/>
        <v>0</v>
      </c>
      <c r="AO33" s="680"/>
      <c r="AP33" s="676"/>
      <c r="AQ33" s="461"/>
      <c r="AT33" s="696">
        <f t="shared" si="3"/>
        <v>0</v>
      </c>
      <c r="AU33" s="697"/>
      <c r="AV33" s="696">
        <f t="shared" si="4"/>
        <v>0</v>
      </c>
      <c r="AW33" s="697"/>
    </row>
    <row r="34" spans="3:49" s="51" customFormat="1" ht="19" customHeight="1" x14ac:dyDescent="0.15">
      <c r="C34" s="698">
        <f t="shared" si="6"/>
        <v>524</v>
      </c>
      <c r="D34" s="699"/>
      <c r="E34" s="700"/>
      <c r="F34" s="700"/>
      <c r="G34" s="700"/>
      <c r="H34" s="700"/>
      <c r="I34" s="700"/>
      <c r="J34" s="700"/>
      <c r="K34" s="700"/>
      <c r="L34" s="700"/>
      <c r="M34" s="700"/>
      <c r="N34" s="309"/>
      <c r="O34" s="309" t="s">
        <v>116</v>
      </c>
      <c r="P34" s="310" t="s">
        <v>117</v>
      </c>
      <c r="Q34" s="687"/>
      <c r="R34" s="687"/>
      <c r="S34" s="311" t="s">
        <v>143</v>
      </c>
      <c r="T34" s="309"/>
      <c r="U34" s="309"/>
      <c r="V34" s="309"/>
      <c r="W34" s="664">
        <f t="shared" si="0"/>
        <v>0</v>
      </c>
      <c r="X34" s="664"/>
      <c r="Y34" s="664"/>
      <c r="Z34" s="665"/>
      <c r="AB34" s="663">
        <v>0</v>
      </c>
      <c r="AC34" s="664"/>
      <c r="AD34" s="665"/>
      <c r="AF34" s="663">
        <f t="shared" si="1"/>
        <v>0</v>
      </c>
      <c r="AG34" s="664"/>
      <c r="AH34" s="665"/>
      <c r="AJ34" s="681">
        <v>8</v>
      </c>
      <c r="AK34" s="682"/>
      <c r="AL34" s="677">
        <f t="shared" si="5"/>
        <v>0</v>
      </c>
      <c r="AM34" s="678"/>
      <c r="AN34" s="679">
        <f t="shared" si="2"/>
        <v>0</v>
      </c>
      <c r="AO34" s="680"/>
      <c r="AP34" s="676"/>
      <c r="AQ34" s="461"/>
      <c r="AT34" s="696">
        <f t="shared" si="3"/>
        <v>0</v>
      </c>
      <c r="AU34" s="697"/>
      <c r="AV34" s="696">
        <f t="shared" si="4"/>
        <v>0</v>
      </c>
      <c r="AW34" s="697"/>
    </row>
    <row r="35" spans="3:49" s="51" customFormat="1" ht="19" customHeight="1" x14ac:dyDescent="0.15">
      <c r="C35" s="698">
        <f t="shared" si="6"/>
        <v>525</v>
      </c>
      <c r="D35" s="699"/>
      <c r="E35" s="700"/>
      <c r="F35" s="700"/>
      <c r="G35" s="700"/>
      <c r="H35" s="700"/>
      <c r="I35" s="700"/>
      <c r="J35" s="700"/>
      <c r="K35" s="700"/>
      <c r="L35" s="700"/>
      <c r="M35" s="700"/>
      <c r="N35" s="309"/>
      <c r="O35" s="309" t="s">
        <v>116</v>
      </c>
      <c r="P35" s="310" t="s">
        <v>117</v>
      </c>
      <c r="Q35" s="687"/>
      <c r="R35" s="687"/>
      <c r="S35" s="311" t="s">
        <v>143</v>
      </c>
      <c r="T35" s="309"/>
      <c r="U35" s="309"/>
      <c r="V35" s="309"/>
      <c r="W35" s="664">
        <f t="shared" si="0"/>
        <v>0</v>
      </c>
      <c r="X35" s="664"/>
      <c r="Y35" s="664"/>
      <c r="Z35" s="665"/>
      <c r="AB35" s="663">
        <v>0</v>
      </c>
      <c r="AC35" s="664"/>
      <c r="AD35" s="665"/>
      <c r="AF35" s="663">
        <f t="shared" si="1"/>
        <v>0</v>
      </c>
      <c r="AG35" s="664"/>
      <c r="AH35" s="665"/>
      <c r="AJ35" s="681">
        <v>8</v>
      </c>
      <c r="AK35" s="682"/>
      <c r="AL35" s="677">
        <f t="shared" si="5"/>
        <v>0</v>
      </c>
      <c r="AM35" s="678"/>
      <c r="AN35" s="679">
        <f t="shared" si="2"/>
        <v>0</v>
      </c>
      <c r="AO35" s="680"/>
      <c r="AP35" s="676"/>
      <c r="AQ35" s="461"/>
      <c r="AT35" s="696">
        <f t="shared" si="3"/>
        <v>0</v>
      </c>
      <c r="AU35" s="697"/>
      <c r="AV35" s="696">
        <f t="shared" si="4"/>
        <v>0</v>
      </c>
      <c r="AW35" s="697"/>
    </row>
    <row r="36" spans="3:49" s="51" customFormat="1" ht="19" customHeight="1" x14ac:dyDescent="0.15">
      <c r="C36" s="698">
        <f t="shared" si="6"/>
        <v>526</v>
      </c>
      <c r="D36" s="699"/>
      <c r="E36" s="701"/>
      <c r="F36" s="701"/>
      <c r="G36" s="701"/>
      <c r="H36" s="701"/>
      <c r="I36" s="701"/>
      <c r="J36" s="701"/>
      <c r="K36" s="701"/>
      <c r="L36" s="701"/>
      <c r="M36" s="701"/>
      <c r="N36" s="309"/>
      <c r="O36" s="309" t="s">
        <v>116</v>
      </c>
      <c r="P36" s="310" t="s">
        <v>117</v>
      </c>
      <c r="Q36" s="687"/>
      <c r="R36" s="687"/>
      <c r="S36" s="311" t="s">
        <v>143</v>
      </c>
      <c r="T36" s="309"/>
      <c r="U36" s="309"/>
      <c r="V36" s="309"/>
      <c r="W36" s="664">
        <f t="shared" si="0"/>
        <v>0</v>
      </c>
      <c r="X36" s="664"/>
      <c r="Y36" s="664"/>
      <c r="Z36" s="665"/>
      <c r="AB36" s="663">
        <v>0</v>
      </c>
      <c r="AC36" s="664"/>
      <c r="AD36" s="665"/>
      <c r="AF36" s="663">
        <f t="shared" si="1"/>
        <v>0</v>
      </c>
      <c r="AG36" s="664"/>
      <c r="AH36" s="665"/>
      <c r="AJ36" s="681">
        <v>8</v>
      </c>
      <c r="AK36" s="682"/>
      <c r="AL36" s="677">
        <f t="shared" si="5"/>
        <v>0</v>
      </c>
      <c r="AM36" s="678"/>
      <c r="AN36" s="679">
        <f t="shared" si="2"/>
        <v>0</v>
      </c>
      <c r="AO36" s="680"/>
      <c r="AP36" s="676"/>
      <c r="AQ36" s="461"/>
      <c r="AT36" s="696">
        <f t="shared" si="3"/>
        <v>0</v>
      </c>
      <c r="AU36" s="697"/>
      <c r="AV36" s="696">
        <f t="shared" si="4"/>
        <v>0</v>
      </c>
      <c r="AW36" s="697"/>
    </row>
    <row r="37" spans="3:49" s="51" customFormat="1" ht="19" customHeight="1" x14ac:dyDescent="0.15">
      <c r="C37" s="698">
        <f t="shared" si="6"/>
        <v>527</v>
      </c>
      <c r="D37" s="699"/>
      <c r="E37" s="700"/>
      <c r="F37" s="700"/>
      <c r="G37" s="700"/>
      <c r="H37" s="700"/>
      <c r="I37" s="700"/>
      <c r="J37" s="700"/>
      <c r="K37" s="700"/>
      <c r="L37" s="700"/>
      <c r="M37" s="700"/>
      <c r="N37" s="309"/>
      <c r="O37" s="309" t="s">
        <v>116</v>
      </c>
      <c r="P37" s="310" t="s">
        <v>117</v>
      </c>
      <c r="Q37" s="687"/>
      <c r="R37" s="687"/>
      <c r="S37" s="311" t="s">
        <v>143</v>
      </c>
      <c r="T37" s="309"/>
      <c r="U37" s="309"/>
      <c r="V37" s="309"/>
      <c r="W37" s="664">
        <f t="shared" si="0"/>
        <v>0</v>
      </c>
      <c r="X37" s="664"/>
      <c r="Y37" s="664"/>
      <c r="Z37" s="665"/>
      <c r="AB37" s="663">
        <v>0</v>
      </c>
      <c r="AC37" s="664"/>
      <c r="AD37" s="665"/>
      <c r="AF37" s="663">
        <f t="shared" si="1"/>
        <v>0</v>
      </c>
      <c r="AG37" s="664"/>
      <c r="AH37" s="665"/>
      <c r="AJ37" s="681">
        <v>8</v>
      </c>
      <c r="AK37" s="682"/>
      <c r="AL37" s="677">
        <f t="shared" si="5"/>
        <v>0</v>
      </c>
      <c r="AM37" s="678"/>
      <c r="AN37" s="679">
        <f t="shared" si="2"/>
        <v>0</v>
      </c>
      <c r="AO37" s="680"/>
      <c r="AP37" s="676"/>
      <c r="AQ37" s="461"/>
      <c r="AT37" s="696">
        <f t="shared" si="3"/>
        <v>0</v>
      </c>
      <c r="AU37" s="697"/>
      <c r="AV37" s="696">
        <f t="shared" si="4"/>
        <v>0</v>
      </c>
      <c r="AW37" s="697"/>
    </row>
    <row r="38" spans="3:49" s="51" customFormat="1" ht="19" customHeight="1" x14ac:dyDescent="0.15">
      <c r="C38" s="698">
        <f t="shared" si="6"/>
        <v>528</v>
      </c>
      <c r="D38" s="699"/>
      <c r="E38" s="700"/>
      <c r="F38" s="700"/>
      <c r="G38" s="700"/>
      <c r="H38" s="700"/>
      <c r="I38" s="700"/>
      <c r="J38" s="700"/>
      <c r="K38" s="700"/>
      <c r="L38" s="700"/>
      <c r="M38" s="700"/>
      <c r="N38" s="309"/>
      <c r="O38" s="309" t="s">
        <v>116</v>
      </c>
      <c r="P38" s="310" t="s">
        <v>117</v>
      </c>
      <c r="Q38" s="687"/>
      <c r="R38" s="687"/>
      <c r="S38" s="311" t="s">
        <v>143</v>
      </c>
      <c r="T38" s="309"/>
      <c r="U38" s="309"/>
      <c r="V38" s="309"/>
      <c r="W38" s="664">
        <f t="shared" si="0"/>
        <v>0</v>
      </c>
      <c r="X38" s="664"/>
      <c r="Y38" s="664"/>
      <c r="Z38" s="665"/>
      <c r="AB38" s="663">
        <v>0</v>
      </c>
      <c r="AC38" s="664"/>
      <c r="AD38" s="665"/>
      <c r="AF38" s="663">
        <f t="shared" si="1"/>
        <v>0</v>
      </c>
      <c r="AG38" s="664"/>
      <c r="AH38" s="665"/>
      <c r="AJ38" s="681">
        <v>10</v>
      </c>
      <c r="AK38" s="682"/>
      <c r="AL38" s="677">
        <f t="shared" si="5"/>
        <v>0</v>
      </c>
      <c r="AM38" s="678"/>
      <c r="AN38" s="679">
        <f t="shared" si="2"/>
        <v>0</v>
      </c>
      <c r="AO38" s="680"/>
      <c r="AP38" s="676"/>
      <c r="AQ38" s="461"/>
      <c r="AT38" s="696">
        <f t="shared" si="3"/>
        <v>0</v>
      </c>
      <c r="AU38" s="697"/>
      <c r="AV38" s="696">
        <f t="shared" si="4"/>
        <v>0</v>
      </c>
      <c r="AW38" s="697"/>
    </row>
    <row r="39" spans="3:49" s="51" customFormat="1" ht="19" customHeight="1" x14ac:dyDescent="0.15">
      <c r="C39" s="698">
        <f t="shared" si="6"/>
        <v>529</v>
      </c>
      <c r="D39" s="699"/>
      <c r="E39" s="700"/>
      <c r="F39" s="700"/>
      <c r="G39" s="700"/>
      <c r="H39" s="700"/>
      <c r="I39" s="700"/>
      <c r="J39" s="700"/>
      <c r="K39" s="700"/>
      <c r="L39" s="700"/>
      <c r="M39" s="700"/>
      <c r="N39" s="309"/>
      <c r="O39" s="309" t="s">
        <v>116</v>
      </c>
      <c r="P39" s="310" t="s">
        <v>117</v>
      </c>
      <c r="Q39" s="687"/>
      <c r="R39" s="687"/>
      <c r="S39" s="311" t="s">
        <v>143</v>
      </c>
      <c r="T39" s="309"/>
      <c r="U39" s="309"/>
      <c r="V39" s="309"/>
      <c r="W39" s="664">
        <f t="shared" si="0"/>
        <v>0</v>
      </c>
      <c r="X39" s="664"/>
      <c r="Y39" s="664"/>
      <c r="Z39" s="665"/>
      <c r="AB39" s="663">
        <v>0</v>
      </c>
      <c r="AC39" s="664"/>
      <c r="AD39" s="665"/>
      <c r="AF39" s="663">
        <f t="shared" si="1"/>
        <v>0</v>
      </c>
      <c r="AG39" s="664"/>
      <c r="AH39" s="665"/>
      <c r="AJ39" s="681">
        <v>10</v>
      </c>
      <c r="AK39" s="682"/>
      <c r="AL39" s="677">
        <f t="shared" si="5"/>
        <v>0</v>
      </c>
      <c r="AM39" s="678"/>
      <c r="AN39" s="679">
        <f t="shared" si="2"/>
        <v>0</v>
      </c>
      <c r="AO39" s="680"/>
      <c r="AP39" s="676"/>
      <c r="AQ39" s="461"/>
      <c r="AT39" s="696">
        <f t="shared" si="3"/>
        <v>0</v>
      </c>
      <c r="AU39" s="697"/>
      <c r="AV39" s="696">
        <f t="shared" si="4"/>
        <v>0</v>
      </c>
      <c r="AW39" s="697"/>
    </row>
    <row r="40" spans="3:49" s="51" customFormat="1" ht="19" customHeight="1" x14ac:dyDescent="0.15">
      <c r="C40" s="698">
        <f t="shared" si="6"/>
        <v>530</v>
      </c>
      <c r="D40" s="699"/>
      <c r="E40" s="700"/>
      <c r="F40" s="700"/>
      <c r="G40" s="700"/>
      <c r="H40" s="700"/>
      <c r="I40" s="700"/>
      <c r="J40" s="700"/>
      <c r="K40" s="700"/>
      <c r="L40" s="700"/>
      <c r="M40" s="700"/>
      <c r="N40" s="309"/>
      <c r="O40" s="309" t="s">
        <v>116</v>
      </c>
      <c r="P40" s="310" t="s">
        <v>117</v>
      </c>
      <c r="Q40" s="687"/>
      <c r="R40" s="687"/>
      <c r="S40" s="311" t="s">
        <v>143</v>
      </c>
      <c r="T40" s="309"/>
      <c r="U40" s="309"/>
      <c r="V40" s="309"/>
      <c r="W40" s="664">
        <f t="shared" si="0"/>
        <v>0</v>
      </c>
      <c r="X40" s="664"/>
      <c r="Y40" s="664"/>
      <c r="Z40" s="665"/>
      <c r="AB40" s="663">
        <v>0</v>
      </c>
      <c r="AC40" s="664"/>
      <c r="AD40" s="665"/>
      <c r="AF40" s="663">
        <f t="shared" si="1"/>
        <v>0</v>
      </c>
      <c r="AG40" s="664"/>
      <c r="AH40" s="665"/>
      <c r="AJ40" s="681">
        <v>10</v>
      </c>
      <c r="AK40" s="682"/>
      <c r="AL40" s="677">
        <f t="shared" si="5"/>
        <v>0</v>
      </c>
      <c r="AM40" s="678"/>
      <c r="AN40" s="679">
        <f t="shared" si="2"/>
        <v>0</v>
      </c>
      <c r="AO40" s="680"/>
      <c r="AP40" s="676"/>
      <c r="AQ40" s="461"/>
      <c r="AT40" s="696">
        <f t="shared" si="3"/>
        <v>0</v>
      </c>
      <c r="AU40" s="697"/>
      <c r="AV40" s="696">
        <f t="shared" si="4"/>
        <v>0</v>
      </c>
      <c r="AW40" s="697"/>
    </row>
    <row r="41" spans="3:49" s="51" customFormat="1" ht="19" customHeight="1" x14ac:dyDescent="0.15">
      <c r="C41" s="698">
        <f t="shared" si="6"/>
        <v>531</v>
      </c>
      <c r="D41" s="699"/>
      <c r="E41" s="700"/>
      <c r="F41" s="700"/>
      <c r="G41" s="700"/>
      <c r="H41" s="700"/>
      <c r="I41" s="700"/>
      <c r="J41" s="700"/>
      <c r="K41" s="700"/>
      <c r="L41" s="700"/>
      <c r="M41" s="700"/>
      <c r="N41" s="309"/>
      <c r="O41" s="309" t="s">
        <v>116</v>
      </c>
      <c r="P41" s="310" t="s">
        <v>117</v>
      </c>
      <c r="Q41" s="687"/>
      <c r="R41" s="687"/>
      <c r="S41" s="311" t="s">
        <v>143</v>
      </c>
      <c r="T41" s="309"/>
      <c r="U41" s="309"/>
      <c r="V41" s="309"/>
      <c r="W41" s="664">
        <f t="shared" si="0"/>
        <v>0</v>
      </c>
      <c r="X41" s="664"/>
      <c r="Y41" s="664"/>
      <c r="Z41" s="665"/>
      <c r="AB41" s="663">
        <v>0</v>
      </c>
      <c r="AC41" s="664"/>
      <c r="AD41" s="665"/>
      <c r="AF41" s="663">
        <f t="shared" si="1"/>
        <v>0</v>
      </c>
      <c r="AG41" s="664"/>
      <c r="AH41" s="665"/>
      <c r="AJ41" s="681">
        <v>10</v>
      </c>
      <c r="AK41" s="682"/>
      <c r="AL41" s="677">
        <f t="shared" si="5"/>
        <v>0</v>
      </c>
      <c r="AM41" s="678"/>
      <c r="AN41" s="679">
        <f t="shared" si="2"/>
        <v>0</v>
      </c>
      <c r="AO41" s="680"/>
      <c r="AP41" s="676"/>
      <c r="AQ41" s="461"/>
      <c r="AT41" s="696">
        <f t="shared" si="3"/>
        <v>0</v>
      </c>
      <c r="AU41" s="697"/>
      <c r="AV41" s="696">
        <f t="shared" si="4"/>
        <v>0</v>
      </c>
      <c r="AW41" s="697"/>
    </row>
    <row r="42" spans="3:49" s="51" customFormat="1" ht="19" customHeight="1" x14ac:dyDescent="0.15">
      <c r="C42" s="698">
        <f t="shared" si="6"/>
        <v>532</v>
      </c>
      <c r="D42" s="699"/>
      <c r="E42" s="700"/>
      <c r="F42" s="700"/>
      <c r="G42" s="700"/>
      <c r="H42" s="700"/>
      <c r="I42" s="700"/>
      <c r="J42" s="700"/>
      <c r="K42" s="700"/>
      <c r="L42" s="700"/>
      <c r="M42" s="700"/>
      <c r="N42" s="309"/>
      <c r="O42" s="309" t="s">
        <v>116</v>
      </c>
      <c r="P42" s="310" t="s">
        <v>117</v>
      </c>
      <c r="Q42" s="687"/>
      <c r="R42" s="687"/>
      <c r="S42" s="311" t="s">
        <v>143</v>
      </c>
      <c r="T42" s="309"/>
      <c r="U42" s="309"/>
      <c r="V42" s="309"/>
      <c r="W42" s="664">
        <f t="shared" si="0"/>
        <v>0</v>
      </c>
      <c r="X42" s="664"/>
      <c r="Y42" s="664"/>
      <c r="Z42" s="665"/>
      <c r="AB42" s="663">
        <v>0</v>
      </c>
      <c r="AC42" s="664"/>
      <c r="AD42" s="665"/>
      <c r="AF42" s="663">
        <f t="shared" si="1"/>
        <v>0</v>
      </c>
      <c r="AG42" s="664"/>
      <c r="AH42" s="665"/>
      <c r="AJ42" s="681">
        <v>10</v>
      </c>
      <c r="AK42" s="682"/>
      <c r="AL42" s="677">
        <f t="shared" si="5"/>
        <v>0</v>
      </c>
      <c r="AM42" s="678"/>
      <c r="AN42" s="679">
        <f t="shared" si="2"/>
        <v>0</v>
      </c>
      <c r="AO42" s="680"/>
      <c r="AP42" s="676"/>
      <c r="AQ42" s="461"/>
      <c r="AT42" s="696">
        <f t="shared" si="3"/>
        <v>0</v>
      </c>
      <c r="AU42" s="697"/>
      <c r="AV42" s="696">
        <f t="shared" si="4"/>
        <v>0</v>
      </c>
      <c r="AW42" s="697"/>
    </row>
    <row r="43" spans="3:49" s="51" customFormat="1" ht="19" customHeight="1" x14ac:dyDescent="0.15">
      <c r="C43" s="698">
        <f t="shared" si="6"/>
        <v>533</v>
      </c>
      <c r="D43" s="699"/>
      <c r="E43" s="700"/>
      <c r="F43" s="700"/>
      <c r="G43" s="700"/>
      <c r="H43" s="700"/>
      <c r="I43" s="700"/>
      <c r="J43" s="700"/>
      <c r="K43" s="700"/>
      <c r="L43" s="700"/>
      <c r="M43" s="700"/>
      <c r="N43" s="309"/>
      <c r="O43" s="309" t="s">
        <v>116</v>
      </c>
      <c r="P43" s="310" t="s">
        <v>117</v>
      </c>
      <c r="Q43" s="687"/>
      <c r="R43" s="687"/>
      <c r="S43" s="311" t="s">
        <v>143</v>
      </c>
      <c r="T43" s="309"/>
      <c r="U43" s="309"/>
      <c r="V43" s="309"/>
      <c r="W43" s="664">
        <f t="shared" si="0"/>
        <v>0</v>
      </c>
      <c r="X43" s="664"/>
      <c r="Y43" s="664"/>
      <c r="Z43" s="665"/>
      <c r="AB43" s="663">
        <v>0</v>
      </c>
      <c r="AC43" s="664"/>
      <c r="AD43" s="665"/>
      <c r="AF43" s="663">
        <f t="shared" si="1"/>
        <v>0</v>
      </c>
      <c r="AG43" s="664"/>
      <c r="AH43" s="665"/>
      <c r="AJ43" s="681">
        <v>10</v>
      </c>
      <c r="AK43" s="682"/>
      <c r="AL43" s="677">
        <f t="shared" si="5"/>
        <v>0</v>
      </c>
      <c r="AM43" s="678"/>
      <c r="AN43" s="679">
        <f t="shared" si="2"/>
        <v>0</v>
      </c>
      <c r="AO43" s="680"/>
      <c r="AP43" s="676"/>
      <c r="AQ43" s="461"/>
      <c r="AT43" s="696">
        <f t="shared" ref="AT43:AT60" si="7">AL43*ThisSheetState</f>
        <v>0</v>
      </c>
      <c r="AU43" s="697"/>
      <c r="AV43" s="696">
        <f t="shared" ref="AV43:AV60" si="8">(AJ43-ThisSheetState)*AN43</f>
        <v>0</v>
      </c>
      <c r="AW43" s="697"/>
    </row>
    <row r="44" spans="3:49" s="51" customFormat="1" ht="19" customHeight="1" x14ac:dyDescent="0.15">
      <c r="C44" s="698">
        <f t="shared" si="6"/>
        <v>534</v>
      </c>
      <c r="D44" s="699"/>
      <c r="E44" s="700"/>
      <c r="F44" s="700"/>
      <c r="G44" s="700"/>
      <c r="H44" s="700"/>
      <c r="I44" s="700"/>
      <c r="J44" s="700"/>
      <c r="K44" s="700"/>
      <c r="L44" s="700"/>
      <c r="M44" s="700"/>
      <c r="N44" s="309"/>
      <c r="O44" s="309" t="s">
        <v>116</v>
      </c>
      <c r="P44" s="310" t="s">
        <v>117</v>
      </c>
      <c r="Q44" s="687"/>
      <c r="R44" s="687"/>
      <c r="S44" s="311" t="s">
        <v>143</v>
      </c>
      <c r="T44" s="309"/>
      <c r="U44" s="309"/>
      <c r="V44" s="309"/>
      <c r="W44" s="664">
        <f t="shared" si="0"/>
        <v>0</v>
      </c>
      <c r="X44" s="664"/>
      <c r="Y44" s="664"/>
      <c r="Z44" s="665"/>
      <c r="AB44" s="663">
        <v>0</v>
      </c>
      <c r="AC44" s="664"/>
      <c r="AD44" s="665"/>
      <c r="AF44" s="663">
        <f t="shared" si="1"/>
        <v>0</v>
      </c>
      <c r="AG44" s="664"/>
      <c r="AH44" s="665"/>
      <c r="AJ44" s="681">
        <v>10</v>
      </c>
      <c r="AK44" s="682"/>
      <c r="AL44" s="677">
        <f t="shared" si="5"/>
        <v>0</v>
      </c>
      <c r="AM44" s="678"/>
      <c r="AN44" s="679">
        <f t="shared" si="2"/>
        <v>0</v>
      </c>
      <c r="AO44" s="680"/>
      <c r="AP44" s="676"/>
      <c r="AQ44" s="461"/>
      <c r="AT44" s="696">
        <f t="shared" si="7"/>
        <v>0</v>
      </c>
      <c r="AU44" s="697"/>
      <c r="AV44" s="696">
        <f t="shared" si="8"/>
        <v>0</v>
      </c>
      <c r="AW44" s="697"/>
    </row>
    <row r="45" spans="3:49" s="51" customFormat="1" ht="19" customHeight="1" x14ac:dyDescent="0.15">
      <c r="C45" s="698">
        <f t="shared" si="6"/>
        <v>535</v>
      </c>
      <c r="D45" s="699"/>
      <c r="E45" s="700"/>
      <c r="F45" s="700"/>
      <c r="G45" s="700"/>
      <c r="H45" s="700"/>
      <c r="I45" s="700"/>
      <c r="J45" s="700"/>
      <c r="K45" s="700"/>
      <c r="L45" s="700"/>
      <c r="M45" s="700"/>
      <c r="N45" s="309"/>
      <c r="O45" s="309" t="s">
        <v>116</v>
      </c>
      <c r="P45" s="310" t="s">
        <v>117</v>
      </c>
      <c r="Q45" s="687"/>
      <c r="R45" s="687"/>
      <c r="S45" s="311" t="s">
        <v>143</v>
      </c>
      <c r="T45" s="309"/>
      <c r="U45" s="309"/>
      <c r="V45" s="309"/>
      <c r="W45" s="664">
        <f t="shared" si="0"/>
        <v>0</v>
      </c>
      <c r="X45" s="664"/>
      <c r="Y45" s="664"/>
      <c r="Z45" s="665"/>
      <c r="AB45" s="663">
        <v>0</v>
      </c>
      <c r="AC45" s="664"/>
      <c r="AD45" s="665"/>
      <c r="AF45" s="663">
        <f t="shared" si="1"/>
        <v>0</v>
      </c>
      <c r="AG45" s="664"/>
      <c r="AH45" s="665"/>
      <c r="AJ45" s="681">
        <v>10</v>
      </c>
      <c r="AK45" s="682"/>
      <c r="AL45" s="677">
        <f t="shared" si="5"/>
        <v>0</v>
      </c>
      <c r="AM45" s="678"/>
      <c r="AN45" s="679">
        <f t="shared" si="2"/>
        <v>0</v>
      </c>
      <c r="AO45" s="680"/>
      <c r="AP45" s="676"/>
      <c r="AQ45" s="461"/>
      <c r="AT45" s="696">
        <f t="shared" si="7"/>
        <v>0</v>
      </c>
      <c r="AU45" s="697"/>
      <c r="AV45" s="696">
        <f t="shared" si="8"/>
        <v>0</v>
      </c>
      <c r="AW45" s="697"/>
    </row>
    <row r="46" spans="3:49" s="51" customFormat="1" ht="19" customHeight="1" x14ac:dyDescent="0.15">
      <c r="C46" s="698">
        <f t="shared" si="6"/>
        <v>536</v>
      </c>
      <c r="D46" s="699"/>
      <c r="E46" s="700"/>
      <c r="F46" s="700"/>
      <c r="G46" s="700"/>
      <c r="H46" s="700"/>
      <c r="I46" s="700"/>
      <c r="J46" s="700"/>
      <c r="K46" s="700"/>
      <c r="L46" s="700"/>
      <c r="M46" s="700"/>
      <c r="N46" s="309"/>
      <c r="O46" s="309" t="s">
        <v>116</v>
      </c>
      <c r="P46" s="310" t="s">
        <v>117</v>
      </c>
      <c r="Q46" s="687"/>
      <c r="R46" s="687"/>
      <c r="S46" s="311" t="s">
        <v>143</v>
      </c>
      <c r="T46" s="309"/>
      <c r="U46" s="309"/>
      <c r="V46" s="309"/>
      <c r="W46" s="664">
        <f t="shared" si="0"/>
        <v>0</v>
      </c>
      <c r="X46" s="664"/>
      <c r="Y46" s="664"/>
      <c r="Z46" s="665"/>
      <c r="AB46" s="663">
        <v>0</v>
      </c>
      <c r="AC46" s="664"/>
      <c r="AD46" s="665"/>
      <c r="AF46" s="663">
        <f t="shared" si="1"/>
        <v>0</v>
      </c>
      <c r="AG46" s="664"/>
      <c r="AH46" s="665"/>
      <c r="AJ46" s="681">
        <v>10</v>
      </c>
      <c r="AK46" s="682"/>
      <c r="AL46" s="677">
        <f t="shared" si="5"/>
        <v>0</v>
      </c>
      <c r="AM46" s="678"/>
      <c r="AN46" s="679">
        <f t="shared" si="2"/>
        <v>0</v>
      </c>
      <c r="AO46" s="680"/>
      <c r="AP46" s="676"/>
      <c r="AQ46" s="461"/>
      <c r="AT46" s="696">
        <f t="shared" si="7"/>
        <v>0</v>
      </c>
      <c r="AU46" s="697"/>
      <c r="AV46" s="696">
        <f t="shared" si="8"/>
        <v>0</v>
      </c>
      <c r="AW46" s="697"/>
    </row>
    <row r="47" spans="3:49" s="51" customFormat="1" ht="19" customHeight="1" x14ac:dyDescent="0.15">
      <c r="C47" s="698">
        <f t="shared" si="6"/>
        <v>537</v>
      </c>
      <c r="D47" s="699"/>
      <c r="E47" s="700"/>
      <c r="F47" s="700"/>
      <c r="G47" s="700"/>
      <c r="H47" s="700"/>
      <c r="I47" s="700"/>
      <c r="J47" s="700"/>
      <c r="K47" s="700"/>
      <c r="L47" s="700"/>
      <c r="M47" s="700"/>
      <c r="N47" s="309"/>
      <c r="O47" s="309" t="s">
        <v>116</v>
      </c>
      <c r="P47" s="310" t="s">
        <v>117</v>
      </c>
      <c r="Q47" s="687"/>
      <c r="R47" s="687"/>
      <c r="S47" s="311" t="s">
        <v>143</v>
      </c>
      <c r="T47" s="309"/>
      <c r="U47" s="309"/>
      <c r="V47" s="309"/>
      <c r="W47" s="664">
        <f t="shared" si="0"/>
        <v>0</v>
      </c>
      <c r="X47" s="664"/>
      <c r="Y47" s="664"/>
      <c r="Z47" s="665"/>
      <c r="AB47" s="663">
        <v>0</v>
      </c>
      <c r="AC47" s="664"/>
      <c r="AD47" s="665"/>
      <c r="AF47" s="663">
        <f t="shared" si="1"/>
        <v>0</v>
      </c>
      <c r="AG47" s="664"/>
      <c r="AH47" s="665"/>
      <c r="AJ47" s="681">
        <v>10</v>
      </c>
      <c r="AK47" s="682"/>
      <c r="AL47" s="677">
        <f t="shared" si="5"/>
        <v>0</v>
      </c>
      <c r="AM47" s="678"/>
      <c r="AN47" s="679">
        <f t="shared" si="2"/>
        <v>0</v>
      </c>
      <c r="AO47" s="680"/>
      <c r="AP47" s="676"/>
      <c r="AQ47" s="461"/>
      <c r="AT47" s="696">
        <f t="shared" si="7"/>
        <v>0</v>
      </c>
      <c r="AU47" s="697"/>
      <c r="AV47" s="696">
        <f t="shared" si="8"/>
        <v>0</v>
      </c>
      <c r="AW47" s="697"/>
    </row>
    <row r="48" spans="3:49" s="51" customFormat="1" ht="19" customHeight="1" x14ac:dyDescent="0.15">
      <c r="C48" s="698">
        <f t="shared" si="6"/>
        <v>538</v>
      </c>
      <c r="D48" s="699"/>
      <c r="E48" s="700"/>
      <c r="F48" s="700"/>
      <c r="G48" s="700"/>
      <c r="H48" s="700"/>
      <c r="I48" s="700"/>
      <c r="J48" s="700"/>
      <c r="K48" s="700"/>
      <c r="L48" s="700"/>
      <c r="M48" s="700"/>
      <c r="N48" s="309"/>
      <c r="O48" s="309" t="s">
        <v>116</v>
      </c>
      <c r="P48" s="310" t="s">
        <v>117</v>
      </c>
      <c r="Q48" s="687"/>
      <c r="R48" s="687"/>
      <c r="S48" s="311" t="s">
        <v>143</v>
      </c>
      <c r="T48" s="309"/>
      <c r="U48" s="309"/>
      <c r="V48" s="309"/>
      <c r="W48" s="664">
        <f t="shared" si="0"/>
        <v>0</v>
      </c>
      <c r="X48" s="664"/>
      <c r="Y48" s="664"/>
      <c r="Z48" s="665"/>
      <c r="AB48" s="663">
        <v>0</v>
      </c>
      <c r="AC48" s="664"/>
      <c r="AD48" s="665"/>
      <c r="AF48" s="663">
        <f t="shared" si="1"/>
        <v>0</v>
      </c>
      <c r="AG48" s="664"/>
      <c r="AH48" s="665"/>
      <c r="AJ48" s="681">
        <v>10</v>
      </c>
      <c r="AK48" s="682"/>
      <c r="AL48" s="677">
        <f t="shared" si="5"/>
        <v>0</v>
      </c>
      <c r="AM48" s="678"/>
      <c r="AN48" s="679">
        <f t="shared" si="2"/>
        <v>0</v>
      </c>
      <c r="AO48" s="680"/>
      <c r="AP48" s="676"/>
      <c r="AQ48" s="461"/>
      <c r="AT48" s="696">
        <f t="shared" si="7"/>
        <v>0</v>
      </c>
      <c r="AU48" s="697"/>
      <c r="AV48" s="696">
        <f t="shared" si="8"/>
        <v>0</v>
      </c>
      <c r="AW48" s="697"/>
    </row>
    <row r="49" spans="3:54" s="51" customFormat="1" ht="19" customHeight="1" x14ac:dyDescent="0.15">
      <c r="C49" s="698">
        <f t="shared" si="6"/>
        <v>539</v>
      </c>
      <c r="D49" s="699"/>
      <c r="E49" s="700"/>
      <c r="F49" s="700"/>
      <c r="G49" s="700"/>
      <c r="H49" s="700"/>
      <c r="I49" s="700"/>
      <c r="J49" s="700"/>
      <c r="K49" s="700"/>
      <c r="L49" s="700"/>
      <c r="M49" s="700"/>
      <c r="N49" s="309">
        <v>1</v>
      </c>
      <c r="O49" s="309" t="s">
        <v>116</v>
      </c>
      <c r="P49" s="310" t="s">
        <v>117</v>
      </c>
      <c r="Q49" s="687">
        <v>345</v>
      </c>
      <c r="R49" s="687"/>
      <c r="S49" s="311" t="s">
        <v>143</v>
      </c>
      <c r="T49" s="309"/>
      <c r="U49" s="309"/>
      <c r="V49" s="309"/>
      <c r="W49" s="664">
        <f t="shared" si="0"/>
        <v>345</v>
      </c>
      <c r="X49" s="664"/>
      <c r="Y49" s="664"/>
      <c r="Z49" s="665"/>
      <c r="AB49" s="663">
        <v>0</v>
      </c>
      <c r="AC49" s="664"/>
      <c r="AD49" s="665"/>
      <c r="AF49" s="663">
        <f t="shared" si="1"/>
        <v>-345</v>
      </c>
      <c r="AG49" s="664"/>
      <c r="AH49" s="665"/>
      <c r="AJ49" s="681">
        <v>10</v>
      </c>
      <c r="AK49" s="682"/>
      <c r="AL49" s="677">
        <f t="shared" si="5"/>
        <v>23.295070898041864</v>
      </c>
      <c r="AM49" s="678"/>
      <c r="AN49" s="679">
        <f t="shared" si="2"/>
        <v>34.942606347062792</v>
      </c>
      <c r="AO49" s="680"/>
      <c r="AP49" s="676"/>
      <c r="AQ49" s="461"/>
      <c r="AT49" s="696">
        <f t="shared" si="7"/>
        <v>186.36056718433491</v>
      </c>
      <c r="AU49" s="697"/>
      <c r="AV49" s="696">
        <f t="shared" si="8"/>
        <v>69.885212694125585</v>
      </c>
      <c r="AW49" s="697"/>
    </row>
    <row r="50" spans="3:54" s="51" customFormat="1" ht="19" customHeight="1" x14ac:dyDescent="0.15">
      <c r="C50" s="698">
        <f t="shared" si="6"/>
        <v>540</v>
      </c>
      <c r="D50" s="699"/>
      <c r="E50" s="700"/>
      <c r="F50" s="700"/>
      <c r="G50" s="700"/>
      <c r="H50" s="700"/>
      <c r="I50" s="700"/>
      <c r="J50" s="700"/>
      <c r="K50" s="700"/>
      <c r="L50" s="700"/>
      <c r="M50" s="700"/>
      <c r="N50" s="309"/>
      <c r="O50" s="309" t="s">
        <v>116</v>
      </c>
      <c r="P50" s="310" t="s">
        <v>117</v>
      </c>
      <c r="Q50" s="687"/>
      <c r="R50" s="687"/>
      <c r="S50" s="311" t="s">
        <v>143</v>
      </c>
      <c r="T50" s="309"/>
      <c r="U50" s="309"/>
      <c r="V50" s="309"/>
      <c r="W50" s="664">
        <f t="shared" si="0"/>
        <v>0</v>
      </c>
      <c r="X50" s="664"/>
      <c r="Y50" s="664"/>
      <c r="Z50" s="665"/>
      <c r="AB50" s="663">
        <v>0</v>
      </c>
      <c r="AC50" s="664"/>
      <c r="AD50" s="665"/>
      <c r="AF50" s="663">
        <f t="shared" si="1"/>
        <v>0</v>
      </c>
      <c r="AG50" s="664"/>
      <c r="AH50" s="665"/>
      <c r="AJ50" s="681">
        <v>10</v>
      </c>
      <c r="AK50" s="682"/>
      <c r="AL50" s="677">
        <f t="shared" si="5"/>
        <v>0</v>
      </c>
      <c r="AM50" s="678"/>
      <c r="AN50" s="679">
        <f t="shared" si="2"/>
        <v>0</v>
      </c>
      <c r="AO50" s="680"/>
      <c r="AP50" s="676"/>
      <c r="AQ50" s="461"/>
      <c r="AT50" s="696">
        <f t="shared" si="7"/>
        <v>0</v>
      </c>
      <c r="AU50" s="697"/>
      <c r="AV50" s="696">
        <f t="shared" si="8"/>
        <v>0</v>
      </c>
      <c r="AW50" s="697"/>
    </row>
    <row r="51" spans="3:54" s="51" customFormat="1" ht="19" customHeight="1" x14ac:dyDescent="0.15">
      <c r="C51" s="698">
        <f t="shared" si="6"/>
        <v>541</v>
      </c>
      <c r="D51" s="699"/>
      <c r="E51" s="700"/>
      <c r="F51" s="700"/>
      <c r="G51" s="700"/>
      <c r="H51" s="700"/>
      <c r="I51" s="700"/>
      <c r="J51" s="700"/>
      <c r="K51" s="700"/>
      <c r="L51" s="700"/>
      <c r="M51" s="700"/>
      <c r="N51" s="309"/>
      <c r="O51" s="309" t="s">
        <v>116</v>
      </c>
      <c r="P51" s="310" t="s">
        <v>117</v>
      </c>
      <c r="Q51" s="687"/>
      <c r="R51" s="687"/>
      <c r="S51" s="311" t="s">
        <v>143</v>
      </c>
      <c r="T51" s="309"/>
      <c r="U51" s="309"/>
      <c r="V51" s="309"/>
      <c r="W51" s="664">
        <f t="shared" si="0"/>
        <v>0</v>
      </c>
      <c r="X51" s="664"/>
      <c r="Y51" s="664"/>
      <c r="Z51" s="665"/>
      <c r="AB51" s="663">
        <v>0</v>
      </c>
      <c r="AC51" s="664"/>
      <c r="AD51" s="665"/>
      <c r="AF51" s="663">
        <f t="shared" si="1"/>
        <v>0</v>
      </c>
      <c r="AG51" s="664"/>
      <c r="AH51" s="665"/>
      <c r="AJ51" s="681">
        <v>10</v>
      </c>
      <c r="AK51" s="682"/>
      <c r="AL51" s="677">
        <f t="shared" si="5"/>
        <v>0</v>
      </c>
      <c r="AM51" s="678"/>
      <c r="AN51" s="679">
        <f t="shared" si="2"/>
        <v>0</v>
      </c>
      <c r="AO51" s="680"/>
      <c r="AP51" s="676"/>
      <c r="AQ51" s="461"/>
      <c r="AT51" s="696">
        <f t="shared" si="7"/>
        <v>0</v>
      </c>
      <c r="AU51" s="697"/>
      <c r="AV51" s="696">
        <f t="shared" si="8"/>
        <v>0</v>
      </c>
      <c r="AW51" s="697"/>
    </row>
    <row r="52" spans="3:54" s="51" customFormat="1" ht="19" customHeight="1" x14ac:dyDescent="0.15">
      <c r="C52" s="698">
        <f t="shared" si="6"/>
        <v>542</v>
      </c>
      <c r="D52" s="699"/>
      <c r="E52" s="700"/>
      <c r="F52" s="700"/>
      <c r="G52" s="700"/>
      <c r="H52" s="700"/>
      <c r="I52" s="700"/>
      <c r="J52" s="700"/>
      <c r="K52" s="700"/>
      <c r="L52" s="700"/>
      <c r="M52" s="700"/>
      <c r="N52" s="309"/>
      <c r="O52" s="309" t="s">
        <v>116</v>
      </c>
      <c r="P52" s="310" t="s">
        <v>117</v>
      </c>
      <c r="Q52" s="687"/>
      <c r="R52" s="687"/>
      <c r="S52" s="311" t="s">
        <v>143</v>
      </c>
      <c r="T52" s="309"/>
      <c r="U52" s="309"/>
      <c r="V52" s="309"/>
      <c r="W52" s="664">
        <f t="shared" si="0"/>
        <v>0</v>
      </c>
      <c r="X52" s="664"/>
      <c r="Y52" s="664"/>
      <c r="Z52" s="665"/>
      <c r="AB52" s="663">
        <v>0</v>
      </c>
      <c r="AC52" s="664"/>
      <c r="AD52" s="665"/>
      <c r="AF52" s="663">
        <f t="shared" si="1"/>
        <v>0</v>
      </c>
      <c r="AG52" s="664"/>
      <c r="AH52" s="665"/>
      <c r="AJ52" s="681">
        <v>10</v>
      </c>
      <c r="AK52" s="682"/>
      <c r="AL52" s="677">
        <f t="shared" si="5"/>
        <v>0</v>
      </c>
      <c r="AM52" s="678"/>
      <c r="AN52" s="679">
        <f t="shared" si="2"/>
        <v>0</v>
      </c>
      <c r="AO52" s="680"/>
      <c r="AP52" s="676"/>
      <c r="AQ52" s="461"/>
      <c r="AT52" s="696">
        <f t="shared" si="7"/>
        <v>0</v>
      </c>
      <c r="AU52" s="697"/>
      <c r="AV52" s="696">
        <f t="shared" si="8"/>
        <v>0</v>
      </c>
      <c r="AW52" s="697"/>
    </row>
    <row r="53" spans="3:54" s="51" customFormat="1" ht="19" customHeight="1" x14ac:dyDescent="0.15">
      <c r="C53" s="698">
        <f t="shared" si="6"/>
        <v>543</v>
      </c>
      <c r="D53" s="699"/>
      <c r="E53" s="700"/>
      <c r="F53" s="700"/>
      <c r="G53" s="700"/>
      <c r="H53" s="700"/>
      <c r="I53" s="700"/>
      <c r="J53" s="700"/>
      <c r="K53" s="700"/>
      <c r="L53" s="700"/>
      <c r="M53" s="700"/>
      <c r="N53" s="309"/>
      <c r="O53" s="309" t="s">
        <v>116</v>
      </c>
      <c r="P53" s="310" t="s">
        <v>117</v>
      </c>
      <c r="Q53" s="687"/>
      <c r="R53" s="687"/>
      <c r="S53" s="311" t="s">
        <v>143</v>
      </c>
      <c r="T53" s="309"/>
      <c r="U53" s="309"/>
      <c r="V53" s="309"/>
      <c r="W53" s="664">
        <f t="shared" si="0"/>
        <v>0</v>
      </c>
      <c r="X53" s="664"/>
      <c r="Y53" s="664"/>
      <c r="Z53" s="665"/>
      <c r="AB53" s="663">
        <v>0</v>
      </c>
      <c r="AC53" s="664"/>
      <c r="AD53" s="665"/>
      <c r="AF53" s="663">
        <f t="shared" si="1"/>
        <v>0</v>
      </c>
      <c r="AG53" s="664"/>
      <c r="AH53" s="665"/>
      <c r="AJ53" s="681">
        <v>10</v>
      </c>
      <c r="AK53" s="682"/>
      <c r="AL53" s="677">
        <f t="shared" si="5"/>
        <v>0</v>
      </c>
      <c r="AM53" s="678"/>
      <c r="AN53" s="679">
        <f t="shared" si="2"/>
        <v>0</v>
      </c>
      <c r="AO53" s="680"/>
      <c r="AP53" s="676"/>
      <c r="AQ53" s="461"/>
      <c r="AT53" s="696">
        <f t="shared" si="7"/>
        <v>0</v>
      </c>
      <c r="AU53" s="697"/>
      <c r="AV53" s="696">
        <f t="shared" si="8"/>
        <v>0</v>
      </c>
      <c r="AW53" s="697"/>
      <c r="BB53" s="51" t="s">
        <v>233</v>
      </c>
    </row>
    <row r="54" spans="3:54" s="51" customFormat="1" ht="19" customHeight="1" x14ac:dyDescent="0.15">
      <c r="C54" s="698">
        <f t="shared" si="6"/>
        <v>544</v>
      </c>
      <c r="D54" s="699"/>
      <c r="E54" s="700"/>
      <c r="F54" s="700"/>
      <c r="G54" s="700"/>
      <c r="H54" s="700"/>
      <c r="I54" s="700"/>
      <c r="J54" s="700"/>
      <c r="K54" s="700"/>
      <c r="L54" s="700"/>
      <c r="M54" s="700"/>
      <c r="N54" s="309"/>
      <c r="O54" s="309" t="s">
        <v>116</v>
      </c>
      <c r="P54" s="310" t="s">
        <v>117</v>
      </c>
      <c r="Q54" s="687"/>
      <c r="R54" s="687"/>
      <c r="S54" s="311" t="s">
        <v>143</v>
      </c>
      <c r="T54" s="309"/>
      <c r="U54" s="309"/>
      <c r="V54" s="309"/>
      <c r="W54" s="664">
        <f t="shared" si="0"/>
        <v>0</v>
      </c>
      <c r="X54" s="664"/>
      <c r="Y54" s="664"/>
      <c r="Z54" s="665"/>
      <c r="AB54" s="663">
        <v>0</v>
      </c>
      <c r="AC54" s="664"/>
      <c r="AD54" s="665"/>
      <c r="AF54" s="663">
        <f t="shared" si="1"/>
        <v>0</v>
      </c>
      <c r="AG54" s="664"/>
      <c r="AH54" s="665"/>
      <c r="AJ54" s="681">
        <v>10</v>
      </c>
      <c r="AK54" s="682"/>
      <c r="AL54" s="677">
        <f t="shared" si="5"/>
        <v>0</v>
      </c>
      <c r="AM54" s="678"/>
      <c r="AN54" s="679">
        <f t="shared" si="2"/>
        <v>0</v>
      </c>
      <c r="AO54" s="680"/>
      <c r="AP54" s="676"/>
      <c r="AQ54" s="461"/>
      <c r="AT54" s="696">
        <f t="shared" si="7"/>
        <v>0</v>
      </c>
      <c r="AU54" s="697"/>
      <c r="AV54" s="696">
        <f t="shared" si="8"/>
        <v>0</v>
      </c>
      <c r="AW54" s="697"/>
    </row>
    <row r="55" spans="3:54" s="51" customFormat="1" ht="19" customHeight="1" x14ac:dyDescent="0.15">
      <c r="C55" s="698">
        <f t="shared" si="6"/>
        <v>545</v>
      </c>
      <c r="D55" s="699"/>
      <c r="E55" s="700"/>
      <c r="F55" s="700"/>
      <c r="G55" s="700"/>
      <c r="H55" s="700"/>
      <c r="I55" s="700"/>
      <c r="J55" s="700"/>
      <c r="K55" s="700"/>
      <c r="L55" s="700"/>
      <c r="M55" s="700"/>
      <c r="N55" s="309"/>
      <c r="O55" s="309" t="s">
        <v>116</v>
      </c>
      <c r="P55" s="310" t="s">
        <v>117</v>
      </c>
      <c r="Q55" s="687"/>
      <c r="R55" s="687"/>
      <c r="S55" s="311" t="s">
        <v>143</v>
      </c>
      <c r="T55" s="309"/>
      <c r="U55" s="309"/>
      <c r="V55" s="309"/>
      <c r="W55" s="664">
        <f t="shared" si="0"/>
        <v>0</v>
      </c>
      <c r="X55" s="664"/>
      <c r="Y55" s="664"/>
      <c r="Z55" s="665"/>
      <c r="AB55" s="663">
        <v>0</v>
      </c>
      <c r="AC55" s="664"/>
      <c r="AD55" s="665"/>
      <c r="AF55" s="663">
        <f t="shared" si="1"/>
        <v>0</v>
      </c>
      <c r="AG55" s="664"/>
      <c r="AH55" s="665"/>
      <c r="AJ55" s="681">
        <v>10</v>
      </c>
      <c r="AK55" s="682"/>
      <c r="AL55" s="677">
        <f t="shared" si="5"/>
        <v>0</v>
      </c>
      <c r="AM55" s="678"/>
      <c r="AN55" s="679">
        <f t="shared" si="2"/>
        <v>0</v>
      </c>
      <c r="AO55" s="680"/>
      <c r="AP55" s="676"/>
      <c r="AQ55" s="461"/>
      <c r="AT55" s="696">
        <f t="shared" si="7"/>
        <v>0</v>
      </c>
      <c r="AU55" s="697"/>
      <c r="AV55" s="696">
        <f t="shared" si="8"/>
        <v>0</v>
      </c>
      <c r="AW55" s="697"/>
    </row>
    <row r="56" spans="3:54" s="51" customFormat="1" ht="19" customHeight="1" x14ac:dyDescent="0.15">
      <c r="C56" s="698">
        <f t="shared" si="6"/>
        <v>546</v>
      </c>
      <c r="D56" s="699"/>
      <c r="E56" s="700"/>
      <c r="F56" s="700"/>
      <c r="G56" s="700"/>
      <c r="H56" s="700"/>
      <c r="I56" s="700"/>
      <c r="J56" s="700"/>
      <c r="K56" s="700"/>
      <c r="L56" s="700"/>
      <c r="M56" s="700"/>
      <c r="N56" s="309"/>
      <c r="O56" s="309" t="s">
        <v>116</v>
      </c>
      <c r="P56" s="310" t="s">
        <v>117</v>
      </c>
      <c r="Q56" s="687"/>
      <c r="R56" s="687"/>
      <c r="S56" s="311" t="s">
        <v>143</v>
      </c>
      <c r="T56" s="309"/>
      <c r="U56" s="309"/>
      <c r="V56" s="309"/>
      <c r="W56" s="664">
        <f t="shared" si="0"/>
        <v>0</v>
      </c>
      <c r="X56" s="664"/>
      <c r="Y56" s="664"/>
      <c r="Z56" s="665"/>
      <c r="AB56" s="663">
        <v>0</v>
      </c>
      <c r="AC56" s="664"/>
      <c r="AD56" s="665"/>
      <c r="AF56" s="663">
        <f t="shared" si="1"/>
        <v>0</v>
      </c>
      <c r="AG56" s="664"/>
      <c r="AH56" s="665"/>
      <c r="AJ56" s="681">
        <v>10</v>
      </c>
      <c r="AK56" s="682"/>
      <c r="AL56" s="677">
        <f t="shared" si="5"/>
        <v>0</v>
      </c>
      <c r="AM56" s="678"/>
      <c r="AN56" s="679">
        <f t="shared" si="2"/>
        <v>0</v>
      </c>
      <c r="AO56" s="680"/>
      <c r="AP56" s="676"/>
      <c r="AQ56" s="461"/>
      <c r="AT56" s="696">
        <f t="shared" si="7"/>
        <v>0</v>
      </c>
      <c r="AU56" s="697"/>
      <c r="AV56" s="696">
        <f t="shared" si="8"/>
        <v>0</v>
      </c>
      <c r="AW56" s="697"/>
    </row>
    <row r="57" spans="3:54" s="51" customFormat="1" ht="19" customHeight="1" x14ac:dyDescent="0.15">
      <c r="C57" s="698">
        <f t="shared" si="6"/>
        <v>547</v>
      </c>
      <c r="D57" s="699"/>
      <c r="E57" s="701"/>
      <c r="F57" s="701"/>
      <c r="G57" s="701"/>
      <c r="H57" s="701"/>
      <c r="I57" s="701"/>
      <c r="J57" s="701"/>
      <c r="K57" s="701"/>
      <c r="L57" s="701"/>
      <c r="M57" s="701"/>
      <c r="N57" s="309"/>
      <c r="O57" s="309" t="s">
        <v>116</v>
      </c>
      <c r="P57" s="310" t="s">
        <v>117</v>
      </c>
      <c r="Q57" s="687"/>
      <c r="R57" s="687"/>
      <c r="S57" s="311" t="s">
        <v>143</v>
      </c>
      <c r="T57" s="309"/>
      <c r="U57" s="309"/>
      <c r="V57" s="309"/>
      <c r="W57" s="664">
        <f t="shared" si="0"/>
        <v>0</v>
      </c>
      <c r="X57" s="664"/>
      <c r="Y57" s="664"/>
      <c r="Z57" s="665"/>
      <c r="AB57" s="663">
        <v>0</v>
      </c>
      <c r="AC57" s="664"/>
      <c r="AD57" s="665"/>
      <c r="AF57" s="663">
        <f t="shared" si="1"/>
        <v>0</v>
      </c>
      <c r="AG57" s="664"/>
      <c r="AH57" s="665"/>
      <c r="AJ57" s="681">
        <v>10</v>
      </c>
      <c r="AK57" s="682"/>
      <c r="AL57" s="677">
        <f t="shared" si="5"/>
        <v>0</v>
      </c>
      <c r="AM57" s="678"/>
      <c r="AN57" s="679">
        <f t="shared" si="2"/>
        <v>0</v>
      </c>
      <c r="AO57" s="680"/>
      <c r="AP57" s="676"/>
      <c r="AQ57" s="461"/>
      <c r="AT57" s="696">
        <f t="shared" si="7"/>
        <v>0</v>
      </c>
      <c r="AU57" s="697"/>
      <c r="AV57" s="696">
        <f t="shared" si="8"/>
        <v>0</v>
      </c>
      <c r="AW57" s="697"/>
    </row>
    <row r="58" spans="3:54" s="51" customFormat="1" ht="19" customHeight="1" x14ac:dyDescent="0.15">
      <c r="C58" s="698">
        <f t="shared" si="6"/>
        <v>548</v>
      </c>
      <c r="D58" s="699"/>
      <c r="E58" s="700"/>
      <c r="F58" s="700"/>
      <c r="G58" s="700"/>
      <c r="H58" s="700"/>
      <c r="I58" s="700"/>
      <c r="J58" s="700"/>
      <c r="K58" s="700"/>
      <c r="L58" s="700"/>
      <c r="M58" s="700"/>
      <c r="N58" s="309"/>
      <c r="O58" s="309" t="s">
        <v>116</v>
      </c>
      <c r="P58" s="310" t="s">
        <v>117</v>
      </c>
      <c r="Q58" s="687"/>
      <c r="R58" s="687"/>
      <c r="S58" s="311" t="s">
        <v>143</v>
      </c>
      <c r="T58" s="309"/>
      <c r="U58" s="309"/>
      <c r="V58" s="309"/>
      <c r="W58" s="664">
        <f t="shared" si="0"/>
        <v>0</v>
      </c>
      <c r="X58" s="664"/>
      <c r="Y58" s="664"/>
      <c r="Z58" s="665"/>
      <c r="AB58" s="663">
        <v>0</v>
      </c>
      <c r="AC58" s="664"/>
      <c r="AD58" s="665"/>
      <c r="AF58" s="663">
        <f t="shared" si="1"/>
        <v>0</v>
      </c>
      <c r="AG58" s="664"/>
      <c r="AH58" s="665"/>
      <c r="AJ58" s="681">
        <v>10</v>
      </c>
      <c r="AK58" s="682"/>
      <c r="AL58" s="677">
        <f t="shared" si="5"/>
        <v>0</v>
      </c>
      <c r="AM58" s="678"/>
      <c r="AN58" s="679">
        <f t="shared" si="2"/>
        <v>0</v>
      </c>
      <c r="AO58" s="680"/>
      <c r="AP58" s="676"/>
      <c r="AQ58" s="461"/>
      <c r="AT58" s="696">
        <f t="shared" si="7"/>
        <v>0</v>
      </c>
      <c r="AU58" s="697"/>
      <c r="AV58" s="696">
        <f t="shared" si="8"/>
        <v>0</v>
      </c>
      <c r="AW58" s="697"/>
    </row>
    <row r="59" spans="3:54" s="51" customFormat="1" ht="19" customHeight="1" x14ac:dyDescent="0.15">
      <c r="C59" s="698">
        <f t="shared" si="6"/>
        <v>549</v>
      </c>
      <c r="D59" s="699"/>
      <c r="E59" s="700"/>
      <c r="F59" s="700"/>
      <c r="G59" s="700"/>
      <c r="H59" s="700"/>
      <c r="I59" s="700"/>
      <c r="J59" s="700"/>
      <c r="K59" s="700"/>
      <c r="L59" s="700"/>
      <c r="M59" s="700"/>
      <c r="N59" s="309"/>
      <c r="O59" s="309" t="s">
        <v>116</v>
      </c>
      <c r="P59" s="310" t="s">
        <v>117</v>
      </c>
      <c r="Q59" s="687"/>
      <c r="R59" s="687"/>
      <c r="S59" s="311" t="s">
        <v>143</v>
      </c>
      <c r="T59" s="309"/>
      <c r="U59" s="309"/>
      <c r="V59" s="309"/>
      <c r="W59" s="664">
        <f t="shared" si="0"/>
        <v>0</v>
      </c>
      <c r="X59" s="664"/>
      <c r="Y59" s="664"/>
      <c r="Z59" s="665"/>
      <c r="AB59" s="663">
        <v>0</v>
      </c>
      <c r="AC59" s="664"/>
      <c r="AD59" s="665"/>
      <c r="AF59" s="663">
        <f t="shared" si="1"/>
        <v>0</v>
      </c>
      <c r="AG59" s="664"/>
      <c r="AH59" s="665"/>
      <c r="AJ59" s="681">
        <v>10</v>
      </c>
      <c r="AK59" s="682"/>
      <c r="AL59" s="677">
        <f t="shared" si="5"/>
        <v>0</v>
      </c>
      <c r="AM59" s="678"/>
      <c r="AN59" s="679">
        <f t="shared" si="2"/>
        <v>0</v>
      </c>
      <c r="AO59" s="680"/>
      <c r="AP59" s="676"/>
      <c r="AQ59" s="461"/>
      <c r="AT59" s="696">
        <f t="shared" si="7"/>
        <v>0</v>
      </c>
      <c r="AU59" s="697"/>
      <c r="AV59" s="696">
        <f t="shared" si="8"/>
        <v>0</v>
      </c>
      <c r="AW59" s="697"/>
    </row>
    <row r="60" spans="3:54" s="51" customFormat="1" ht="19" customHeight="1" x14ac:dyDescent="0.15">
      <c r="C60" s="698">
        <f t="shared" si="6"/>
        <v>550</v>
      </c>
      <c r="D60" s="699"/>
      <c r="E60" s="700"/>
      <c r="F60" s="700"/>
      <c r="G60" s="700"/>
      <c r="H60" s="700"/>
      <c r="I60" s="700"/>
      <c r="J60" s="700"/>
      <c r="K60" s="700"/>
      <c r="L60" s="700"/>
      <c r="M60" s="700"/>
      <c r="N60" s="309"/>
      <c r="O60" s="309" t="s">
        <v>116</v>
      </c>
      <c r="P60" s="310" t="s">
        <v>117</v>
      </c>
      <c r="Q60" s="687"/>
      <c r="R60" s="687"/>
      <c r="S60" s="311" t="s">
        <v>143</v>
      </c>
      <c r="T60" s="309"/>
      <c r="U60" s="309"/>
      <c r="V60" s="309"/>
      <c r="W60" s="664">
        <f t="shared" si="0"/>
        <v>0</v>
      </c>
      <c r="X60" s="664"/>
      <c r="Y60" s="664"/>
      <c r="Z60" s="665"/>
      <c r="AB60" s="663">
        <v>0</v>
      </c>
      <c r="AC60" s="664"/>
      <c r="AD60" s="665"/>
      <c r="AF60" s="663">
        <f t="shared" si="1"/>
        <v>0</v>
      </c>
      <c r="AG60" s="664"/>
      <c r="AH60" s="665"/>
      <c r="AJ60" s="681">
        <v>10</v>
      </c>
      <c r="AK60" s="682"/>
      <c r="AL60" s="677">
        <f t="shared" si="5"/>
        <v>0</v>
      </c>
      <c r="AM60" s="678"/>
      <c r="AN60" s="679">
        <f t="shared" si="2"/>
        <v>0</v>
      </c>
      <c r="AO60" s="680"/>
      <c r="AP60" s="676"/>
      <c r="AQ60" s="461"/>
      <c r="AT60" s="696">
        <f t="shared" si="7"/>
        <v>0</v>
      </c>
      <c r="AU60" s="697"/>
      <c r="AV60" s="696">
        <f t="shared" si="8"/>
        <v>0</v>
      </c>
      <c r="AW60" s="697"/>
    </row>
    <row r="61" spans="3:54" s="322" customFormat="1" ht="19" customHeight="1" x14ac:dyDescent="0.2">
      <c r="C61" s="384"/>
      <c r="O61" s="654" t="str">
        <f>"Sub Total "&amp;P_TITLE</f>
        <v>Sub Total Breakout Labor</v>
      </c>
      <c r="P61" s="654"/>
      <c r="Q61" s="654"/>
      <c r="R61" s="654"/>
      <c r="S61" s="654"/>
      <c r="T61" s="654"/>
      <c r="U61" s="654"/>
      <c r="V61" s="655"/>
      <c r="W61" s="658">
        <f>SUM(W11:Z60)</f>
        <v>345</v>
      </c>
      <c r="X61" s="659"/>
      <c r="Y61" s="659"/>
      <c r="Z61" s="660"/>
      <c r="AB61" s="658">
        <f>SUM(AB11:AD60)</f>
        <v>0</v>
      </c>
      <c r="AC61" s="659"/>
      <c r="AD61" s="660"/>
      <c r="AF61" s="658">
        <f>AB61-W61</f>
        <v>-345</v>
      </c>
      <c r="AG61" s="659"/>
      <c r="AH61" s="660"/>
      <c r="AJ61" s="385"/>
      <c r="AK61" s="385"/>
      <c r="AM61" s="386"/>
      <c r="AN61" s="386"/>
      <c r="AO61" s="386"/>
    </row>
    <row r="62" spans="3:54" s="322" customFormat="1" ht="19" customHeight="1" x14ac:dyDescent="0.2">
      <c r="C62" s="384"/>
      <c r="O62" s="656" t="str">
        <f>"Fringes "&amp;P_TITLE</f>
        <v>Fringes Breakout Labor</v>
      </c>
      <c r="P62" s="656"/>
      <c r="Q62" s="656"/>
      <c r="R62" s="656"/>
      <c r="S62" s="656"/>
      <c r="T62" s="656"/>
      <c r="U62" s="656"/>
      <c r="V62" s="657"/>
      <c r="W62" s="658">
        <f>IFERROR(W61*AP11,0)</f>
        <v>131.1</v>
      </c>
      <c r="X62" s="659"/>
      <c r="Y62" s="659"/>
      <c r="Z62" s="660"/>
      <c r="AB62" s="658">
        <v>0</v>
      </c>
      <c r="AC62" s="659"/>
      <c r="AD62" s="660"/>
      <c r="AF62" s="658">
        <f t="shared" ref="AF62:AF63" si="9">AB62-W62</f>
        <v>-131.1</v>
      </c>
      <c r="AG62" s="659"/>
      <c r="AH62" s="660"/>
      <c r="AS62" s="387"/>
      <c r="AT62" s="387"/>
      <c r="AU62" s="387"/>
    </row>
    <row r="63" spans="3:54" s="322" customFormat="1" ht="19" customHeight="1" x14ac:dyDescent="0.2">
      <c r="C63" s="384"/>
      <c r="O63" s="656" t="str">
        <f>"Total "&amp;P_TITLE</f>
        <v>Total Breakout Labor</v>
      </c>
      <c r="P63" s="656"/>
      <c r="Q63" s="656"/>
      <c r="R63" s="656"/>
      <c r="S63" s="656"/>
      <c r="T63" s="656"/>
      <c r="U63" s="656"/>
      <c r="V63" s="657"/>
      <c r="W63" s="658">
        <f>W62+W61</f>
        <v>476.1</v>
      </c>
      <c r="X63" s="659"/>
      <c r="Y63" s="659"/>
      <c r="Z63" s="660"/>
      <c r="AB63" s="658">
        <f>SUM(AB61:AD62)</f>
        <v>0</v>
      </c>
      <c r="AC63" s="659"/>
      <c r="AD63" s="660"/>
      <c r="AF63" s="658">
        <f t="shared" si="9"/>
        <v>-476.1</v>
      </c>
      <c r="AG63" s="659"/>
      <c r="AH63" s="660"/>
    </row>
    <row r="64" spans="3:54" ht="16.25" customHeight="1" x14ac:dyDescent="0.2"/>
    <row r="65" spans="6:6" ht="16.25" customHeight="1" x14ac:dyDescent="0.2"/>
    <row r="68" spans="6:6" x14ac:dyDescent="0.2">
      <c r="F68" s="81"/>
    </row>
    <row r="69" spans="6:6" x14ac:dyDescent="0.2">
      <c r="F69" s="81"/>
    </row>
    <row r="70" spans="6:6" x14ac:dyDescent="0.2">
      <c r="F70" s="81"/>
    </row>
    <row r="71" spans="6:6" x14ac:dyDescent="0.2">
      <c r="F71" s="81"/>
    </row>
  </sheetData>
  <sheetProtection selectLockedCells="1"/>
  <mergeCells count="636">
    <mergeCell ref="AP59:AQ59"/>
    <mergeCell ref="AT59:AU59"/>
    <mergeCell ref="AV59:AW59"/>
    <mergeCell ref="AF59:AH59"/>
    <mergeCell ref="AJ59:AK59"/>
    <mergeCell ref="AL59:AM59"/>
    <mergeCell ref="AN59:AO59"/>
    <mergeCell ref="C60:D60"/>
    <mergeCell ref="E60:M60"/>
    <mergeCell ref="Q60:R60"/>
    <mergeCell ref="W60:Z60"/>
    <mergeCell ref="AB60:AD60"/>
    <mergeCell ref="C59:D59"/>
    <mergeCell ref="E59:M59"/>
    <mergeCell ref="Q59:R59"/>
    <mergeCell ref="W59:Z59"/>
    <mergeCell ref="AB59:AD59"/>
    <mergeCell ref="O63:V63"/>
    <mergeCell ref="W63:Z63"/>
    <mergeCell ref="AB63:AD63"/>
    <mergeCell ref="AF63:AH63"/>
    <mergeCell ref="AV60:AW60"/>
    <mergeCell ref="O61:V61"/>
    <mergeCell ref="W61:Z61"/>
    <mergeCell ref="AB61:AD61"/>
    <mergeCell ref="AF61:AH61"/>
    <mergeCell ref="O62:V62"/>
    <mergeCell ref="W62:Z62"/>
    <mergeCell ref="AB62:AD62"/>
    <mergeCell ref="AF62:AH62"/>
    <mergeCell ref="AF60:AH60"/>
    <mergeCell ref="AJ60:AK60"/>
    <mergeCell ref="AL60:AM60"/>
    <mergeCell ref="AN60:AO60"/>
    <mergeCell ref="AP60:AQ60"/>
    <mergeCell ref="AT60:AU60"/>
    <mergeCell ref="C57:D57"/>
    <mergeCell ref="E57:M57"/>
    <mergeCell ref="Q57:R57"/>
    <mergeCell ref="W57:Z57"/>
    <mergeCell ref="AB57:AD57"/>
    <mergeCell ref="AV57:AW57"/>
    <mergeCell ref="C58:D58"/>
    <mergeCell ref="E58:M58"/>
    <mergeCell ref="Q58:R58"/>
    <mergeCell ref="W58:Z58"/>
    <mergeCell ref="AB58:AD58"/>
    <mergeCell ref="AF58:AH58"/>
    <mergeCell ref="AJ58:AK58"/>
    <mergeCell ref="AL58:AM58"/>
    <mergeCell ref="AN58:AO58"/>
    <mergeCell ref="AF57:AH57"/>
    <mergeCell ref="AJ57:AK57"/>
    <mergeCell ref="AL57:AM57"/>
    <mergeCell ref="AN57:AO57"/>
    <mergeCell ref="AP57:AQ57"/>
    <mergeCell ref="AT57:AU57"/>
    <mergeCell ref="AP58:AQ58"/>
    <mergeCell ref="AT58:AU58"/>
    <mergeCell ref="AV58:AW58"/>
    <mergeCell ref="AP55:AQ55"/>
    <mergeCell ref="AT55:AU55"/>
    <mergeCell ref="AV55:AW55"/>
    <mergeCell ref="C56:D56"/>
    <mergeCell ref="E56:M56"/>
    <mergeCell ref="Q56:R56"/>
    <mergeCell ref="W56:Z56"/>
    <mergeCell ref="AB56:AD56"/>
    <mergeCell ref="AF56:AH56"/>
    <mergeCell ref="AJ56:AK56"/>
    <mergeCell ref="AL56:AM56"/>
    <mergeCell ref="AN56:AO56"/>
    <mergeCell ref="AP56:AQ56"/>
    <mergeCell ref="AT56:AU56"/>
    <mergeCell ref="AV56:AW56"/>
    <mergeCell ref="C55:D55"/>
    <mergeCell ref="E55:M55"/>
    <mergeCell ref="Q55:R55"/>
    <mergeCell ref="W55:Z55"/>
    <mergeCell ref="AB55:AD55"/>
    <mergeCell ref="AF55:AH55"/>
    <mergeCell ref="AJ55:AK55"/>
    <mergeCell ref="AL55:AM55"/>
    <mergeCell ref="AN55:AO55"/>
    <mergeCell ref="AP53:AQ53"/>
    <mergeCell ref="AT53:AU53"/>
    <mergeCell ref="AV53:AW53"/>
    <mergeCell ref="C54:D54"/>
    <mergeCell ref="E54:M54"/>
    <mergeCell ref="Q54:R54"/>
    <mergeCell ref="W54:Z54"/>
    <mergeCell ref="AB54:AD54"/>
    <mergeCell ref="AV54:AW54"/>
    <mergeCell ref="AF54:AH54"/>
    <mergeCell ref="AJ54:AK54"/>
    <mergeCell ref="AL54:AM54"/>
    <mergeCell ref="AN54:AO54"/>
    <mergeCell ref="AP54:AQ54"/>
    <mergeCell ref="AT54:AU54"/>
    <mergeCell ref="C53:D53"/>
    <mergeCell ref="E53:M53"/>
    <mergeCell ref="Q53:R53"/>
    <mergeCell ref="W53:Z53"/>
    <mergeCell ref="AB53:AD53"/>
    <mergeCell ref="AF53:AH53"/>
    <mergeCell ref="AJ53:AK53"/>
    <mergeCell ref="AL53:AM53"/>
    <mergeCell ref="AN53:AO53"/>
    <mergeCell ref="C51:D51"/>
    <mergeCell ref="E51:M51"/>
    <mergeCell ref="Q51:R51"/>
    <mergeCell ref="W51:Z51"/>
    <mergeCell ref="AB51:AD51"/>
    <mergeCell ref="AV51:AW51"/>
    <mergeCell ref="C52:D52"/>
    <mergeCell ref="E52:M52"/>
    <mergeCell ref="Q52:R52"/>
    <mergeCell ref="W52:Z52"/>
    <mergeCell ref="AB52:AD52"/>
    <mergeCell ref="AF52:AH52"/>
    <mergeCell ref="AJ52:AK52"/>
    <mergeCell ref="AL52:AM52"/>
    <mergeCell ref="AN52:AO52"/>
    <mergeCell ref="AF51:AH51"/>
    <mergeCell ref="AJ51:AK51"/>
    <mergeCell ref="AL51:AM51"/>
    <mergeCell ref="AN51:AO51"/>
    <mergeCell ref="AP51:AQ51"/>
    <mergeCell ref="AT51:AU51"/>
    <mergeCell ref="AP52:AQ52"/>
    <mergeCell ref="AT52:AU52"/>
    <mergeCell ref="AV52:AW52"/>
    <mergeCell ref="AP49:AQ49"/>
    <mergeCell ref="AT49:AU49"/>
    <mergeCell ref="AV49:AW49"/>
    <mergeCell ref="C50:D50"/>
    <mergeCell ref="E50:M50"/>
    <mergeCell ref="Q50:R50"/>
    <mergeCell ref="W50:Z50"/>
    <mergeCell ref="AB50:AD50"/>
    <mergeCell ref="AF50:AH50"/>
    <mergeCell ref="AJ50:AK50"/>
    <mergeCell ref="AL50:AM50"/>
    <mergeCell ref="AN50:AO50"/>
    <mergeCell ref="AP50:AQ50"/>
    <mergeCell ref="AT50:AU50"/>
    <mergeCell ref="AV50:AW50"/>
    <mergeCell ref="C49:D49"/>
    <mergeCell ref="E49:M49"/>
    <mergeCell ref="Q49:R49"/>
    <mergeCell ref="W49:Z49"/>
    <mergeCell ref="AB49:AD49"/>
    <mergeCell ref="AF49:AH49"/>
    <mergeCell ref="AJ49:AK49"/>
    <mergeCell ref="AL49:AM49"/>
    <mergeCell ref="AN49:AO49"/>
    <mergeCell ref="AP47:AQ47"/>
    <mergeCell ref="AT47:AU47"/>
    <mergeCell ref="AV47:AW47"/>
    <mergeCell ref="C48:D48"/>
    <mergeCell ref="E48:M48"/>
    <mergeCell ref="Q48:R48"/>
    <mergeCell ref="W48:Z48"/>
    <mergeCell ref="AB48:AD48"/>
    <mergeCell ref="AV48:AW48"/>
    <mergeCell ref="AF48:AH48"/>
    <mergeCell ref="AJ48:AK48"/>
    <mergeCell ref="AL48:AM48"/>
    <mergeCell ref="AN48:AO48"/>
    <mergeCell ref="AP48:AQ48"/>
    <mergeCell ref="AT48:AU48"/>
    <mergeCell ref="C47:D47"/>
    <mergeCell ref="E47:M47"/>
    <mergeCell ref="Q47:R47"/>
    <mergeCell ref="W47:Z47"/>
    <mergeCell ref="AB47:AD47"/>
    <mergeCell ref="AF47:AH47"/>
    <mergeCell ref="AJ47:AK47"/>
    <mergeCell ref="AL47:AM47"/>
    <mergeCell ref="AN47:AO47"/>
    <mergeCell ref="C45:D45"/>
    <mergeCell ref="E45:M45"/>
    <mergeCell ref="Q45:R45"/>
    <mergeCell ref="W45:Z45"/>
    <mergeCell ref="AB45:AD45"/>
    <mergeCell ref="AV45:AW45"/>
    <mergeCell ref="C46:D46"/>
    <mergeCell ref="E46:M46"/>
    <mergeCell ref="Q46:R46"/>
    <mergeCell ref="W46:Z46"/>
    <mergeCell ref="AB46:AD46"/>
    <mergeCell ref="AF46:AH46"/>
    <mergeCell ref="AJ46:AK46"/>
    <mergeCell ref="AL46:AM46"/>
    <mergeCell ref="AN46:AO46"/>
    <mergeCell ref="AF45:AH45"/>
    <mergeCell ref="AJ45:AK45"/>
    <mergeCell ref="AL45:AM45"/>
    <mergeCell ref="AN45:AO45"/>
    <mergeCell ref="AP45:AQ45"/>
    <mergeCell ref="AT45:AU45"/>
    <mergeCell ref="AP46:AQ46"/>
    <mergeCell ref="AT46:AU46"/>
    <mergeCell ref="AV46:AW46"/>
    <mergeCell ref="AP43:AQ43"/>
    <mergeCell ref="AT43:AU43"/>
    <mergeCell ref="AV43:AW43"/>
    <mergeCell ref="C44:D44"/>
    <mergeCell ref="E44:M44"/>
    <mergeCell ref="Q44:R44"/>
    <mergeCell ref="W44:Z44"/>
    <mergeCell ref="AB44:AD44"/>
    <mergeCell ref="AF44:AH44"/>
    <mergeCell ref="AJ44:AK44"/>
    <mergeCell ref="AL44:AM44"/>
    <mergeCell ref="AN44:AO44"/>
    <mergeCell ref="AP44:AQ44"/>
    <mergeCell ref="AT44:AU44"/>
    <mergeCell ref="AV44:AW44"/>
    <mergeCell ref="C43:D43"/>
    <mergeCell ref="E43:M43"/>
    <mergeCell ref="Q43:R43"/>
    <mergeCell ref="W43:Z43"/>
    <mergeCell ref="AB43:AD43"/>
    <mergeCell ref="AF43:AH43"/>
    <mergeCell ref="AJ43:AK43"/>
    <mergeCell ref="AL43:AM43"/>
    <mergeCell ref="AN43:AO43"/>
    <mergeCell ref="AP41:AQ41"/>
    <mergeCell ref="AT41:AU41"/>
    <mergeCell ref="AV41:AW41"/>
    <mergeCell ref="C42:D42"/>
    <mergeCell ref="E42:M42"/>
    <mergeCell ref="Q42:R42"/>
    <mergeCell ref="W42:Z42"/>
    <mergeCell ref="AB42:AD42"/>
    <mergeCell ref="AV42:AW42"/>
    <mergeCell ref="AF42:AH42"/>
    <mergeCell ref="AJ42:AK42"/>
    <mergeCell ref="AL42:AM42"/>
    <mergeCell ref="AN42:AO42"/>
    <mergeCell ref="AP42:AQ42"/>
    <mergeCell ref="AT42:AU42"/>
    <mergeCell ref="C41:D41"/>
    <mergeCell ref="E41:M41"/>
    <mergeCell ref="Q41:R41"/>
    <mergeCell ref="W41:Z41"/>
    <mergeCell ref="AB41:AD41"/>
    <mergeCell ref="AF41:AH41"/>
    <mergeCell ref="AJ41:AK41"/>
    <mergeCell ref="AL41:AM41"/>
    <mergeCell ref="AN41:AO41"/>
    <mergeCell ref="C39:D39"/>
    <mergeCell ref="E39:M39"/>
    <mergeCell ref="Q39:R39"/>
    <mergeCell ref="W39:Z39"/>
    <mergeCell ref="AB39:AD39"/>
    <mergeCell ref="AV39:AW39"/>
    <mergeCell ref="C40:D40"/>
    <mergeCell ref="E40:M40"/>
    <mergeCell ref="Q40:R40"/>
    <mergeCell ref="W40:Z40"/>
    <mergeCell ref="AB40:AD40"/>
    <mergeCell ref="AF40:AH40"/>
    <mergeCell ref="AJ40:AK40"/>
    <mergeCell ref="AL40:AM40"/>
    <mergeCell ref="AN40:AO40"/>
    <mergeCell ref="AF39:AH39"/>
    <mergeCell ref="AJ39:AK39"/>
    <mergeCell ref="AL39:AM39"/>
    <mergeCell ref="AN39:AO39"/>
    <mergeCell ref="AP39:AQ39"/>
    <mergeCell ref="AT39:AU39"/>
    <mergeCell ref="AP40:AQ40"/>
    <mergeCell ref="AT40:AU40"/>
    <mergeCell ref="AV40:AW40"/>
    <mergeCell ref="AP37:AQ37"/>
    <mergeCell ref="AT37:AU37"/>
    <mergeCell ref="AV37:AW37"/>
    <mergeCell ref="C38:D38"/>
    <mergeCell ref="E38:M38"/>
    <mergeCell ref="Q38:R38"/>
    <mergeCell ref="W38:Z38"/>
    <mergeCell ref="AB38:AD38"/>
    <mergeCell ref="AF38:AH38"/>
    <mergeCell ref="AJ38:AK38"/>
    <mergeCell ref="AL38:AM38"/>
    <mergeCell ref="AN38:AO38"/>
    <mergeCell ref="AP38:AQ38"/>
    <mergeCell ref="AT38:AU38"/>
    <mergeCell ref="AV38:AW38"/>
    <mergeCell ref="C37:D37"/>
    <mergeCell ref="E37:M37"/>
    <mergeCell ref="Q37:R37"/>
    <mergeCell ref="W37:Z37"/>
    <mergeCell ref="AB37:AD37"/>
    <mergeCell ref="AF37:AH37"/>
    <mergeCell ref="AJ37:AK37"/>
    <mergeCell ref="AL37:AM37"/>
    <mergeCell ref="AN37:AO37"/>
    <mergeCell ref="AP35:AQ35"/>
    <mergeCell ref="AT35:AU35"/>
    <mergeCell ref="AV35:AW35"/>
    <mergeCell ref="C36:D36"/>
    <mergeCell ref="E36:M36"/>
    <mergeCell ref="Q36:R36"/>
    <mergeCell ref="W36:Z36"/>
    <mergeCell ref="AB36:AD36"/>
    <mergeCell ref="AV36:AW36"/>
    <mergeCell ref="AF36:AH36"/>
    <mergeCell ref="AJ36:AK36"/>
    <mergeCell ref="AL36:AM36"/>
    <mergeCell ref="AN36:AO36"/>
    <mergeCell ref="AP36:AQ36"/>
    <mergeCell ref="AT36:AU36"/>
    <mergeCell ref="C35:D35"/>
    <mergeCell ref="E35:M35"/>
    <mergeCell ref="Q35:R35"/>
    <mergeCell ref="W35:Z35"/>
    <mergeCell ref="AB35:AD35"/>
    <mergeCell ref="AF35:AH35"/>
    <mergeCell ref="AJ35:AK35"/>
    <mergeCell ref="AL35:AM35"/>
    <mergeCell ref="AN35:AO35"/>
    <mergeCell ref="C33:D33"/>
    <mergeCell ref="E33:M33"/>
    <mergeCell ref="Q33:R33"/>
    <mergeCell ref="W33:Z33"/>
    <mergeCell ref="AB33:AD33"/>
    <mergeCell ref="AV33:AW33"/>
    <mergeCell ref="C34:D34"/>
    <mergeCell ref="E34:M34"/>
    <mergeCell ref="Q34:R34"/>
    <mergeCell ref="W34:Z34"/>
    <mergeCell ref="AB34:AD34"/>
    <mergeCell ref="AF34:AH34"/>
    <mergeCell ref="AJ34:AK34"/>
    <mergeCell ref="AL34:AM34"/>
    <mergeCell ref="AN34:AO34"/>
    <mergeCell ref="AF33:AH33"/>
    <mergeCell ref="AJ33:AK33"/>
    <mergeCell ref="AL33:AM33"/>
    <mergeCell ref="AN33:AO33"/>
    <mergeCell ref="AP33:AQ33"/>
    <mergeCell ref="AT33:AU33"/>
    <mergeCell ref="AP34:AQ34"/>
    <mergeCell ref="AT34:AU34"/>
    <mergeCell ref="AV34:AW34"/>
    <mergeCell ref="AP31:AQ31"/>
    <mergeCell ref="AT31:AU31"/>
    <mergeCell ref="AV31:AW31"/>
    <mergeCell ref="C32:D32"/>
    <mergeCell ref="E32:M32"/>
    <mergeCell ref="Q32:R32"/>
    <mergeCell ref="W32:Z32"/>
    <mergeCell ref="AB32:AD32"/>
    <mergeCell ref="AF32:AH32"/>
    <mergeCell ref="AJ32:AK32"/>
    <mergeCell ref="AL32:AM32"/>
    <mergeCell ref="AN32:AO32"/>
    <mergeCell ref="AP32:AQ32"/>
    <mergeCell ref="AT32:AU32"/>
    <mergeCell ref="AV32:AW32"/>
    <mergeCell ref="C31:D31"/>
    <mergeCell ref="E31:M31"/>
    <mergeCell ref="Q31:R31"/>
    <mergeCell ref="W31:Z31"/>
    <mergeCell ref="AB31:AD31"/>
    <mergeCell ref="AF31:AH31"/>
    <mergeCell ref="AJ31:AK31"/>
    <mergeCell ref="AL31:AM31"/>
    <mergeCell ref="AN31:AO31"/>
    <mergeCell ref="AP29:AQ29"/>
    <mergeCell ref="AT29:AU29"/>
    <mergeCell ref="AV29:AW29"/>
    <mergeCell ref="C30:D30"/>
    <mergeCell ref="E30:M30"/>
    <mergeCell ref="Q30:R30"/>
    <mergeCell ref="W30:Z30"/>
    <mergeCell ref="AB30:AD30"/>
    <mergeCell ref="AV30:AW30"/>
    <mergeCell ref="AF30:AH30"/>
    <mergeCell ref="AJ30:AK30"/>
    <mergeCell ref="AL30:AM30"/>
    <mergeCell ref="AN30:AO30"/>
    <mergeCell ref="AP30:AQ30"/>
    <mergeCell ref="AT30:AU30"/>
    <mergeCell ref="C29:D29"/>
    <mergeCell ref="E29:M29"/>
    <mergeCell ref="Q29:R29"/>
    <mergeCell ref="W29:Z29"/>
    <mergeCell ref="AB29:AD29"/>
    <mergeCell ref="AF29:AH29"/>
    <mergeCell ref="AJ29:AK29"/>
    <mergeCell ref="AL29:AM29"/>
    <mergeCell ref="AN29:AO29"/>
    <mergeCell ref="C27:D27"/>
    <mergeCell ref="E27:M27"/>
    <mergeCell ref="Q27:R27"/>
    <mergeCell ref="W27:Z27"/>
    <mergeCell ref="AB27:AD27"/>
    <mergeCell ref="AV27:AW27"/>
    <mergeCell ref="C28:D28"/>
    <mergeCell ref="E28:M28"/>
    <mergeCell ref="Q28:R28"/>
    <mergeCell ref="W28:Z28"/>
    <mergeCell ref="AB28:AD28"/>
    <mergeCell ref="AF28:AH28"/>
    <mergeCell ref="AJ28:AK28"/>
    <mergeCell ref="AL28:AM28"/>
    <mergeCell ref="AN28:AO28"/>
    <mergeCell ref="AF27:AH27"/>
    <mergeCell ref="AJ27:AK27"/>
    <mergeCell ref="AL27:AM27"/>
    <mergeCell ref="AN27:AO27"/>
    <mergeCell ref="AP27:AQ27"/>
    <mergeCell ref="AT27:AU27"/>
    <mergeCell ref="AP28:AQ28"/>
    <mergeCell ref="AT28:AU28"/>
    <mergeCell ref="AV28:AW28"/>
    <mergeCell ref="AP25:AQ25"/>
    <mergeCell ref="AT25:AU25"/>
    <mergeCell ref="AV25:AW25"/>
    <mergeCell ref="C26:D26"/>
    <mergeCell ref="E26:M26"/>
    <mergeCell ref="Q26:R26"/>
    <mergeCell ref="W26:Z26"/>
    <mergeCell ref="AB26:AD26"/>
    <mergeCell ref="AF26:AH26"/>
    <mergeCell ref="AJ26:AK26"/>
    <mergeCell ref="AL26:AM26"/>
    <mergeCell ref="AN26:AO26"/>
    <mergeCell ref="AP26:AQ26"/>
    <mergeCell ref="AT26:AU26"/>
    <mergeCell ref="AV26:AW26"/>
    <mergeCell ref="C25:D25"/>
    <mergeCell ref="E25:M25"/>
    <mergeCell ref="Q25:R25"/>
    <mergeCell ref="W25:Z25"/>
    <mergeCell ref="AB25:AD25"/>
    <mergeCell ref="AF25:AH25"/>
    <mergeCell ref="AJ25:AK25"/>
    <mergeCell ref="AL25:AM25"/>
    <mergeCell ref="AN25:AO25"/>
    <mergeCell ref="AP23:AQ23"/>
    <mergeCell ref="AT23:AU23"/>
    <mergeCell ref="AV23:AW23"/>
    <mergeCell ref="C24:D24"/>
    <mergeCell ref="E24:M24"/>
    <mergeCell ref="Q24:R24"/>
    <mergeCell ref="W24:Z24"/>
    <mergeCell ref="AB24:AD24"/>
    <mergeCell ref="AV24:AW24"/>
    <mergeCell ref="AF24:AH24"/>
    <mergeCell ref="AJ24:AK24"/>
    <mergeCell ref="AL24:AM24"/>
    <mergeCell ref="AN24:AO24"/>
    <mergeCell ref="AP24:AQ24"/>
    <mergeCell ref="AT24:AU24"/>
    <mergeCell ref="C23:D23"/>
    <mergeCell ref="E23:M23"/>
    <mergeCell ref="Q23:R23"/>
    <mergeCell ref="W23:Z23"/>
    <mergeCell ref="AB23:AD23"/>
    <mergeCell ref="AF23:AH23"/>
    <mergeCell ref="AJ23:AK23"/>
    <mergeCell ref="AL23:AM23"/>
    <mergeCell ref="AN23:AO23"/>
    <mergeCell ref="C21:D21"/>
    <mergeCell ref="E21:M21"/>
    <mergeCell ref="Q21:R21"/>
    <mergeCell ref="W21:Z21"/>
    <mergeCell ref="AB21:AD21"/>
    <mergeCell ref="AV21:AW21"/>
    <mergeCell ref="C22:D22"/>
    <mergeCell ref="E22:M22"/>
    <mergeCell ref="Q22:R22"/>
    <mergeCell ref="W22:Z22"/>
    <mergeCell ref="AB22:AD22"/>
    <mergeCell ref="AF22:AH22"/>
    <mergeCell ref="AJ22:AK22"/>
    <mergeCell ref="AL22:AM22"/>
    <mergeCell ref="AN22:AO22"/>
    <mergeCell ref="AF21:AH21"/>
    <mergeCell ref="AJ21:AK21"/>
    <mergeCell ref="AL21:AM21"/>
    <mergeCell ref="AN21:AO21"/>
    <mergeCell ref="AP21:AQ21"/>
    <mergeCell ref="AT21:AU21"/>
    <mergeCell ref="AP22:AQ22"/>
    <mergeCell ref="AT22:AU22"/>
    <mergeCell ref="AV22:AW22"/>
    <mergeCell ref="AP19:AQ19"/>
    <mergeCell ref="AT19:AU19"/>
    <mergeCell ref="AV19:AW19"/>
    <mergeCell ref="C20:D20"/>
    <mergeCell ref="E20:M20"/>
    <mergeCell ref="Q20:R20"/>
    <mergeCell ref="W20:Z20"/>
    <mergeCell ref="AB20:AD20"/>
    <mergeCell ref="AF20:AH20"/>
    <mergeCell ref="AJ20:AK20"/>
    <mergeCell ref="AL20:AM20"/>
    <mergeCell ref="AN20:AO20"/>
    <mergeCell ref="AP20:AQ20"/>
    <mergeCell ref="AT20:AU20"/>
    <mergeCell ref="AV20:AW20"/>
    <mergeCell ref="C19:D19"/>
    <mergeCell ref="E19:M19"/>
    <mergeCell ref="Q19:R19"/>
    <mergeCell ref="W19:Z19"/>
    <mergeCell ref="AB19:AD19"/>
    <mergeCell ref="AF19:AH19"/>
    <mergeCell ref="AJ19:AK19"/>
    <mergeCell ref="AL19:AM19"/>
    <mergeCell ref="AN19:AO19"/>
    <mergeCell ref="AP17:AQ17"/>
    <mergeCell ref="AT17:AU17"/>
    <mergeCell ref="AV17:AW17"/>
    <mergeCell ref="C18:D18"/>
    <mergeCell ref="E18:M18"/>
    <mergeCell ref="Q18:R18"/>
    <mergeCell ref="W18:Z18"/>
    <mergeCell ref="AB18:AD18"/>
    <mergeCell ref="AV18:AW18"/>
    <mergeCell ref="AF18:AH18"/>
    <mergeCell ref="AJ18:AK18"/>
    <mergeCell ref="AL18:AM18"/>
    <mergeCell ref="AN18:AO18"/>
    <mergeCell ref="AP18:AQ18"/>
    <mergeCell ref="AT18:AU18"/>
    <mergeCell ref="C17:D17"/>
    <mergeCell ref="E17:M17"/>
    <mergeCell ref="Q17:R17"/>
    <mergeCell ref="W17:Z17"/>
    <mergeCell ref="AB17:AD17"/>
    <mergeCell ref="AF17:AH17"/>
    <mergeCell ref="AJ17:AK17"/>
    <mergeCell ref="AL17:AM17"/>
    <mergeCell ref="AN17:AO17"/>
    <mergeCell ref="C15:D15"/>
    <mergeCell ref="E15:M15"/>
    <mergeCell ref="Q15:R15"/>
    <mergeCell ref="W15:Z15"/>
    <mergeCell ref="AB15:AD15"/>
    <mergeCell ref="AV15:AW15"/>
    <mergeCell ref="C16:D16"/>
    <mergeCell ref="E16:M16"/>
    <mergeCell ref="Q16:R16"/>
    <mergeCell ref="W16:Z16"/>
    <mergeCell ref="AB16:AD16"/>
    <mergeCell ref="AF16:AH16"/>
    <mergeCell ref="AJ16:AK16"/>
    <mergeCell ref="AL16:AM16"/>
    <mergeCell ref="AN16:AO16"/>
    <mergeCell ref="AF15:AH15"/>
    <mergeCell ref="AJ15:AK15"/>
    <mergeCell ref="AL15:AM15"/>
    <mergeCell ref="AN15:AO15"/>
    <mergeCell ref="AP15:AQ15"/>
    <mergeCell ref="AT15:AU15"/>
    <mergeCell ref="AP16:AQ16"/>
    <mergeCell ref="AT16:AU16"/>
    <mergeCell ref="AV16:AW16"/>
    <mergeCell ref="AP13:AQ13"/>
    <mergeCell ref="AT13:AU13"/>
    <mergeCell ref="AV13:AW13"/>
    <mergeCell ref="C14:D14"/>
    <mergeCell ref="E14:M14"/>
    <mergeCell ref="Q14:R14"/>
    <mergeCell ref="W14:Z14"/>
    <mergeCell ref="AB14:AD14"/>
    <mergeCell ref="AF14:AH14"/>
    <mergeCell ref="AJ14:AK14"/>
    <mergeCell ref="AL14:AM14"/>
    <mergeCell ref="AN14:AO14"/>
    <mergeCell ref="AP14:AQ14"/>
    <mergeCell ref="AT14:AU14"/>
    <mergeCell ref="AV14:AW14"/>
    <mergeCell ref="C13:D13"/>
    <mergeCell ref="E13:M13"/>
    <mergeCell ref="Q13:R13"/>
    <mergeCell ref="W13:Z13"/>
    <mergeCell ref="AB13:AD13"/>
    <mergeCell ref="AF13:AH13"/>
    <mergeCell ref="AJ13:AK13"/>
    <mergeCell ref="AL13:AM13"/>
    <mergeCell ref="AN13:AO13"/>
    <mergeCell ref="AV11:AW11"/>
    <mergeCell ref="C12:D12"/>
    <mergeCell ref="E12:M12"/>
    <mergeCell ref="Q12:R12"/>
    <mergeCell ref="W12:Z12"/>
    <mergeCell ref="AB12:AD12"/>
    <mergeCell ref="AV12:AW12"/>
    <mergeCell ref="AF12:AH12"/>
    <mergeCell ref="AJ12:AK12"/>
    <mergeCell ref="AL12:AM12"/>
    <mergeCell ref="AN12:AO12"/>
    <mergeCell ref="AP12:AQ12"/>
    <mergeCell ref="AT12:AU12"/>
    <mergeCell ref="C11:D11"/>
    <mergeCell ref="E11:M11"/>
    <mergeCell ref="Q11:R11"/>
    <mergeCell ref="W11:Z11"/>
    <mergeCell ref="AB11:AD11"/>
    <mergeCell ref="AF11:AH11"/>
    <mergeCell ref="AJ11:AK11"/>
    <mergeCell ref="AL11:AM11"/>
    <mergeCell ref="AN11:AO11"/>
    <mergeCell ref="AP11:AQ11"/>
    <mergeCell ref="AR11:AS11"/>
    <mergeCell ref="AJ8:AO8"/>
    <mergeCell ref="AR8:AW8"/>
    <mergeCell ref="AT11:AU11"/>
    <mergeCell ref="W8:Z8"/>
    <mergeCell ref="E9:J10"/>
    <mergeCell ref="N9:O10"/>
    <mergeCell ref="Q9:R10"/>
    <mergeCell ref="X9:Z10"/>
    <mergeCell ref="AB9:AD10"/>
    <mergeCell ref="AF9:AH10"/>
    <mergeCell ref="AJ9:AK9"/>
    <mergeCell ref="AL9:AM9"/>
    <mergeCell ref="AN9:AO9"/>
    <mergeCell ref="AP9:AQ9"/>
    <mergeCell ref="AR9:AS9"/>
    <mergeCell ref="AT9:AU9"/>
    <mergeCell ref="AV9:AW9"/>
    <mergeCell ref="AJ10:AK10"/>
    <mergeCell ref="AL10:AM10"/>
    <mergeCell ref="AN10:AO10"/>
    <mergeCell ref="AP10:AQ10"/>
    <mergeCell ref="AR10:AS10"/>
    <mergeCell ref="AT10:AU10"/>
    <mergeCell ref="AV10:AW10"/>
  </mergeCells>
  <pageMargins left="0.7" right="0.7" top="0.75" bottom="0.75" header="0.3" footer="0.3"/>
  <pageSetup scale="70" orientation="portrait" horizontalDpi="1200" verticalDpi="1200" r:id="rId1"/>
  <legacyDrawingHF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9B9913-8A7A-C14B-B35C-8DCA6C3230D8}">
  <sheetPr codeName="Sheet27">
    <pageSetUpPr fitToPage="1"/>
  </sheetPr>
  <dimension ref="B1:DD97"/>
  <sheetViews>
    <sheetView tabSelected="1" zoomScaleNormal="100" workbookViewId="0">
      <selection activeCell="N42" sqref="N42:Y42"/>
    </sheetView>
  </sheetViews>
  <sheetFormatPr baseColWidth="10" defaultColWidth="4.6640625" defaultRowHeight="17" x14ac:dyDescent="0.2"/>
  <cols>
    <col min="1" max="1" width="4.6640625" style="7"/>
    <col min="2" max="2" width="4.6640625" style="7" customWidth="1"/>
    <col min="3" max="3" width="4.6640625" style="31"/>
    <col min="4" max="13" width="4.6640625" style="7"/>
    <col min="14" max="16" width="4.6640625" style="7" customWidth="1"/>
    <col min="17" max="18" width="4.6640625" style="44" customWidth="1"/>
    <col min="19" max="23" width="4.6640625" style="7" customWidth="1"/>
    <col min="24" max="26" width="4.6640625" style="24" customWidth="1"/>
    <col min="27" max="27" width="4.6640625" style="7" customWidth="1"/>
    <col min="28" max="30" width="4.6640625" style="24"/>
    <col min="31" max="31" width="4.6640625" style="7"/>
    <col min="32" max="34" width="4.6640625" style="24"/>
    <col min="35" max="35" width="4.6640625" style="7"/>
    <col min="42" max="107" width="4.6640625" style="7"/>
    <col min="108" max="108" width="0" style="7" hidden="1" customWidth="1"/>
    <col min="109" max="16384" width="4.6640625" style="7"/>
  </cols>
  <sheetData>
    <row r="1" spans="2:108" ht="16.5" customHeight="1" x14ac:dyDescent="0.2">
      <c r="B1"/>
      <c r="C1"/>
      <c r="D1"/>
      <c r="E1"/>
      <c r="F1"/>
      <c r="G1"/>
      <c r="H1"/>
      <c r="I1"/>
      <c r="J1"/>
      <c r="K1"/>
      <c r="Q1" s="63"/>
      <c r="R1" s="63"/>
      <c r="AB1" s="7"/>
      <c r="AC1" s="7"/>
      <c r="AD1" s="7"/>
      <c r="AF1" s="7"/>
      <c r="AG1" s="7"/>
      <c r="AH1" s="7"/>
      <c r="AJ1" s="7"/>
      <c r="AK1" s="7"/>
      <c r="AL1" s="7"/>
      <c r="AM1" s="7"/>
      <c r="AN1" s="7"/>
      <c r="AO1" s="24"/>
      <c r="AP1" s="24"/>
      <c r="AQ1" s="24"/>
      <c r="DD1" s="7" t="s">
        <v>276</v>
      </c>
    </row>
    <row r="2" spans="2:108" ht="6.5" customHeight="1" x14ac:dyDescent="0.2">
      <c r="B2"/>
      <c r="C2"/>
      <c r="D2"/>
      <c r="E2"/>
      <c r="F2"/>
      <c r="G2"/>
      <c r="H2"/>
      <c r="I2"/>
      <c r="J2"/>
      <c r="K2"/>
      <c r="L2"/>
      <c r="M2"/>
      <c r="Q2" s="63"/>
      <c r="R2" s="63"/>
      <c r="AB2" s="7"/>
      <c r="AC2" s="7"/>
      <c r="AD2" s="7"/>
      <c r="AF2" s="7"/>
      <c r="AG2" s="7"/>
      <c r="AH2" s="7"/>
      <c r="AJ2" s="7"/>
      <c r="AK2" s="7"/>
      <c r="AL2" s="7"/>
      <c r="AM2" s="7"/>
      <c r="AN2" s="7"/>
      <c r="AO2" s="24"/>
      <c r="AP2" s="24"/>
      <c r="AQ2" s="24"/>
    </row>
    <row r="3" spans="2:108" ht="16.5" customHeight="1" x14ac:dyDescent="0.2">
      <c r="B3"/>
      <c r="C3"/>
      <c r="D3"/>
      <c r="E3"/>
      <c r="F3"/>
      <c r="G3"/>
      <c r="H3"/>
      <c r="I3"/>
      <c r="J3"/>
      <c r="K3"/>
      <c r="L3"/>
      <c r="M3"/>
      <c r="Q3" s="63"/>
      <c r="R3" s="7"/>
      <c r="AB3" s="7"/>
      <c r="AC3" s="7"/>
      <c r="AD3" s="7"/>
      <c r="AF3" s="7"/>
      <c r="AG3" s="7"/>
      <c r="AH3" s="7"/>
      <c r="AJ3" s="7"/>
      <c r="AK3" s="7"/>
      <c r="AL3" s="7"/>
      <c r="AM3" s="7"/>
      <c r="AN3" s="7"/>
      <c r="AO3" s="24"/>
      <c r="AP3" s="24"/>
      <c r="AQ3" s="24"/>
    </row>
    <row r="4" spans="2:108" ht="6.5" customHeight="1" x14ac:dyDescent="0.2">
      <c r="B4"/>
      <c r="C4"/>
      <c r="D4"/>
      <c r="E4"/>
      <c r="F4"/>
      <c r="G4"/>
      <c r="H4"/>
      <c r="I4"/>
      <c r="J4"/>
      <c r="K4"/>
      <c r="Q4" s="63"/>
      <c r="R4" s="7"/>
      <c r="AB4" s="7"/>
      <c r="AC4" s="7"/>
      <c r="AD4" s="7"/>
      <c r="AF4" s="7"/>
      <c r="AG4" s="7"/>
      <c r="AH4" s="7"/>
      <c r="AJ4" s="7"/>
      <c r="AK4" s="7"/>
      <c r="AL4" s="7"/>
      <c r="AM4" s="7"/>
      <c r="AN4" s="7"/>
      <c r="AO4" s="24"/>
      <c r="AP4" s="24"/>
      <c r="AQ4" s="24"/>
    </row>
    <row r="5" spans="2:108" ht="16.5" customHeight="1" x14ac:dyDescent="0.2">
      <c r="B5"/>
      <c r="C5"/>
      <c r="D5"/>
      <c r="E5"/>
      <c r="F5"/>
      <c r="G5"/>
      <c r="H5"/>
      <c r="I5"/>
      <c r="J5"/>
      <c r="K5"/>
      <c r="L5"/>
      <c r="M5"/>
      <c r="Q5" s="63"/>
      <c r="R5" s="63"/>
      <c r="AB5" s="7"/>
      <c r="AC5" s="7"/>
      <c r="AD5" s="7"/>
      <c r="AF5" s="7"/>
      <c r="AG5" s="7"/>
      <c r="AH5" s="7"/>
      <c r="AJ5" s="7"/>
      <c r="AK5" s="7"/>
      <c r="AL5" s="7"/>
      <c r="AM5" s="7"/>
      <c r="AN5" s="7"/>
      <c r="AO5" s="24"/>
      <c r="AP5" s="24"/>
      <c r="AQ5" s="24"/>
    </row>
    <row r="6" spans="2:108" ht="16.25" customHeight="1" x14ac:dyDescent="0.2">
      <c r="B6"/>
      <c r="C6"/>
      <c r="D6"/>
      <c r="E6"/>
      <c r="F6"/>
      <c r="G6"/>
      <c r="H6"/>
      <c r="I6"/>
      <c r="J6"/>
      <c r="K6"/>
    </row>
    <row r="7" spans="2:108" ht="16.25" customHeight="1" x14ac:dyDescent="0.2"/>
    <row r="8" spans="2:108" s="323" customFormat="1" ht="20" customHeight="1" x14ac:dyDescent="0.2">
      <c r="C8" s="184" t="s">
        <v>852</v>
      </c>
      <c r="D8" s="17" t="s">
        <v>853</v>
      </c>
      <c r="E8" s="5"/>
      <c r="F8" s="349"/>
      <c r="G8" s="349"/>
      <c r="H8" s="349"/>
      <c r="I8" s="349"/>
      <c r="J8" s="349"/>
      <c r="K8" s="349"/>
      <c r="L8" s="349"/>
      <c r="M8" s="349"/>
      <c r="N8" s="349"/>
      <c r="O8" s="349"/>
      <c r="P8" s="349"/>
      <c r="Q8" s="360"/>
      <c r="R8" s="360"/>
      <c r="S8" s="349"/>
      <c r="T8" s="349"/>
      <c r="U8" s="349"/>
      <c r="V8" s="349"/>
      <c r="W8" s="787"/>
      <c r="X8" s="787"/>
      <c r="Y8" s="787"/>
      <c r="Z8" s="788"/>
      <c r="AB8" s="351"/>
      <c r="AC8" s="352"/>
      <c r="AD8" s="361"/>
      <c r="AF8" s="351"/>
      <c r="AG8" s="352"/>
      <c r="AH8" s="361"/>
      <c r="AJ8" s="651" t="s">
        <v>148</v>
      </c>
      <c r="AK8" s="652"/>
      <c r="AL8" s="652"/>
      <c r="AM8" s="652"/>
      <c r="AN8" s="652"/>
      <c r="AO8" s="652"/>
      <c r="AP8" s="359"/>
      <c r="AQ8" s="359"/>
      <c r="AR8" s="653" t="s">
        <v>857</v>
      </c>
      <c r="AS8" s="652"/>
      <c r="AT8" s="652"/>
      <c r="AU8" s="652"/>
      <c r="AV8" s="652"/>
      <c r="AW8" s="652"/>
    </row>
    <row r="9" spans="2:108" s="115" customFormat="1" ht="16.25" customHeight="1" x14ac:dyDescent="0.15">
      <c r="C9" s="163"/>
      <c r="D9" s="124"/>
      <c r="E9" s="792" t="s">
        <v>384</v>
      </c>
      <c r="F9" s="792"/>
      <c r="G9" s="792"/>
      <c r="H9" s="792"/>
      <c r="I9" s="792"/>
      <c r="J9" s="145"/>
      <c r="K9" s="145"/>
      <c r="L9" s="145"/>
      <c r="M9" s="145"/>
      <c r="N9" s="668" t="s">
        <v>375</v>
      </c>
      <c r="O9" s="668"/>
      <c r="P9" s="145"/>
      <c r="Q9" s="790" t="s">
        <v>220</v>
      </c>
      <c r="R9" s="790"/>
      <c r="S9" s="145"/>
      <c r="T9" s="796" t="s">
        <v>400</v>
      </c>
      <c r="U9" s="758" t="s">
        <v>144</v>
      </c>
      <c r="V9" s="758"/>
      <c r="W9" s="794" t="s">
        <v>370</v>
      </c>
      <c r="X9" s="794"/>
      <c r="Y9" s="794"/>
      <c r="Z9" s="795"/>
      <c r="AB9" s="781" t="s">
        <v>363</v>
      </c>
      <c r="AC9" s="782"/>
      <c r="AD9" s="783"/>
      <c r="AF9" s="781" t="s">
        <v>447</v>
      </c>
      <c r="AG9" s="782"/>
      <c r="AH9" s="783"/>
      <c r="AJ9" s="688" t="s">
        <v>147</v>
      </c>
      <c r="AK9" s="688"/>
      <c r="AL9" s="688" t="s">
        <v>221</v>
      </c>
      <c r="AM9" s="688"/>
      <c r="AN9" s="688" t="s">
        <v>856</v>
      </c>
      <c r="AO9" s="688"/>
      <c r="AP9" s="683" t="s">
        <v>89</v>
      </c>
      <c r="AQ9" s="683"/>
      <c r="AR9" s="683" t="s">
        <v>353</v>
      </c>
      <c r="AS9" s="683"/>
      <c r="AT9" s="683" t="s">
        <v>858</v>
      </c>
      <c r="AU9" s="683"/>
      <c r="AV9" s="683" t="s">
        <v>858</v>
      </c>
      <c r="AW9" s="683"/>
      <c r="AX9" s="110"/>
    </row>
    <row r="10" spans="2:108" s="115" customFormat="1" ht="16.25" customHeight="1" x14ac:dyDescent="0.15">
      <c r="C10" s="164"/>
      <c r="D10" s="177"/>
      <c r="E10" s="793"/>
      <c r="F10" s="793"/>
      <c r="G10" s="793"/>
      <c r="H10" s="793"/>
      <c r="I10" s="793"/>
      <c r="J10" s="148"/>
      <c r="K10" s="148"/>
      <c r="L10" s="148"/>
      <c r="M10" s="148"/>
      <c r="N10" s="669"/>
      <c r="O10" s="669"/>
      <c r="P10" s="148"/>
      <c r="Q10" s="791"/>
      <c r="R10" s="791"/>
      <c r="S10" s="148"/>
      <c r="T10" s="797"/>
      <c r="U10" s="149">
        <v>1.5</v>
      </c>
      <c r="V10" s="149">
        <v>2</v>
      </c>
      <c r="W10" s="691"/>
      <c r="X10" s="691"/>
      <c r="Y10" s="691"/>
      <c r="Z10" s="692"/>
      <c r="AB10" s="673"/>
      <c r="AC10" s="674"/>
      <c r="AD10" s="675"/>
      <c r="AF10" s="673"/>
      <c r="AG10" s="674"/>
      <c r="AH10" s="675"/>
      <c r="AJ10" s="695" t="s">
        <v>223</v>
      </c>
      <c r="AK10" s="695"/>
      <c r="AL10" s="695" t="s">
        <v>220</v>
      </c>
      <c r="AM10" s="695"/>
      <c r="AN10" s="695" t="s">
        <v>220</v>
      </c>
      <c r="AO10" s="695"/>
      <c r="AP10" s="684" t="s">
        <v>220</v>
      </c>
      <c r="AQ10" s="684"/>
      <c r="AR10" s="684" t="s">
        <v>222</v>
      </c>
      <c r="AS10" s="684"/>
      <c r="AT10" s="684" t="s">
        <v>859</v>
      </c>
      <c r="AU10" s="684"/>
      <c r="AV10" s="684" t="s">
        <v>807</v>
      </c>
      <c r="AW10" s="684"/>
      <c r="AX10" s="110"/>
    </row>
    <row r="11" spans="2:108" s="51" customFormat="1" ht="19.5" customHeight="1" x14ac:dyDescent="0.15">
      <c r="C11" s="757">
        <v>100</v>
      </c>
      <c r="D11" s="419"/>
      <c r="E11" s="700" t="s">
        <v>308</v>
      </c>
      <c r="F11" s="700"/>
      <c r="G11" s="700"/>
      <c r="H11" s="700"/>
      <c r="I11" s="700"/>
      <c r="J11" s="700"/>
      <c r="K11" s="700"/>
      <c r="L11" s="700"/>
      <c r="M11" s="700"/>
      <c r="N11" s="309">
        <v>1</v>
      </c>
      <c r="O11" s="309" t="s">
        <v>116</v>
      </c>
      <c r="P11" s="310" t="s">
        <v>117</v>
      </c>
      <c r="Q11" s="789">
        <v>1000</v>
      </c>
      <c r="R11" s="789"/>
      <c r="S11" s="311" t="s">
        <v>143</v>
      </c>
      <c r="T11" s="309"/>
      <c r="U11" s="309">
        <v>1</v>
      </c>
      <c r="V11" s="309"/>
      <c r="W11" s="664">
        <f t="shared" ref="W11" si="0">IF(ISNUMBER(N11),(N11*Q11*IF(ISNUMBER(T11),T11,1)+(IFERROR(U11*(Q11/AJ11)*1.5,0))+(IFERROR(V11*(Q11/AJ11)*2,0))),0)</f>
        <v>1150</v>
      </c>
      <c r="X11" s="664"/>
      <c r="Y11" s="664"/>
      <c r="Z11" s="665"/>
      <c r="AB11" s="663">
        <v>0</v>
      </c>
      <c r="AC11" s="664"/>
      <c r="AD11" s="665"/>
      <c r="AF11" s="663">
        <f t="shared" ref="AF11:AF40" si="1">AB11-W11</f>
        <v>-1150</v>
      </c>
      <c r="AG11" s="664"/>
      <c r="AH11" s="665"/>
      <c r="AJ11" s="681">
        <v>10</v>
      </c>
      <c r="AK11" s="682"/>
      <c r="AL11" s="677">
        <f t="shared" ref="AL11:AL13" si="2">IFERROR(Q11/(AJ11+((AJ11-HourlyState_M)*0.5)),0)</f>
        <v>66.666666666666671</v>
      </c>
      <c r="AM11" s="678"/>
      <c r="AN11" s="677">
        <f t="shared" ref="AN11:AN33" si="3">AL11*1.5</f>
        <v>100</v>
      </c>
      <c r="AO11" s="678"/>
      <c r="AP11" s="880">
        <v>0</v>
      </c>
      <c r="AQ11" s="880"/>
      <c r="AR11" s="881">
        <v>8</v>
      </c>
      <c r="AS11" s="881"/>
      <c r="AT11" s="696">
        <f t="shared" ref="AT11" si="4">AL11*ThisSheetState</f>
        <v>533.33333333333337</v>
      </c>
      <c r="AU11" s="697"/>
      <c r="AV11" s="696">
        <f t="shared" ref="AV11" si="5">(AJ11-ThisSheetState)*AN11</f>
        <v>200</v>
      </c>
      <c r="AW11" s="697"/>
    </row>
    <row r="12" spans="2:108" s="51" customFormat="1" ht="19.5" customHeight="1" x14ac:dyDescent="0.15">
      <c r="C12" s="757">
        <f>C11+1</f>
        <v>101</v>
      </c>
      <c r="D12" s="419"/>
      <c r="E12" s="700" t="s">
        <v>308</v>
      </c>
      <c r="F12" s="700"/>
      <c r="G12" s="700"/>
      <c r="H12" s="700"/>
      <c r="I12" s="700"/>
      <c r="J12" s="700"/>
      <c r="K12" s="700"/>
      <c r="L12" s="700"/>
      <c r="M12" s="700"/>
      <c r="N12" s="309"/>
      <c r="O12" s="309" t="s">
        <v>116</v>
      </c>
      <c r="P12" s="310" t="s">
        <v>117</v>
      </c>
      <c r="Q12" s="789"/>
      <c r="R12" s="789"/>
      <c r="S12" s="311" t="s">
        <v>143</v>
      </c>
      <c r="T12" s="309"/>
      <c r="U12" s="309"/>
      <c r="V12" s="309"/>
      <c r="W12" s="664">
        <f t="shared" ref="W12:W38" si="6">IF(ISNUMBER(N12),(N12*Q12*IF(ISNUMBER(T12),T12,1)+(IFERROR(U12*(Q12/AJ12)*1.5,0))+(IFERROR(V12*(Q12/AJ12)*2,0))),0)</f>
        <v>0</v>
      </c>
      <c r="X12" s="664"/>
      <c r="Y12" s="664"/>
      <c r="Z12" s="665"/>
      <c r="AB12" s="663">
        <v>0</v>
      </c>
      <c r="AC12" s="664"/>
      <c r="AD12" s="665"/>
      <c r="AF12" s="663">
        <f t="shared" si="1"/>
        <v>0</v>
      </c>
      <c r="AG12" s="664"/>
      <c r="AH12" s="665"/>
      <c r="AJ12" s="710">
        <v>10</v>
      </c>
      <c r="AK12" s="711"/>
      <c r="AL12" s="677">
        <f t="shared" si="2"/>
        <v>0</v>
      </c>
      <c r="AM12" s="678"/>
      <c r="AN12" s="677">
        <f t="shared" si="3"/>
        <v>0</v>
      </c>
      <c r="AO12" s="678"/>
      <c r="AP12" s="676"/>
      <c r="AQ12" s="461"/>
      <c r="AT12" s="696">
        <f t="shared" ref="AT12:AT38" si="7">AL12*ThisSheetState</f>
        <v>0</v>
      </c>
      <c r="AU12" s="697"/>
      <c r="AV12" s="696">
        <f t="shared" ref="AV12:AV38" si="8">(AJ12-ThisSheetState)*AN12</f>
        <v>0</v>
      </c>
      <c r="AW12" s="697"/>
    </row>
    <row r="13" spans="2:108" s="51" customFormat="1" ht="19.5" customHeight="1" x14ac:dyDescent="0.15">
      <c r="C13" s="757">
        <f t="shared" ref="C13:C38" si="9">C12+1</f>
        <v>102</v>
      </c>
      <c r="D13" s="419"/>
      <c r="E13" s="700" t="s">
        <v>308</v>
      </c>
      <c r="F13" s="700"/>
      <c r="G13" s="700"/>
      <c r="H13" s="700"/>
      <c r="I13" s="700"/>
      <c r="J13" s="700"/>
      <c r="K13" s="700"/>
      <c r="L13" s="700"/>
      <c r="M13" s="700"/>
      <c r="N13" s="309"/>
      <c r="O13" s="309" t="s">
        <v>116</v>
      </c>
      <c r="P13" s="310" t="s">
        <v>117</v>
      </c>
      <c r="Q13" s="789"/>
      <c r="R13" s="789"/>
      <c r="S13" s="311" t="s">
        <v>143</v>
      </c>
      <c r="T13" s="309"/>
      <c r="U13" s="309"/>
      <c r="V13" s="309"/>
      <c r="W13" s="664">
        <f t="shared" si="6"/>
        <v>0</v>
      </c>
      <c r="X13" s="664"/>
      <c r="Y13" s="664"/>
      <c r="Z13" s="665"/>
      <c r="AB13" s="663">
        <v>0</v>
      </c>
      <c r="AC13" s="664"/>
      <c r="AD13" s="665"/>
      <c r="AF13" s="663">
        <f t="shared" si="1"/>
        <v>0</v>
      </c>
      <c r="AG13" s="664"/>
      <c r="AH13" s="665"/>
      <c r="AJ13" s="710">
        <v>10</v>
      </c>
      <c r="AK13" s="711"/>
      <c r="AL13" s="677">
        <f t="shared" si="2"/>
        <v>0</v>
      </c>
      <c r="AM13" s="678"/>
      <c r="AN13" s="677">
        <f t="shared" si="3"/>
        <v>0</v>
      </c>
      <c r="AO13" s="678"/>
      <c r="AP13" s="676"/>
      <c r="AQ13" s="461"/>
      <c r="AT13" s="696">
        <f t="shared" si="7"/>
        <v>0</v>
      </c>
      <c r="AU13" s="697"/>
      <c r="AV13" s="696">
        <f t="shared" si="8"/>
        <v>0</v>
      </c>
      <c r="AW13" s="697"/>
    </row>
    <row r="14" spans="2:108" s="51" customFormat="1" ht="19.5" customHeight="1" x14ac:dyDescent="0.15">
      <c r="C14" s="757">
        <f t="shared" si="9"/>
        <v>103</v>
      </c>
      <c r="D14" s="419"/>
      <c r="E14" s="700" t="s">
        <v>308</v>
      </c>
      <c r="F14" s="700"/>
      <c r="G14" s="700"/>
      <c r="H14" s="700"/>
      <c r="I14" s="700"/>
      <c r="J14" s="700"/>
      <c r="K14" s="700"/>
      <c r="L14" s="700"/>
      <c r="M14" s="700"/>
      <c r="N14" s="309">
        <v>1</v>
      </c>
      <c r="O14" s="309" t="s">
        <v>116</v>
      </c>
      <c r="P14" s="310" t="s">
        <v>117</v>
      </c>
      <c r="Q14" s="789">
        <v>1000</v>
      </c>
      <c r="R14" s="789"/>
      <c r="S14" s="311" t="s">
        <v>143</v>
      </c>
      <c r="T14" s="309"/>
      <c r="U14" s="309">
        <v>1</v>
      </c>
      <c r="V14" s="309"/>
      <c r="W14" s="664">
        <f t="shared" si="6"/>
        <v>1150</v>
      </c>
      <c r="X14" s="664"/>
      <c r="Y14" s="664"/>
      <c r="Z14" s="665"/>
      <c r="AB14" s="663">
        <v>0</v>
      </c>
      <c r="AC14" s="664"/>
      <c r="AD14" s="665"/>
      <c r="AF14" s="663">
        <f t="shared" si="1"/>
        <v>-1150</v>
      </c>
      <c r="AG14" s="664"/>
      <c r="AH14" s="665"/>
      <c r="AJ14" s="710">
        <v>10</v>
      </c>
      <c r="AK14" s="711"/>
      <c r="AL14" s="677">
        <f t="shared" ref="AL14:AL38" si="10">IFERROR(Q14/(AJ14+((AJ14-HourlyState_M)*0.5)),0)</f>
        <v>66.666666666666671</v>
      </c>
      <c r="AM14" s="678"/>
      <c r="AN14" s="677">
        <f t="shared" si="3"/>
        <v>100</v>
      </c>
      <c r="AO14" s="678"/>
      <c r="AP14" s="676"/>
      <c r="AQ14" s="461"/>
      <c r="AT14" s="696">
        <f t="shared" si="7"/>
        <v>533.33333333333337</v>
      </c>
      <c r="AU14" s="697"/>
      <c r="AV14" s="696">
        <f t="shared" si="8"/>
        <v>200</v>
      </c>
      <c r="AW14" s="697"/>
    </row>
    <row r="15" spans="2:108" s="51" customFormat="1" ht="19.5" customHeight="1" x14ac:dyDescent="0.15">
      <c r="C15" s="757">
        <f t="shared" si="9"/>
        <v>104</v>
      </c>
      <c r="D15" s="419"/>
      <c r="E15" s="700" t="s">
        <v>308</v>
      </c>
      <c r="F15" s="700"/>
      <c r="G15" s="700"/>
      <c r="H15" s="700"/>
      <c r="I15" s="700"/>
      <c r="J15" s="700"/>
      <c r="K15" s="700"/>
      <c r="L15" s="700"/>
      <c r="M15" s="700"/>
      <c r="N15" s="309"/>
      <c r="O15" s="309" t="s">
        <v>116</v>
      </c>
      <c r="P15" s="310" t="s">
        <v>117</v>
      </c>
      <c r="Q15" s="789"/>
      <c r="R15" s="789"/>
      <c r="S15" s="311" t="s">
        <v>143</v>
      </c>
      <c r="T15" s="309"/>
      <c r="U15" s="309"/>
      <c r="V15" s="309"/>
      <c r="W15" s="664">
        <f t="shared" si="6"/>
        <v>0</v>
      </c>
      <c r="X15" s="664"/>
      <c r="Y15" s="664"/>
      <c r="Z15" s="665"/>
      <c r="AB15" s="663">
        <v>0</v>
      </c>
      <c r="AC15" s="664"/>
      <c r="AD15" s="665"/>
      <c r="AF15" s="663">
        <f t="shared" si="1"/>
        <v>0</v>
      </c>
      <c r="AG15" s="664"/>
      <c r="AH15" s="665"/>
      <c r="AJ15" s="710">
        <v>10</v>
      </c>
      <c r="AK15" s="711"/>
      <c r="AL15" s="677">
        <f t="shared" si="10"/>
        <v>0</v>
      </c>
      <c r="AM15" s="678"/>
      <c r="AN15" s="677">
        <f t="shared" si="3"/>
        <v>0</v>
      </c>
      <c r="AO15" s="678"/>
      <c r="AP15" s="676"/>
      <c r="AQ15" s="461"/>
      <c r="AT15" s="696">
        <f t="shared" si="7"/>
        <v>0</v>
      </c>
      <c r="AU15" s="697"/>
      <c r="AV15" s="696">
        <f t="shared" si="8"/>
        <v>0</v>
      </c>
      <c r="AW15" s="697"/>
    </row>
    <row r="16" spans="2:108" s="51" customFormat="1" ht="19.5" customHeight="1" x14ac:dyDescent="0.15">
      <c r="C16" s="757">
        <f t="shared" si="9"/>
        <v>105</v>
      </c>
      <c r="D16" s="419"/>
      <c r="E16" s="700" t="s">
        <v>308</v>
      </c>
      <c r="F16" s="700"/>
      <c r="G16" s="700"/>
      <c r="H16" s="700"/>
      <c r="I16" s="700"/>
      <c r="J16" s="700"/>
      <c r="K16" s="700"/>
      <c r="L16" s="700"/>
      <c r="M16" s="700"/>
      <c r="N16" s="309"/>
      <c r="O16" s="309" t="s">
        <v>116</v>
      </c>
      <c r="P16" s="310" t="s">
        <v>117</v>
      </c>
      <c r="Q16" s="789"/>
      <c r="R16" s="789"/>
      <c r="S16" s="311" t="s">
        <v>143</v>
      </c>
      <c r="T16" s="309"/>
      <c r="U16" s="309"/>
      <c r="V16" s="309"/>
      <c r="W16" s="664">
        <f t="shared" si="6"/>
        <v>0</v>
      </c>
      <c r="X16" s="664"/>
      <c r="Y16" s="664"/>
      <c r="Z16" s="665"/>
      <c r="AB16" s="663">
        <v>0</v>
      </c>
      <c r="AC16" s="664"/>
      <c r="AD16" s="665"/>
      <c r="AF16" s="663">
        <f t="shared" si="1"/>
        <v>0</v>
      </c>
      <c r="AG16" s="664"/>
      <c r="AH16" s="665"/>
      <c r="AJ16" s="710">
        <v>10</v>
      </c>
      <c r="AK16" s="711"/>
      <c r="AL16" s="677">
        <f t="shared" si="10"/>
        <v>0</v>
      </c>
      <c r="AM16" s="678"/>
      <c r="AN16" s="677">
        <f t="shared" si="3"/>
        <v>0</v>
      </c>
      <c r="AO16" s="678"/>
      <c r="AP16" s="676"/>
      <c r="AQ16" s="461"/>
      <c r="AT16" s="696">
        <f t="shared" si="7"/>
        <v>0</v>
      </c>
      <c r="AU16" s="697"/>
      <c r="AV16" s="696">
        <f t="shared" si="8"/>
        <v>0</v>
      </c>
      <c r="AW16" s="697"/>
    </row>
    <row r="17" spans="3:49" s="51" customFormat="1" ht="19.5" customHeight="1" x14ac:dyDescent="0.15">
      <c r="C17" s="757">
        <f t="shared" si="9"/>
        <v>106</v>
      </c>
      <c r="D17" s="419"/>
      <c r="E17" s="700" t="s">
        <v>308</v>
      </c>
      <c r="F17" s="700"/>
      <c r="G17" s="700"/>
      <c r="H17" s="700"/>
      <c r="I17" s="700"/>
      <c r="J17" s="700"/>
      <c r="K17" s="700"/>
      <c r="L17" s="700"/>
      <c r="M17" s="700"/>
      <c r="N17" s="309"/>
      <c r="O17" s="309" t="s">
        <v>116</v>
      </c>
      <c r="P17" s="310" t="s">
        <v>117</v>
      </c>
      <c r="Q17" s="789"/>
      <c r="R17" s="789"/>
      <c r="S17" s="311" t="s">
        <v>143</v>
      </c>
      <c r="T17" s="309"/>
      <c r="U17" s="309"/>
      <c r="V17" s="309"/>
      <c r="W17" s="664">
        <f t="shared" si="6"/>
        <v>0</v>
      </c>
      <c r="X17" s="664"/>
      <c r="Y17" s="664"/>
      <c r="Z17" s="665"/>
      <c r="AB17" s="663">
        <v>0</v>
      </c>
      <c r="AC17" s="664"/>
      <c r="AD17" s="665"/>
      <c r="AF17" s="663">
        <f t="shared" si="1"/>
        <v>0</v>
      </c>
      <c r="AG17" s="664"/>
      <c r="AH17" s="665"/>
      <c r="AJ17" s="710">
        <v>10</v>
      </c>
      <c r="AK17" s="711"/>
      <c r="AL17" s="677">
        <f t="shared" si="10"/>
        <v>0</v>
      </c>
      <c r="AM17" s="678"/>
      <c r="AN17" s="677">
        <f t="shared" si="3"/>
        <v>0</v>
      </c>
      <c r="AO17" s="678"/>
      <c r="AP17" s="676"/>
      <c r="AQ17" s="461"/>
      <c r="AT17" s="696">
        <f t="shared" si="7"/>
        <v>0</v>
      </c>
      <c r="AU17" s="697"/>
      <c r="AV17" s="696">
        <f t="shared" si="8"/>
        <v>0</v>
      </c>
      <c r="AW17" s="697"/>
    </row>
    <row r="18" spans="3:49" s="51" customFormat="1" ht="19.5" customHeight="1" x14ac:dyDescent="0.15">
      <c r="C18" s="757">
        <f t="shared" si="9"/>
        <v>107</v>
      </c>
      <c r="D18" s="419"/>
      <c r="E18" s="700"/>
      <c r="F18" s="700"/>
      <c r="G18" s="700"/>
      <c r="H18" s="700"/>
      <c r="I18" s="700"/>
      <c r="J18" s="700"/>
      <c r="K18" s="700"/>
      <c r="L18" s="700"/>
      <c r="M18" s="700"/>
      <c r="N18" s="309"/>
      <c r="O18" s="309" t="s">
        <v>116</v>
      </c>
      <c r="P18" s="310" t="s">
        <v>117</v>
      </c>
      <c r="Q18" s="789"/>
      <c r="R18" s="789"/>
      <c r="S18" s="311" t="s">
        <v>143</v>
      </c>
      <c r="T18" s="309"/>
      <c r="U18" s="309"/>
      <c r="V18" s="309"/>
      <c r="W18" s="664">
        <f t="shared" si="6"/>
        <v>0</v>
      </c>
      <c r="X18" s="664"/>
      <c r="Y18" s="664"/>
      <c r="Z18" s="665"/>
      <c r="AB18" s="663">
        <v>0</v>
      </c>
      <c r="AC18" s="664"/>
      <c r="AD18" s="665"/>
      <c r="AF18" s="663">
        <f t="shared" si="1"/>
        <v>0</v>
      </c>
      <c r="AG18" s="664"/>
      <c r="AH18" s="665"/>
      <c r="AJ18" s="710">
        <v>10</v>
      </c>
      <c r="AK18" s="711"/>
      <c r="AL18" s="677">
        <f t="shared" si="10"/>
        <v>0</v>
      </c>
      <c r="AM18" s="678"/>
      <c r="AN18" s="677">
        <f t="shared" si="3"/>
        <v>0</v>
      </c>
      <c r="AO18" s="678"/>
      <c r="AT18" s="696">
        <f t="shared" si="7"/>
        <v>0</v>
      </c>
      <c r="AU18" s="697"/>
      <c r="AV18" s="696">
        <f t="shared" si="8"/>
        <v>0</v>
      </c>
      <c r="AW18" s="697"/>
    </row>
    <row r="19" spans="3:49" s="51" customFormat="1" ht="19.5" customHeight="1" x14ac:dyDescent="0.15">
      <c r="C19" s="757">
        <f t="shared" si="9"/>
        <v>108</v>
      </c>
      <c r="D19" s="419"/>
      <c r="E19" s="700" t="s">
        <v>309</v>
      </c>
      <c r="F19" s="700"/>
      <c r="G19" s="700"/>
      <c r="H19" s="700"/>
      <c r="I19" s="700"/>
      <c r="J19" s="700"/>
      <c r="K19" s="700"/>
      <c r="L19" s="700"/>
      <c r="M19" s="700"/>
      <c r="N19" s="309"/>
      <c r="O19" s="309" t="s">
        <v>116</v>
      </c>
      <c r="P19" s="310" t="s">
        <v>117</v>
      </c>
      <c r="Q19" s="789"/>
      <c r="R19" s="789"/>
      <c r="S19" s="311" t="s">
        <v>143</v>
      </c>
      <c r="T19" s="309"/>
      <c r="U19" s="309"/>
      <c r="V19" s="309"/>
      <c r="W19" s="664">
        <f t="shared" si="6"/>
        <v>0</v>
      </c>
      <c r="X19" s="664"/>
      <c r="Y19" s="664"/>
      <c r="Z19" s="665"/>
      <c r="AB19" s="663">
        <v>0</v>
      </c>
      <c r="AC19" s="664"/>
      <c r="AD19" s="665"/>
      <c r="AF19" s="663">
        <f t="shared" si="1"/>
        <v>0</v>
      </c>
      <c r="AG19" s="664"/>
      <c r="AH19" s="665"/>
      <c r="AJ19" s="710">
        <v>10</v>
      </c>
      <c r="AK19" s="711"/>
      <c r="AL19" s="677">
        <f t="shared" si="10"/>
        <v>0</v>
      </c>
      <c r="AM19" s="678"/>
      <c r="AN19" s="677">
        <f t="shared" si="3"/>
        <v>0</v>
      </c>
      <c r="AO19" s="678"/>
      <c r="AT19" s="696">
        <f t="shared" si="7"/>
        <v>0</v>
      </c>
      <c r="AU19" s="697"/>
      <c r="AV19" s="696">
        <f t="shared" si="8"/>
        <v>0</v>
      </c>
      <c r="AW19" s="697"/>
    </row>
    <row r="20" spans="3:49" s="51" customFormat="1" ht="19.5" customHeight="1" x14ac:dyDescent="0.15">
      <c r="C20" s="757">
        <f t="shared" si="9"/>
        <v>109</v>
      </c>
      <c r="D20" s="419"/>
      <c r="E20" s="700"/>
      <c r="F20" s="700"/>
      <c r="G20" s="700"/>
      <c r="H20" s="700"/>
      <c r="I20" s="700"/>
      <c r="J20" s="700"/>
      <c r="K20" s="700"/>
      <c r="L20" s="700"/>
      <c r="M20" s="700"/>
      <c r="N20" s="309"/>
      <c r="O20" s="309" t="s">
        <v>116</v>
      </c>
      <c r="P20" s="310" t="s">
        <v>117</v>
      </c>
      <c r="Q20" s="789"/>
      <c r="R20" s="789"/>
      <c r="S20" s="311" t="s">
        <v>143</v>
      </c>
      <c r="T20" s="309"/>
      <c r="U20" s="309"/>
      <c r="V20" s="309"/>
      <c r="W20" s="664">
        <f t="shared" si="6"/>
        <v>0</v>
      </c>
      <c r="X20" s="664"/>
      <c r="Y20" s="664"/>
      <c r="Z20" s="665"/>
      <c r="AB20" s="663">
        <v>0</v>
      </c>
      <c r="AC20" s="664"/>
      <c r="AD20" s="665"/>
      <c r="AF20" s="663">
        <f t="shared" si="1"/>
        <v>0</v>
      </c>
      <c r="AG20" s="664"/>
      <c r="AH20" s="665"/>
      <c r="AJ20" s="710">
        <v>10</v>
      </c>
      <c r="AK20" s="711"/>
      <c r="AL20" s="677">
        <f t="shared" si="10"/>
        <v>0</v>
      </c>
      <c r="AM20" s="678"/>
      <c r="AN20" s="677">
        <f t="shared" si="3"/>
        <v>0</v>
      </c>
      <c r="AO20" s="678"/>
      <c r="AT20" s="696">
        <f t="shared" si="7"/>
        <v>0</v>
      </c>
      <c r="AU20" s="697"/>
      <c r="AV20" s="696">
        <f t="shared" si="8"/>
        <v>0</v>
      </c>
      <c r="AW20" s="697"/>
    </row>
    <row r="21" spans="3:49" s="51" customFormat="1" ht="19.5" customHeight="1" x14ac:dyDescent="0.15">
      <c r="C21" s="757">
        <f t="shared" si="9"/>
        <v>110</v>
      </c>
      <c r="D21" s="419"/>
      <c r="E21" s="700" t="s">
        <v>310</v>
      </c>
      <c r="F21" s="700"/>
      <c r="G21" s="700"/>
      <c r="H21" s="700"/>
      <c r="I21" s="700"/>
      <c r="J21" s="700"/>
      <c r="K21" s="700"/>
      <c r="L21" s="700"/>
      <c r="M21" s="700"/>
      <c r="N21" s="309"/>
      <c r="O21" s="309" t="s">
        <v>116</v>
      </c>
      <c r="P21" s="310" t="s">
        <v>117</v>
      </c>
      <c r="Q21" s="789"/>
      <c r="R21" s="789"/>
      <c r="S21" s="311" t="s">
        <v>143</v>
      </c>
      <c r="T21" s="309"/>
      <c r="U21" s="309"/>
      <c r="V21" s="309"/>
      <c r="W21" s="664">
        <f t="shared" si="6"/>
        <v>0</v>
      </c>
      <c r="X21" s="664"/>
      <c r="Y21" s="664"/>
      <c r="Z21" s="665"/>
      <c r="AB21" s="663">
        <v>0</v>
      </c>
      <c r="AC21" s="664"/>
      <c r="AD21" s="665"/>
      <c r="AF21" s="663">
        <f t="shared" si="1"/>
        <v>0</v>
      </c>
      <c r="AG21" s="664"/>
      <c r="AH21" s="665"/>
      <c r="AJ21" s="710">
        <v>10</v>
      </c>
      <c r="AK21" s="711"/>
      <c r="AL21" s="677">
        <f t="shared" si="10"/>
        <v>0</v>
      </c>
      <c r="AM21" s="678"/>
      <c r="AN21" s="677">
        <f t="shared" si="3"/>
        <v>0</v>
      </c>
      <c r="AO21" s="678"/>
      <c r="AT21" s="696">
        <f t="shared" si="7"/>
        <v>0</v>
      </c>
      <c r="AU21" s="697"/>
      <c r="AV21" s="696">
        <f t="shared" si="8"/>
        <v>0</v>
      </c>
      <c r="AW21" s="697"/>
    </row>
    <row r="22" spans="3:49" s="51" customFormat="1" ht="19.5" customHeight="1" x14ac:dyDescent="0.15">
      <c r="C22" s="757">
        <f t="shared" si="9"/>
        <v>111</v>
      </c>
      <c r="D22" s="419"/>
      <c r="E22" s="700" t="s">
        <v>311</v>
      </c>
      <c r="F22" s="700"/>
      <c r="G22" s="700"/>
      <c r="H22" s="700"/>
      <c r="I22" s="700"/>
      <c r="J22" s="700"/>
      <c r="K22" s="700"/>
      <c r="L22" s="700"/>
      <c r="M22" s="700"/>
      <c r="N22" s="309"/>
      <c r="O22" s="309" t="s">
        <v>116</v>
      </c>
      <c r="P22" s="310" t="s">
        <v>117</v>
      </c>
      <c r="Q22" s="789"/>
      <c r="R22" s="789"/>
      <c r="S22" s="311" t="s">
        <v>143</v>
      </c>
      <c r="T22" s="309"/>
      <c r="U22" s="309"/>
      <c r="V22" s="309"/>
      <c r="W22" s="664">
        <f t="shared" si="6"/>
        <v>0</v>
      </c>
      <c r="X22" s="664"/>
      <c r="Y22" s="664"/>
      <c r="Z22" s="665"/>
      <c r="AB22" s="663">
        <v>0</v>
      </c>
      <c r="AC22" s="664"/>
      <c r="AD22" s="665"/>
      <c r="AF22" s="663">
        <f t="shared" si="1"/>
        <v>0</v>
      </c>
      <c r="AG22" s="664"/>
      <c r="AH22" s="665"/>
      <c r="AJ22" s="710">
        <v>10</v>
      </c>
      <c r="AK22" s="711"/>
      <c r="AL22" s="677">
        <f t="shared" si="10"/>
        <v>0</v>
      </c>
      <c r="AM22" s="678"/>
      <c r="AN22" s="677">
        <f t="shared" si="3"/>
        <v>0</v>
      </c>
      <c r="AO22" s="678"/>
      <c r="AT22" s="696">
        <f t="shared" si="7"/>
        <v>0</v>
      </c>
      <c r="AU22" s="697"/>
      <c r="AV22" s="696">
        <f t="shared" si="8"/>
        <v>0</v>
      </c>
      <c r="AW22" s="697"/>
    </row>
    <row r="23" spans="3:49" s="51" customFormat="1" ht="19.5" customHeight="1" x14ac:dyDescent="0.15">
      <c r="C23" s="757">
        <f t="shared" si="9"/>
        <v>112</v>
      </c>
      <c r="D23" s="419"/>
      <c r="E23" s="700" t="s">
        <v>311</v>
      </c>
      <c r="F23" s="700"/>
      <c r="G23" s="700"/>
      <c r="H23" s="700"/>
      <c r="I23" s="700"/>
      <c r="J23" s="700"/>
      <c r="K23" s="700"/>
      <c r="L23" s="700"/>
      <c r="M23" s="700"/>
      <c r="N23" s="309"/>
      <c r="O23" s="309" t="s">
        <v>116</v>
      </c>
      <c r="P23" s="310" t="s">
        <v>117</v>
      </c>
      <c r="Q23" s="789"/>
      <c r="R23" s="789"/>
      <c r="S23" s="311" t="s">
        <v>143</v>
      </c>
      <c r="T23" s="309"/>
      <c r="U23" s="309"/>
      <c r="V23" s="309"/>
      <c r="W23" s="664">
        <f t="shared" si="6"/>
        <v>0</v>
      </c>
      <c r="X23" s="664"/>
      <c r="Y23" s="664"/>
      <c r="Z23" s="665"/>
      <c r="AB23" s="663">
        <v>0</v>
      </c>
      <c r="AC23" s="664"/>
      <c r="AD23" s="665"/>
      <c r="AF23" s="663">
        <f t="shared" si="1"/>
        <v>0</v>
      </c>
      <c r="AG23" s="664"/>
      <c r="AH23" s="665"/>
      <c r="AJ23" s="710">
        <v>10</v>
      </c>
      <c r="AK23" s="711"/>
      <c r="AL23" s="677">
        <f t="shared" si="10"/>
        <v>0</v>
      </c>
      <c r="AM23" s="678"/>
      <c r="AN23" s="677">
        <f t="shared" si="3"/>
        <v>0</v>
      </c>
      <c r="AO23" s="678"/>
      <c r="AT23" s="696">
        <f t="shared" si="7"/>
        <v>0</v>
      </c>
      <c r="AU23" s="697"/>
      <c r="AV23" s="696">
        <f t="shared" si="8"/>
        <v>0</v>
      </c>
      <c r="AW23" s="697"/>
    </row>
    <row r="24" spans="3:49" s="51" customFormat="1" ht="19.5" customHeight="1" x14ac:dyDescent="0.15">
      <c r="C24" s="757">
        <f t="shared" si="9"/>
        <v>113</v>
      </c>
      <c r="D24" s="419"/>
      <c r="E24" s="700" t="s">
        <v>311</v>
      </c>
      <c r="F24" s="700"/>
      <c r="G24" s="700"/>
      <c r="H24" s="700"/>
      <c r="I24" s="700"/>
      <c r="J24" s="700"/>
      <c r="K24" s="700"/>
      <c r="L24" s="700"/>
      <c r="M24" s="700"/>
      <c r="N24" s="309"/>
      <c r="O24" s="309" t="s">
        <v>116</v>
      </c>
      <c r="P24" s="310" t="s">
        <v>117</v>
      </c>
      <c r="Q24" s="789"/>
      <c r="R24" s="789"/>
      <c r="S24" s="311" t="s">
        <v>143</v>
      </c>
      <c r="T24" s="309"/>
      <c r="U24" s="309"/>
      <c r="V24" s="309"/>
      <c r="W24" s="664">
        <f t="shared" si="6"/>
        <v>0</v>
      </c>
      <c r="X24" s="664"/>
      <c r="Y24" s="664"/>
      <c r="Z24" s="665"/>
      <c r="AB24" s="663">
        <v>0</v>
      </c>
      <c r="AC24" s="664"/>
      <c r="AD24" s="665"/>
      <c r="AF24" s="663">
        <f t="shared" si="1"/>
        <v>0</v>
      </c>
      <c r="AG24" s="664"/>
      <c r="AH24" s="665"/>
      <c r="AJ24" s="710">
        <v>10</v>
      </c>
      <c r="AK24" s="711"/>
      <c r="AL24" s="677">
        <f t="shared" si="10"/>
        <v>0</v>
      </c>
      <c r="AM24" s="678"/>
      <c r="AN24" s="677">
        <f t="shared" si="3"/>
        <v>0</v>
      </c>
      <c r="AO24" s="678"/>
      <c r="AT24" s="696">
        <f t="shared" si="7"/>
        <v>0</v>
      </c>
      <c r="AU24" s="697"/>
      <c r="AV24" s="696">
        <f t="shared" si="8"/>
        <v>0</v>
      </c>
      <c r="AW24" s="697"/>
    </row>
    <row r="25" spans="3:49" s="51" customFormat="1" ht="19.5" customHeight="1" x14ac:dyDescent="0.15">
      <c r="C25" s="757">
        <f t="shared" si="9"/>
        <v>114</v>
      </c>
      <c r="D25" s="419"/>
      <c r="E25" s="700"/>
      <c r="F25" s="700"/>
      <c r="G25" s="700"/>
      <c r="H25" s="700"/>
      <c r="I25" s="700"/>
      <c r="J25" s="700"/>
      <c r="K25" s="700"/>
      <c r="L25" s="700"/>
      <c r="M25" s="700"/>
      <c r="N25" s="309"/>
      <c r="O25" s="309" t="s">
        <v>116</v>
      </c>
      <c r="P25" s="310" t="s">
        <v>117</v>
      </c>
      <c r="Q25" s="789"/>
      <c r="R25" s="789"/>
      <c r="S25" s="311" t="s">
        <v>143</v>
      </c>
      <c r="T25" s="309"/>
      <c r="U25" s="309"/>
      <c r="V25" s="309"/>
      <c r="W25" s="664">
        <f t="shared" si="6"/>
        <v>0</v>
      </c>
      <c r="X25" s="664"/>
      <c r="Y25" s="664"/>
      <c r="Z25" s="665"/>
      <c r="AB25" s="663">
        <v>0</v>
      </c>
      <c r="AC25" s="664"/>
      <c r="AD25" s="665"/>
      <c r="AF25" s="663">
        <f t="shared" si="1"/>
        <v>0</v>
      </c>
      <c r="AG25" s="664"/>
      <c r="AH25" s="665"/>
      <c r="AJ25" s="710">
        <v>10</v>
      </c>
      <c r="AK25" s="711"/>
      <c r="AL25" s="677">
        <f t="shared" si="10"/>
        <v>0</v>
      </c>
      <c r="AM25" s="678"/>
      <c r="AN25" s="677">
        <f t="shared" si="3"/>
        <v>0</v>
      </c>
      <c r="AO25" s="678"/>
      <c r="AT25" s="696">
        <f t="shared" si="7"/>
        <v>0</v>
      </c>
      <c r="AU25" s="697"/>
      <c r="AV25" s="696">
        <f t="shared" si="8"/>
        <v>0</v>
      </c>
      <c r="AW25" s="697"/>
    </row>
    <row r="26" spans="3:49" s="51" customFormat="1" ht="19.5" customHeight="1" x14ac:dyDescent="0.15">
      <c r="C26" s="757">
        <f t="shared" si="9"/>
        <v>115</v>
      </c>
      <c r="D26" s="419"/>
      <c r="E26" s="700"/>
      <c r="F26" s="700"/>
      <c r="G26" s="700"/>
      <c r="H26" s="700"/>
      <c r="I26" s="700"/>
      <c r="J26" s="700"/>
      <c r="K26" s="700"/>
      <c r="L26" s="700"/>
      <c r="M26" s="700"/>
      <c r="N26" s="309"/>
      <c r="O26" s="309" t="s">
        <v>116</v>
      </c>
      <c r="P26" s="310" t="s">
        <v>117</v>
      </c>
      <c r="Q26" s="789"/>
      <c r="R26" s="789"/>
      <c r="S26" s="311" t="s">
        <v>143</v>
      </c>
      <c r="T26" s="309"/>
      <c r="U26" s="309"/>
      <c r="V26" s="309"/>
      <c r="W26" s="664">
        <f t="shared" si="6"/>
        <v>0</v>
      </c>
      <c r="X26" s="664"/>
      <c r="Y26" s="664"/>
      <c r="Z26" s="665"/>
      <c r="AB26" s="663">
        <v>0</v>
      </c>
      <c r="AC26" s="664"/>
      <c r="AD26" s="665"/>
      <c r="AF26" s="663">
        <f t="shared" si="1"/>
        <v>0</v>
      </c>
      <c r="AG26" s="664"/>
      <c r="AH26" s="665"/>
      <c r="AJ26" s="710">
        <v>10</v>
      </c>
      <c r="AK26" s="711"/>
      <c r="AL26" s="677">
        <f t="shared" si="10"/>
        <v>0</v>
      </c>
      <c r="AM26" s="678"/>
      <c r="AN26" s="677">
        <f t="shared" si="3"/>
        <v>0</v>
      </c>
      <c r="AO26" s="678"/>
      <c r="AT26" s="696">
        <f t="shared" si="7"/>
        <v>0</v>
      </c>
      <c r="AU26" s="697"/>
      <c r="AV26" s="696">
        <f t="shared" si="8"/>
        <v>0</v>
      </c>
      <c r="AW26" s="697"/>
    </row>
    <row r="27" spans="3:49" s="51" customFormat="1" ht="19.5" customHeight="1" x14ac:dyDescent="0.15">
      <c r="C27" s="757">
        <f t="shared" si="9"/>
        <v>116</v>
      </c>
      <c r="D27" s="419"/>
      <c r="E27" s="700"/>
      <c r="F27" s="700"/>
      <c r="G27" s="700"/>
      <c r="H27" s="700"/>
      <c r="I27" s="700"/>
      <c r="J27" s="700"/>
      <c r="K27" s="700"/>
      <c r="L27" s="700"/>
      <c r="M27" s="700"/>
      <c r="N27" s="309"/>
      <c r="O27" s="309" t="s">
        <v>116</v>
      </c>
      <c r="P27" s="310" t="s">
        <v>117</v>
      </c>
      <c r="Q27" s="789"/>
      <c r="R27" s="789"/>
      <c r="S27" s="311" t="s">
        <v>143</v>
      </c>
      <c r="T27" s="309"/>
      <c r="U27" s="309"/>
      <c r="V27" s="309"/>
      <c r="W27" s="664">
        <f t="shared" si="6"/>
        <v>0</v>
      </c>
      <c r="X27" s="664"/>
      <c r="Y27" s="664"/>
      <c r="Z27" s="665"/>
      <c r="AB27" s="663">
        <v>0</v>
      </c>
      <c r="AC27" s="664"/>
      <c r="AD27" s="665"/>
      <c r="AF27" s="663">
        <f t="shared" si="1"/>
        <v>0</v>
      </c>
      <c r="AG27" s="664"/>
      <c r="AH27" s="665"/>
      <c r="AJ27" s="710">
        <v>10</v>
      </c>
      <c r="AK27" s="711"/>
      <c r="AL27" s="677">
        <f t="shared" si="10"/>
        <v>0</v>
      </c>
      <c r="AM27" s="678"/>
      <c r="AN27" s="677">
        <f t="shared" si="3"/>
        <v>0</v>
      </c>
      <c r="AO27" s="678"/>
      <c r="AT27" s="696">
        <f t="shared" si="7"/>
        <v>0</v>
      </c>
      <c r="AU27" s="697"/>
      <c r="AV27" s="696">
        <f t="shared" si="8"/>
        <v>0</v>
      </c>
      <c r="AW27" s="697"/>
    </row>
    <row r="28" spans="3:49" s="51" customFormat="1" ht="19.5" customHeight="1" x14ac:dyDescent="0.15">
      <c r="C28" s="757">
        <f t="shared" si="9"/>
        <v>117</v>
      </c>
      <c r="D28" s="419"/>
      <c r="E28" s="700" t="s">
        <v>312</v>
      </c>
      <c r="F28" s="700"/>
      <c r="G28" s="700"/>
      <c r="H28" s="700"/>
      <c r="I28" s="700"/>
      <c r="J28" s="700"/>
      <c r="K28" s="700"/>
      <c r="L28" s="700"/>
      <c r="M28" s="700"/>
      <c r="N28" s="309"/>
      <c r="O28" s="309" t="s">
        <v>116</v>
      </c>
      <c r="P28" s="310" t="s">
        <v>117</v>
      </c>
      <c r="Q28" s="789"/>
      <c r="R28" s="789"/>
      <c r="S28" s="311" t="s">
        <v>143</v>
      </c>
      <c r="T28" s="309"/>
      <c r="U28" s="309"/>
      <c r="V28" s="309"/>
      <c r="W28" s="664">
        <f t="shared" si="6"/>
        <v>0</v>
      </c>
      <c r="X28" s="664"/>
      <c r="Y28" s="664"/>
      <c r="Z28" s="665"/>
      <c r="AB28" s="663">
        <v>0</v>
      </c>
      <c r="AC28" s="664"/>
      <c r="AD28" s="665"/>
      <c r="AF28" s="663">
        <f t="shared" si="1"/>
        <v>0</v>
      </c>
      <c r="AG28" s="664"/>
      <c r="AH28" s="665"/>
      <c r="AJ28" s="710">
        <v>10</v>
      </c>
      <c r="AK28" s="711"/>
      <c r="AL28" s="677">
        <f t="shared" si="10"/>
        <v>0</v>
      </c>
      <c r="AM28" s="678"/>
      <c r="AN28" s="677">
        <f t="shared" si="3"/>
        <v>0</v>
      </c>
      <c r="AO28" s="678"/>
      <c r="AT28" s="696">
        <f t="shared" si="7"/>
        <v>0</v>
      </c>
      <c r="AU28" s="697"/>
      <c r="AV28" s="696">
        <f t="shared" si="8"/>
        <v>0</v>
      </c>
      <c r="AW28" s="697"/>
    </row>
    <row r="29" spans="3:49" s="51" customFormat="1" ht="19.5" customHeight="1" x14ac:dyDescent="0.15">
      <c r="C29" s="757">
        <f t="shared" si="9"/>
        <v>118</v>
      </c>
      <c r="D29" s="419"/>
      <c r="E29" s="700"/>
      <c r="F29" s="700"/>
      <c r="G29" s="700"/>
      <c r="H29" s="700"/>
      <c r="I29" s="700"/>
      <c r="J29" s="700"/>
      <c r="K29" s="700"/>
      <c r="L29" s="700"/>
      <c r="M29" s="700"/>
      <c r="N29" s="309"/>
      <c r="O29" s="309" t="s">
        <v>116</v>
      </c>
      <c r="P29" s="310" t="s">
        <v>117</v>
      </c>
      <c r="Q29" s="789"/>
      <c r="R29" s="789"/>
      <c r="S29" s="311" t="s">
        <v>143</v>
      </c>
      <c r="T29" s="309"/>
      <c r="U29" s="309"/>
      <c r="V29" s="309"/>
      <c r="W29" s="664">
        <f t="shared" si="6"/>
        <v>0</v>
      </c>
      <c r="X29" s="664"/>
      <c r="Y29" s="664"/>
      <c r="Z29" s="665"/>
      <c r="AB29" s="663">
        <v>0</v>
      </c>
      <c r="AC29" s="664"/>
      <c r="AD29" s="665"/>
      <c r="AF29" s="663">
        <f t="shared" si="1"/>
        <v>0</v>
      </c>
      <c r="AG29" s="664"/>
      <c r="AH29" s="665"/>
      <c r="AJ29" s="710">
        <v>10</v>
      </c>
      <c r="AK29" s="711"/>
      <c r="AL29" s="677">
        <f t="shared" si="10"/>
        <v>0</v>
      </c>
      <c r="AM29" s="678"/>
      <c r="AN29" s="677">
        <f t="shared" si="3"/>
        <v>0</v>
      </c>
      <c r="AO29" s="678"/>
      <c r="AT29" s="696">
        <f t="shared" si="7"/>
        <v>0</v>
      </c>
      <c r="AU29" s="697"/>
      <c r="AV29" s="696">
        <f t="shared" si="8"/>
        <v>0</v>
      </c>
      <c r="AW29" s="697"/>
    </row>
    <row r="30" spans="3:49" s="51" customFormat="1" ht="19.5" customHeight="1" x14ac:dyDescent="0.15">
      <c r="C30" s="757">
        <f t="shared" si="9"/>
        <v>119</v>
      </c>
      <c r="D30" s="419"/>
      <c r="E30" s="700"/>
      <c r="F30" s="700"/>
      <c r="G30" s="700"/>
      <c r="H30" s="700"/>
      <c r="I30" s="700"/>
      <c r="J30" s="700"/>
      <c r="K30" s="700"/>
      <c r="L30" s="700"/>
      <c r="M30" s="700"/>
      <c r="N30" s="309"/>
      <c r="O30" s="309" t="s">
        <v>116</v>
      </c>
      <c r="P30" s="310" t="s">
        <v>117</v>
      </c>
      <c r="Q30" s="789"/>
      <c r="R30" s="789"/>
      <c r="S30" s="311" t="s">
        <v>143</v>
      </c>
      <c r="T30" s="309"/>
      <c r="U30" s="309"/>
      <c r="V30" s="309"/>
      <c r="W30" s="664">
        <f t="shared" si="6"/>
        <v>0</v>
      </c>
      <c r="X30" s="664"/>
      <c r="Y30" s="664"/>
      <c r="Z30" s="665"/>
      <c r="AB30" s="663">
        <v>0</v>
      </c>
      <c r="AC30" s="664"/>
      <c r="AD30" s="665"/>
      <c r="AF30" s="663">
        <f t="shared" si="1"/>
        <v>0</v>
      </c>
      <c r="AG30" s="664"/>
      <c r="AH30" s="665"/>
      <c r="AJ30" s="710">
        <v>10</v>
      </c>
      <c r="AK30" s="711"/>
      <c r="AL30" s="677">
        <f t="shared" si="10"/>
        <v>0</v>
      </c>
      <c r="AM30" s="678"/>
      <c r="AN30" s="677">
        <f t="shared" si="3"/>
        <v>0</v>
      </c>
      <c r="AO30" s="678"/>
      <c r="AT30" s="696">
        <f t="shared" si="7"/>
        <v>0</v>
      </c>
      <c r="AU30" s="697"/>
      <c r="AV30" s="696">
        <f t="shared" si="8"/>
        <v>0</v>
      </c>
      <c r="AW30" s="697"/>
    </row>
    <row r="31" spans="3:49" s="51" customFormat="1" ht="19.5" customHeight="1" x14ac:dyDescent="0.15">
      <c r="C31" s="757">
        <f t="shared" si="9"/>
        <v>120</v>
      </c>
      <c r="D31" s="419"/>
      <c r="E31" s="700" t="s">
        <v>313</v>
      </c>
      <c r="F31" s="700"/>
      <c r="G31" s="700"/>
      <c r="H31" s="700"/>
      <c r="I31" s="700"/>
      <c r="J31" s="700"/>
      <c r="K31" s="700"/>
      <c r="L31" s="700"/>
      <c r="M31" s="700"/>
      <c r="N31" s="309"/>
      <c r="O31" s="309" t="s">
        <v>116</v>
      </c>
      <c r="P31" s="310" t="s">
        <v>117</v>
      </c>
      <c r="Q31" s="789"/>
      <c r="R31" s="789"/>
      <c r="S31" s="311" t="s">
        <v>143</v>
      </c>
      <c r="T31" s="309"/>
      <c r="U31" s="309"/>
      <c r="V31" s="309"/>
      <c r="W31" s="664">
        <f t="shared" si="6"/>
        <v>0</v>
      </c>
      <c r="X31" s="664"/>
      <c r="Y31" s="664"/>
      <c r="Z31" s="665"/>
      <c r="AB31" s="663">
        <v>0</v>
      </c>
      <c r="AC31" s="664"/>
      <c r="AD31" s="665"/>
      <c r="AF31" s="663">
        <f t="shared" si="1"/>
        <v>0</v>
      </c>
      <c r="AG31" s="664"/>
      <c r="AH31" s="665"/>
      <c r="AJ31" s="710">
        <v>10</v>
      </c>
      <c r="AK31" s="711"/>
      <c r="AL31" s="677">
        <f t="shared" si="10"/>
        <v>0</v>
      </c>
      <c r="AM31" s="678"/>
      <c r="AN31" s="677">
        <f t="shared" si="3"/>
        <v>0</v>
      </c>
      <c r="AO31" s="678"/>
      <c r="AT31" s="696">
        <f t="shared" si="7"/>
        <v>0</v>
      </c>
      <c r="AU31" s="697"/>
      <c r="AV31" s="696">
        <f t="shared" si="8"/>
        <v>0</v>
      </c>
      <c r="AW31" s="697"/>
    </row>
    <row r="32" spans="3:49" s="51" customFormat="1" ht="19.5" customHeight="1" x14ac:dyDescent="0.15">
      <c r="C32" s="757">
        <f t="shared" si="9"/>
        <v>121</v>
      </c>
      <c r="D32" s="419"/>
      <c r="E32" s="700" t="s">
        <v>314</v>
      </c>
      <c r="F32" s="700"/>
      <c r="G32" s="700"/>
      <c r="H32" s="700"/>
      <c r="I32" s="700"/>
      <c r="J32" s="700"/>
      <c r="K32" s="700"/>
      <c r="L32" s="700"/>
      <c r="M32" s="700"/>
      <c r="N32" s="309"/>
      <c r="O32" s="309" t="s">
        <v>116</v>
      </c>
      <c r="P32" s="310" t="s">
        <v>117</v>
      </c>
      <c r="Q32" s="789"/>
      <c r="R32" s="789"/>
      <c r="S32" s="311" t="s">
        <v>143</v>
      </c>
      <c r="T32" s="309"/>
      <c r="U32" s="309"/>
      <c r="V32" s="309"/>
      <c r="W32" s="664">
        <f t="shared" si="6"/>
        <v>0</v>
      </c>
      <c r="X32" s="664"/>
      <c r="Y32" s="664"/>
      <c r="Z32" s="665"/>
      <c r="AB32" s="663">
        <v>0</v>
      </c>
      <c r="AC32" s="664"/>
      <c r="AD32" s="665"/>
      <c r="AF32" s="663">
        <f t="shared" si="1"/>
        <v>0</v>
      </c>
      <c r="AG32" s="664"/>
      <c r="AH32" s="665"/>
      <c r="AJ32" s="710">
        <v>10</v>
      </c>
      <c r="AK32" s="711"/>
      <c r="AL32" s="677">
        <f t="shared" si="10"/>
        <v>0</v>
      </c>
      <c r="AM32" s="678"/>
      <c r="AN32" s="677">
        <f t="shared" si="3"/>
        <v>0</v>
      </c>
      <c r="AO32" s="678"/>
      <c r="AT32" s="696">
        <f t="shared" si="7"/>
        <v>0</v>
      </c>
      <c r="AU32" s="697"/>
      <c r="AV32" s="696">
        <f t="shared" si="8"/>
        <v>0</v>
      </c>
      <c r="AW32" s="697"/>
    </row>
    <row r="33" spans="3:49" s="51" customFormat="1" ht="19.5" customHeight="1" x14ac:dyDescent="0.15">
      <c r="C33" s="757">
        <f t="shared" si="9"/>
        <v>122</v>
      </c>
      <c r="D33" s="419"/>
      <c r="E33" s="700" t="s">
        <v>314</v>
      </c>
      <c r="F33" s="700"/>
      <c r="G33" s="700"/>
      <c r="H33" s="700"/>
      <c r="I33" s="700"/>
      <c r="J33" s="700"/>
      <c r="K33" s="700"/>
      <c r="L33" s="700"/>
      <c r="M33" s="700"/>
      <c r="N33" s="309"/>
      <c r="O33" s="309" t="s">
        <v>116</v>
      </c>
      <c r="P33" s="310" t="s">
        <v>117</v>
      </c>
      <c r="Q33" s="789"/>
      <c r="R33" s="789"/>
      <c r="S33" s="311" t="s">
        <v>143</v>
      </c>
      <c r="T33" s="309"/>
      <c r="U33" s="309"/>
      <c r="V33" s="309"/>
      <c r="W33" s="664">
        <f t="shared" si="6"/>
        <v>0</v>
      </c>
      <c r="X33" s="664"/>
      <c r="Y33" s="664"/>
      <c r="Z33" s="665"/>
      <c r="AB33" s="663">
        <v>0</v>
      </c>
      <c r="AC33" s="664"/>
      <c r="AD33" s="665"/>
      <c r="AF33" s="663">
        <f t="shared" si="1"/>
        <v>0</v>
      </c>
      <c r="AG33" s="664"/>
      <c r="AH33" s="665"/>
      <c r="AJ33" s="710">
        <v>10</v>
      </c>
      <c r="AK33" s="711"/>
      <c r="AL33" s="677">
        <f t="shared" si="10"/>
        <v>0</v>
      </c>
      <c r="AM33" s="678"/>
      <c r="AN33" s="677">
        <f t="shared" si="3"/>
        <v>0</v>
      </c>
      <c r="AO33" s="678"/>
      <c r="AT33" s="696">
        <f t="shared" si="7"/>
        <v>0</v>
      </c>
      <c r="AU33" s="697"/>
      <c r="AV33" s="696">
        <f t="shared" si="8"/>
        <v>0</v>
      </c>
      <c r="AW33" s="697"/>
    </row>
    <row r="34" spans="3:49" s="51" customFormat="1" ht="19.5" customHeight="1" x14ac:dyDescent="0.15">
      <c r="C34" s="757">
        <f t="shared" si="9"/>
        <v>123</v>
      </c>
      <c r="D34" s="419"/>
      <c r="E34" s="700"/>
      <c r="F34" s="700"/>
      <c r="G34" s="700"/>
      <c r="H34" s="700"/>
      <c r="I34" s="700"/>
      <c r="J34" s="700"/>
      <c r="K34" s="700"/>
      <c r="L34" s="700"/>
      <c r="M34" s="700"/>
      <c r="N34" s="309"/>
      <c r="O34" s="309" t="s">
        <v>116</v>
      </c>
      <c r="P34" s="310" t="s">
        <v>117</v>
      </c>
      <c r="Q34" s="789"/>
      <c r="R34" s="789"/>
      <c r="S34" s="311" t="s">
        <v>143</v>
      </c>
      <c r="T34" s="309"/>
      <c r="U34" s="309"/>
      <c r="V34" s="309"/>
      <c r="W34" s="664">
        <f t="shared" si="6"/>
        <v>0</v>
      </c>
      <c r="X34" s="664"/>
      <c r="Y34" s="664"/>
      <c r="Z34" s="665"/>
      <c r="AB34" s="663">
        <v>0</v>
      </c>
      <c r="AC34" s="664"/>
      <c r="AD34" s="665"/>
      <c r="AF34" s="663">
        <f t="shared" si="1"/>
        <v>0</v>
      </c>
      <c r="AG34" s="664"/>
      <c r="AH34" s="665"/>
      <c r="AJ34" s="710">
        <v>10</v>
      </c>
      <c r="AK34" s="711"/>
      <c r="AL34" s="677">
        <f t="shared" si="10"/>
        <v>0</v>
      </c>
      <c r="AM34" s="678"/>
      <c r="AN34" s="677">
        <f>AL34*1.5</f>
        <v>0</v>
      </c>
      <c r="AO34" s="678"/>
      <c r="AT34" s="696">
        <f t="shared" si="7"/>
        <v>0</v>
      </c>
      <c r="AU34" s="697"/>
      <c r="AV34" s="696">
        <f t="shared" si="8"/>
        <v>0</v>
      </c>
      <c r="AW34" s="697"/>
    </row>
    <row r="35" spans="3:49" s="51" customFormat="1" ht="19.5" customHeight="1" x14ac:dyDescent="0.15">
      <c r="C35" s="757">
        <f t="shared" si="9"/>
        <v>124</v>
      </c>
      <c r="D35" s="419"/>
      <c r="E35" s="700" t="s">
        <v>315</v>
      </c>
      <c r="F35" s="700"/>
      <c r="G35" s="700"/>
      <c r="H35" s="700"/>
      <c r="I35" s="700"/>
      <c r="J35" s="700"/>
      <c r="K35" s="700"/>
      <c r="L35" s="700"/>
      <c r="M35" s="700"/>
      <c r="N35" s="309"/>
      <c r="O35" s="309" t="s">
        <v>116</v>
      </c>
      <c r="P35" s="310" t="s">
        <v>117</v>
      </c>
      <c r="Q35" s="789"/>
      <c r="R35" s="789"/>
      <c r="S35" s="311" t="s">
        <v>143</v>
      </c>
      <c r="T35" s="309"/>
      <c r="U35" s="309"/>
      <c r="V35" s="309"/>
      <c r="W35" s="664">
        <f t="shared" si="6"/>
        <v>0</v>
      </c>
      <c r="X35" s="664"/>
      <c r="Y35" s="664"/>
      <c r="Z35" s="665"/>
      <c r="AB35" s="663">
        <v>0</v>
      </c>
      <c r="AC35" s="664"/>
      <c r="AD35" s="665"/>
      <c r="AF35" s="663">
        <f t="shared" si="1"/>
        <v>0</v>
      </c>
      <c r="AG35" s="664"/>
      <c r="AH35" s="665"/>
      <c r="AJ35" s="710">
        <v>10</v>
      </c>
      <c r="AK35" s="711"/>
      <c r="AL35" s="677">
        <f t="shared" si="10"/>
        <v>0</v>
      </c>
      <c r="AM35" s="678"/>
      <c r="AN35" s="677">
        <f>AL35*1.5</f>
        <v>0</v>
      </c>
      <c r="AO35" s="678"/>
      <c r="AT35" s="696">
        <f t="shared" si="7"/>
        <v>0</v>
      </c>
      <c r="AU35" s="697"/>
      <c r="AV35" s="696">
        <f t="shared" si="8"/>
        <v>0</v>
      </c>
      <c r="AW35" s="697"/>
    </row>
    <row r="36" spans="3:49" s="51" customFormat="1" ht="19.5" customHeight="1" x14ac:dyDescent="0.15">
      <c r="C36" s="757">
        <f t="shared" si="9"/>
        <v>125</v>
      </c>
      <c r="D36" s="419"/>
      <c r="E36" s="700" t="s">
        <v>315</v>
      </c>
      <c r="F36" s="700"/>
      <c r="G36" s="700"/>
      <c r="H36" s="700"/>
      <c r="I36" s="700"/>
      <c r="J36" s="700"/>
      <c r="K36" s="700"/>
      <c r="L36" s="700"/>
      <c r="M36" s="700"/>
      <c r="N36" s="309"/>
      <c r="O36" s="309" t="s">
        <v>116</v>
      </c>
      <c r="P36" s="310" t="s">
        <v>117</v>
      </c>
      <c r="Q36" s="789"/>
      <c r="R36" s="789"/>
      <c r="S36" s="311" t="s">
        <v>143</v>
      </c>
      <c r="T36" s="309"/>
      <c r="U36" s="309"/>
      <c r="V36" s="309"/>
      <c r="W36" s="664">
        <f t="shared" si="6"/>
        <v>0</v>
      </c>
      <c r="X36" s="664"/>
      <c r="Y36" s="664"/>
      <c r="Z36" s="665"/>
      <c r="AB36" s="663">
        <v>0</v>
      </c>
      <c r="AC36" s="664"/>
      <c r="AD36" s="665"/>
      <c r="AF36" s="663">
        <f t="shared" si="1"/>
        <v>0</v>
      </c>
      <c r="AG36" s="664"/>
      <c r="AH36" s="665"/>
      <c r="AJ36" s="710">
        <v>10</v>
      </c>
      <c r="AK36" s="711"/>
      <c r="AL36" s="677">
        <f t="shared" si="10"/>
        <v>0</v>
      </c>
      <c r="AM36" s="678"/>
      <c r="AN36" s="677">
        <f>AL36*1.5</f>
        <v>0</v>
      </c>
      <c r="AO36" s="678"/>
      <c r="AT36" s="696">
        <f t="shared" si="7"/>
        <v>0</v>
      </c>
      <c r="AU36" s="697"/>
      <c r="AV36" s="696">
        <f t="shared" si="8"/>
        <v>0</v>
      </c>
      <c r="AW36" s="697"/>
    </row>
    <row r="37" spans="3:49" s="51" customFormat="1" ht="19.5" customHeight="1" x14ac:dyDescent="0.15">
      <c r="C37" s="757">
        <f t="shared" si="9"/>
        <v>126</v>
      </c>
      <c r="D37" s="419"/>
      <c r="E37" s="700"/>
      <c r="F37" s="700"/>
      <c r="G37" s="700"/>
      <c r="H37" s="700"/>
      <c r="I37" s="700"/>
      <c r="J37" s="700"/>
      <c r="K37" s="700"/>
      <c r="L37" s="700"/>
      <c r="M37" s="700"/>
      <c r="N37" s="309"/>
      <c r="O37" s="309" t="s">
        <v>116</v>
      </c>
      <c r="P37" s="310" t="s">
        <v>117</v>
      </c>
      <c r="Q37" s="789"/>
      <c r="R37" s="789"/>
      <c r="S37" s="311" t="s">
        <v>143</v>
      </c>
      <c r="T37" s="309"/>
      <c r="U37" s="309"/>
      <c r="V37" s="309"/>
      <c r="W37" s="664">
        <f t="shared" si="6"/>
        <v>0</v>
      </c>
      <c r="X37" s="664"/>
      <c r="Y37" s="664"/>
      <c r="Z37" s="665"/>
      <c r="AB37" s="663">
        <v>0</v>
      </c>
      <c r="AC37" s="664"/>
      <c r="AD37" s="665"/>
      <c r="AF37" s="663">
        <f t="shared" si="1"/>
        <v>0</v>
      </c>
      <c r="AG37" s="664"/>
      <c r="AH37" s="665"/>
      <c r="AJ37" s="710">
        <v>10</v>
      </c>
      <c r="AK37" s="711"/>
      <c r="AL37" s="677">
        <f t="shared" si="10"/>
        <v>0</v>
      </c>
      <c r="AM37" s="678"/>
      <c r="AN37" s="677">
        <f>AL37*1.5</f>
        <v>0</v>
      </c>
      <c r="AO37" s="678"/>
      <c r="AT37" s="696">
        <f t="shared" si="7"/>
        <v>0</v>
      </c>
      <c r="AU37" s="697"/>
      <c r="AV37" s="696">
        <f t="shared" si="8"/>
        <v>0</v>
      </c>
      <c r="AW37" s="697"/>
    </row>
    <row r="38" spans="3:49" s="51" customFormat="1" ht="19.5" customHeight="1" x14ac:dyDescent="0.15">
      <c r="C38" s="757">
        <f t="shared" si="9"/>
        <v>127</v>
      </c>
      <c r="D38" s="419"/>
      <c r="E38" s="700"/>
      <c r="F38" s="700"/>
      <c r="G38" s="700"/>
      <c r="H38" s="700"/>
      <c r="I38" s="700"/>
      <c r="J38" s="700"/>
      <c r="K38" s="700"/>
      <c r="L38" s="700"/>
      <c r="M38" s="700"/>
      <c r="N38" s="309"/>
      <c r="O38" s="309" t="s">
        <v>116</v>
      </c>
      <c r="P38" s="310" t="s">
        <v>117</v>
      </c>
      <c r="Q38" s="789"/>
      <c r="R38" s="789"/>
      <c r="S38" s="311" t="s">
        <v>143</v>
      </c>
      <c r="T38" s="309"/>
      <c r="U38" s="309"/>
      <c r="V38" s="309"/>
      <c r="W38" s="664">
        <f t="shared" si="6"/>
        <v>0</v>
      </c>
      <c r="X38" s="664"/>
      <c r="Y38" s="664"/>
      <c r="Z38" s="665"/>
      <c r="AB38" s="663">
        <v>0</v>
      </c>
      <c r="AC38" s="664"/>
      <c r="AD38" s="665"/>
      <c r="AF38" s="663">
        <f t="shared" si="1"/>
        <v>0</v>
      </c>
      <c r="AG38" s="664"/>
      <c r="AH38" s="665"/>
      <c r="AJ38" s="710">
        <v>10</v>
      </c>
      <c r="AK38" s="711"/>
      <c r="AL38" s="677">
        <f t="shared" si="10"/>
        <v>0</v>
      </c>
      <c r="AM38" s="678"/>
      <c r="AN38" s="677">
        <f>AL38*1.5</f>
        <v>0</v>
      </c>
      <c r="AO38" s="678"/>
      <c r="AT38" s="696">
        <f t="shared" si="7"/>
        <v>0</v>
      </c>
      <c r="AU38" s="697"/>
      <c r="AV38" s="696">
        <f t="shared" si="8"/>
        <v>0</v>
      </c>
      <c r="AW38" s="697"/>
    </row>
    <row r="39" spans="3:49" s="322" customFormat="1" ht="19.5" customHeight="1" x14ac:dyDescent="0.2">
      <c r="C39" s="388"/>
      <c r="D39" s="389"/>
      <c r="E39" s="389"/>
      <c r="F39" s="389"/>
      <c r="G39" s="389"/>
      <c r="H39" s="389"/>
      <c r="I39" s="389"/>
      <c r="J39" s="389"/>
      <c r="K39" s="389"/>
      <c r="L39" s="389"/>
      <c r="M39" s="389"/>
      <c r="N39" s="281"/>
      <c r="O39" s="654" t="str">
        <f>"Sub Total "&amp;P_TITLE</f>
        <v>Sub Total Breakout Talent</v>
      </c>
      <c r="P39" s="654"/>
      <c r="Q39" s="654"/>
      <c r="R39" s="654"/>
      <c r="S39" s="654"/>
      <c r="T39" s="654"/>
      <c r="U39" s="654"/>
      <c r="V39" s="655"/>
      <c r="W39" s="658">
        <f>SUM(W11:Z38)</f>
        <v>2300</v>
      </c>
      <c r="X39" s="659"/>
      <c r="Y39" s="659"/>
      <c r="Z39" s="660"/>
      <c r="AB39" s="658">
        <f>SUM(AB11:AD38)</f>
        <v>0</v>
      </c>
      <c r="AC39" s="659"/>
      <c r="AD39" s="660"/>
      <c r="AF39" s="714">
        <f t="shared" si="1"/>
        <v>-2300</v>
      </c>
      <c r="AG39" s="715"/>
      <c r="AH39" s="716"/>
    </row>
    <row r="40" spans="3:49" s="322" customFormat="1" ht="19.5" customHeight="1" x14ac:dyDescent="0.2">
      <c r="C40" s="390"/>
      <c r="N40" s="278"/>
      <c r="O40" s="656" t="str">
        <f>"Fringes "&amp;P_TITLE</f>
        <v>Fringes Breakout Talent</v>
      </c>
      <c r="P40" s="656"/>
      <c r="Q40" s="656"/>
      <c r="R40" s="656"/>
      <c r="S40" s="656"/>
      <c r="T40" s="656"/>
      <c r="U40" s="656"/>
      <c r="V40" s="657"/>
      <c r="W40" s="658">
        <f>W39*thisSheetFringes</f>
        <v>0</v>
      </c>
      <c r="X40" s="659"/>
      <c r="Y40" s="659"/>
      <c r="Z40" s="660"/>
      <c r="AB40" s="658">
        <v>0</v>
      </c>
      <c r="AC40" s="659"/>
      <c r="AD40" s="660"/>
      <c r="AF40" s="714">
        <f t="shared" si="1"/>
        <v>0</v>
      </c>
      <c r="AG40" s="715"/>
      <c r="AH40" s="716"/>
    </row>
    <row r="41" spans="3:49" ht="16.25" customHeight="1" x14ac:dyDescent="0.2">
      <c r="C41" s="33"/>
      <c r="D41" s="10"/>
      <c r="E41" s="10"/>
      <c r="F41" s="10"/>
      <c r="G41" s="10"/>
      <c r="H41" s="10"/>
      <c r="I41" s="10"/>
      <c r="J41" s="10"/>
      <c r="K41" s="10"/>
      <c r="L41" s="10"/>
      <c r="M41" s="10"/>
      <c r="N41" s="10"/>
      <c r="O41" s="10"/>
      <c r="P41" s="14"/>
      <c r="Q41" s="16"/>
      <c r="R41" s="16"/>
      <c r="S41" s="15"/>
      <c r="T41" s="10"/>
      <c r="U41" s="10"/>
      <c r="V41" s="10"/>
      <c r="W41" s="10"/>
      <c r="X41" s="179"/>
      <c r="Y41" s="179"/>
      <c r="Z41" s="175"/>
      <c r="AB41" s="78"/>
      <c r="AC41" s="78"/>
      <c r="AD41" s="174"/>
      <c r="AF41" s="78"/>
      <c r="AG41" s="78"/>
      <c r="AH41" s="174"/>
    </row>
    <row r="42" spans="3:49" s="110" customFormat="1" ht="16.25" customHeight="1" x14ac:dyDescent="0.2">
      <c r="C42" s="152"/>
      <c r="D42" s="116"/>
      <c r="E42" s="116" t="s">
        <v>146</v>
      </c>
      <c r="F42" s="130"/>
      <c r="G42" s="130"/>
      <c r="H42" s="130"/>
      <c r="I42" s="130"/>
      <c r="J42" s="130"/>
      <c r="K42" s="130"/>
      <c r="L42" s="130"/>
      <c r="M42" s="130"/>
      <c r="N42" s="800"/>
      <c r="O42" s="800"/>
      <c r="P42" s="130"/>
      <c r="Q42" s="800"/>
      <c r="R42" s="800"/>
      <c r="S42" s="130"/>
      <c r="T42" s="130"/>
      <c r="U42" s="130"/>
      <c r="V42" s="130"/>
      <c r="W42" s="130"/>
      <c r="X42" s="724" t="s">
        <v>370</v>
      </c>
      <c r="Y42" s="724"/>
      <c r="Z42" s="725"/>
      <c r="AA42" s="7"/>
      <c r="AB42" s="746" t="s">
        <v>363</v>
      </c>
      <c r="AC42" s="747"/>
      <c r="AD42" s="748"/>
      <c r="AF42" s="746" t="s">
        <v>447</v>
      </c>
      <c r="AG42" s="747"/>
      <c r="AH42" s="748"/>
      <c r="AJ42" s="811" t="s">
        <v>389</v>
      </c>
      <c r="AK42" s="812"/>
      <c r="AL42" s="812"/>
      <c r="AM42" s="812"/>
      <c r="AN42" s="812"/>
      <c r="AO42" s="812"/>
    </row>
    <row r="43" spans="3:49" s="51" customFormat="1" ht="19.5" customHeight="1" x14ac:dyDescent="0.15">
      <c r="C43" s="757">
        <f>C38+1</f>
        <v>128</v>
      </c>
      <c r="D43" s="419"/>
      <c r="E43" s="700" t="s">
        <v>305</v>
      </c>
      <c r="F43" s="700"/>
      <c r="G43" s="700"/>
      <c r="H43" s="700"/>
      <c r="I43" s="700"/>
      <c r="J43" s="700"/>
      <c r="K43" s="700"/>
      <c r="L43" s="700"/>
      <c r="M43" s="700"/>
      <c r="N43" s="700"/>
      <c r="O43" s="700"/>
      <c r="P43" s="310" t="s">
        <v>415</v>
      </c>
      <c r="Q43" s="321"/>
      <c r="R43" s="321"/>
      <c r="S43" s="321"/>
      <c r="T43" s="321"/>
      <c r="U43" s="321"/>
      <c r="V43" s="321"/>
      <c r="W43" s="664">
        <f>W39*N43*0.01</f>
        <v>0</v>
      </c>
      <c r="X43" s="664"/>
      <c r="Y43" s="664"/>
      <c r="Z43" s="665"/>
      <c r="AB43" s="663">
        <v>0</v>
      </c>
      <c r="AC43" s="664"/>
      <c r="AD43" s="665"/>
      <c r="AF43" s="663">
        <f t="shared" ref="AF43:AF49" si="11">AB43-W43</f>
        <v>0</v>
      </c>
      <c r="AG43" s="664"/>
      <c r="AH43" s="665"/>
      <c r="AJ43" s="813" t="s">
        <v>390</v>
      </c>
      <c r="AK43" s="814"/>
      <c r="AL43" s="814"/>
      <c r="AM43" s="813" t="s">
        <v>391</v>
      </c>
      <c r="AN43" s="814"/>
      <c r="AO43" s="815"/>
    </row>
    <row r="44" spans="3:49" s="51" customFormat="1" ht="19.5" customHeight="1" x14ac:dyDescent="0.15">
      <c r="C44" s="757">
        <f>C43+1</f>
        <v>129</v>
      </c>
      <c r="D44" s="419"/>
      <c r="E44" s="700" t="s">
        <v>306</v>
      </c>
      <c r="F44" s="700"/>
      <c r="G44" s="700"/>
      <c r="H44" s="700"/>
      <c r="I44" s="700"/>
      <c r="J44" s="700"/>
      <c r="K44" s="700"/>
      <c r="L44" s="700"/>
      <c r="M44" s="700"/>
      <c r="N44" s="700"/>
      <c r="O44" s="700"/>
      <c r="P44" s="310" t="s">
        <v>415</v>
      </c>
      <c r="Q44" s="321"/>
      <c r="R44" s="321"/>
      <c r="S44" s="321"/>
      <c r="T44" s="321"/>
      <c r="U44" s="321"/>
      <c r="V44" s="321"/>
      <c r="W44" s="664">
        <f>W39*N44*0.01</f>
        <v>0</v>
      </c>
      <c r="X44" s="664"/>
      <c r="Y44" s="664"/>
      <c r="Z44" s="665"/>
      <c r="AB44" s="663">
        <v>0</v>
      </c>
      <c r="AC44" s="664"/>
      <c r="AD44" s="665"/>
      <c r="AF44" s="663">
        <f t="shared" si="11"/>
        <v>0</v>
      </c>
      <c r="AG44" s="664"/>
      <c r="AH44" s="665"/>
      <c r="AJ44" s="816">
        <v>0</v>
      </c>
      <c r="AK44" s="817"/>
      <c r="AL44" s="818"/>
      <c r="AM44" s="816">
        <v>0</v>
      </c>
      <c r="AN44" s="817"/>
      <c r="AO44" s="818"/>
    </row>
    <row r="45" spans="3:49" s="51" customFormat="1" ht="19.5" customHeight="1" x14ac:dyDescent="0.15">
      <c r="C45" s="757">
        <f t="shared" ref="C45:C47" si="12">C44+1</f>
        <v>130</v>
      </c>
      <c r="D45" s="419"/>
      <c r="E45" s="700" t="s">
        <v>307</v>
      </c>
      <c r="F45" s="700"/>
      <c r="G45" s="700"/>
      <c r="H45" s="700"/>
      <c r="I45" s="700"/>
      <c r="J45" s="700"/>
      <c r="K45" s="700"/>
      <c r="L45" s="700"/>
      <c r="M45" s="700"/>
      <c r="N45" s="309"/>
      <c r="O45" s="309" t="s">
        <v>140</v>
      </c>
      <c r="P45" s="310" t="s">
        <v>117</v>
      </c>
      <c r="Q45" s="789"/>
      <c r="R45" s="789"/>
      <c r="S45" s="311" t="s">
        <v>143</v>
      </c>
      <c r="T45" s="309"/>
      <c r="U45" s="279"/>
      <c r="V45" s="279"/>
      <c r="W45" s="664">
        <f>N45*Q45*(IF(ISNUMBER(T45),T45,IF(ISNUMBER(N45),1,0)))</f>
        <v>0</v>
      </c>
      <c r="X45" s="664"/>
      <c r="Y45" s="664"/>
      <c r="Z45" s="665"/>
      <c r="AB45" s="663">
        <v>0</v>
      </c>
      <c r="AC45" s="664"/>
      <c r="AD45" s="665"/>
      <c r="AF45" s="663">
        <f t="shared" si="11"/>
        <v>0</v>
      </c>
      <c r="AG45" s="664"/>
      <c r="AH45" s="665"/>
    </row>
    <row r="46" spans="3:49" s="51" customFormat="1" ht="19.5" customHeight="1" x14ac:dyDescent="0.15">
      <c r="C46" s="757">
        <f t="shared" si="12"/>
        <v>131</v>
      </c>
      <c r="D46" s="419"/>
      <c r="E46" s="700"/>
      <c r="F46" s="700"/>
      <c r="G46" s="700"/>
      <c r="H46" s="700"/>
      <c r="I46" s="700"/>
      <c r="J46" s="700"/>
      <c r="K46" s="700"/>
      <c r="L46" s="700"/>
      <c r="M46" s="700"/>
      <c r="N46" s="309"/>
      <c r="O46" s="309" t="s">
        <v>140</v>
      </c>
      <c r="P46" s="310" t="s">
        <v>117</v>
      </c>
      <c r="Q46" s="789"/>
      <c r="R46" s="789"/>
      <c r="S46" s="311" t="s">
        <v>143</v>
      </c>
      <c r="T46" s="309"/>
      <c r="U46" s="279"/>
      <c r="V46" s="279"/>
      <c r="W46" s="664">
        <f>N46*Q46*(IF(ISNUMBER(T46),T46,IF(ISNUMBER(N46),1,0)))</f>
        <v>0</v>
      </c>
      <c r="X46" s="664"/>
      <c r="Y46" s="664"/>
      <c r="Z46" s="665"/>
      <c r="AB46" s="663">
        <v>0</v>
      </c>
      <c r="AC46" s="664"/>
      <c r="AD46" s="665"/>
      <c r="AF46" s="663">
        <f t="shared" si="11"/>
        <v>0</v>
      </c>
      <c r="AG46" s="664"/>
      <c r="AH46" s="665"/>
      <c r="AJ46" s="819" t="s">
        <v>387</v>
      </c>
      <c r="AK46" s="820"/>
      <c r="AL46" s="820"/>
      <c r="AM46" s="820"/>
      <c r="AN46" s="820"/>
      <c r="AO46" s="820"/>
    </row>
    <row r="47" spans="3:49" s="51" customFormat="1" ht="19.5" customHeight="1" x14ac:dyDescent="0.15">
      <c r="C47" s="757">
        <f t="shared" si="12"/>
        <v>132</v>
      </c>
      <c r="D47" s="419"/>
      <c r="E47" s="700"/>
      <c r="F47" s="700"/>
      <c r="G47" s="700"/>
      <c r="H47" s="700"/>
      <c r="I47" s="700"/>
      <c r="J47" s="700"/>
      <c r="K47" s="700"/>
      <c r="L47" s="700"/>
      <c r="M47" s="700"/>
      <c r="N47" s="309"/>
      <c r="O47" s="309" t="s">
        <v>140</v>
      </c>
      <c r="P47" s="310" t="s">
        <v>117</v>
      </c>
      <c r="Q47" s="789"/>
      <c r="R47" s="789"/>
      <c r="S47" s="311" t="s">
        <v>143</v>
      </c>
      <c r="T47" s="309"/>
      <c r="U47" s="279"/>
      <c r="V47" s="279"/>
      <c r="W47" s="664">
        <f>N47*Q47*(IF(ISNUMBER(T47),T47,IF(ISNUMBER(N47),1,0)))</f>
        <v>0</v>
      </c>
      <c r="X47" s="664"/>
      <c r="Y47" s="664"/>
      <c r="Z47" s="665"/>
      <c r="AB47" s="663">
        <v>0</v>
      </c>
      <c r="AC47" s="664"/>
      <c r="AD47" s="665"/>
      <c r="AF47" s="663">
        <f t="shared" si="11"/>
        <v>0</v>
      </c>
      <c r="AG47" s="664"/>
      <c r="AH47" s="665"/>
      <c r="AJ47" s="813" t="str">
        <f>C8</f>
        <v>P3.</v>
      </c>
      <c r="AK47" s="814"/>
      <c r="AL47" s="814"/>
      <c r="AM47" s="813" t="str">
        <f>C51</f>
        <v>P1b.</v>
      </c>
      <c r="AN47" s="814"/>
      <c r="AO47" s="815"/>
    </row>
    <row r="48" spans="3:49" s="322" customFormat="1" ht="19.5" customHeight="1" x14ac:dyDescent="0.2">
      <c r="C48" s="390"/>
      <c r="N48" s="308"/>
      <c r="O48" s="779" t="str">
        <f>"Handling Fee "&amp;P_TITLE</f>
        <v>Handling Fee Breakout Talent</v>
      </c>
      <c r="P48" s="779"/>
      <c r="Q48" s="779"/>
      <c r="R48" s="779"/>
      <c r="S48" s="779"/>
      <c r="T48" s="779"/>
      <c r="U48" s="779"/>
      <c r="V48" s="780"/>
      <c r="W48" s="803">
        <f>(SUM(W43:Z47)+(W39+W40))*AJ48</f>
        <v>0</v>
      </c>
      <c r="X48" s="804"/>
      <c r="Y48" s="804"/>
      <c r="Z48" s="805"/>
      <c r="AB48" s="806">
        <f>W48</f>
        <v>0</v>
      </c>
      <c r="AC48" s="807"/>
      <c r="AD48" s="808"/>
      <c r="AF48" s="806">
        <f t="shared" si="11"/>
        <v>0</v>
      </c>
      <c r="AG48" s="807"/>
      <c r="AH48" s="808"/>
      <c r="AJ48" s="821">
        <v>0</v>
      </c>
      <c r="AK48" s="822"/>
      <c r="AL48" s="823"/>
      <c r="AM48" s="821">
        <v>0</v>
      </c>
      <c r="AN48" s="822"/>
      <c r="AO48" s="823"/>
    </row>
    <row r="49" spans="3:42" s="322" customFormat="1" ht="19.5" customHeight="1" x14ac:dyDescent="0.2">
      <c r="C49" s="390"/>
      <c r="N49" s="71"/>
      <c r="O49" s="777" t="str">
        <f>"Total "&amp;P_TITLE</f>
        <v>Total Breakout Talent</v>
      </c>
      <c r="P49" s="777"/>
      <c r="Q49" s="777"/>
      <c r="R49" s="777"/>
      <c r="S49" s="777"/>
      <c r="T49" s="777"/>
      <c r="U49" s="777"/>
      <c r="V49" s="778"/>
      <c r="W49" s="784">
        <f>W48+W40+W39+SUM(W43:Z47)</f>
        <v>2300</v>
      </c>
      <c r="X49" s="785"/>
      <c r="Y49" s="785"/>
      <c r="Z49" s="786"/>
      <c r="AB49" s="714">
        <f>AB48+AB40+AB39+SUM(AB43:AD47)</f>
        <v>0</v>
      </c>
      <c r="AC49" s="715"/>
      <c r="AD49" s="716"/>
      <c r="AF49" s="806">
        <f t="shared" si="11"/>
        <v>-2300</v>
      </c>
      <c r="AG49" s="807"/>
      <c r="AH49" s="808"/>
    </row>
    <row r="50" spans="3:42" ht="16.25" customHeight="1" x14ac:dyDescent="0.2">
      <c r="C50" s="32"/>
      <c r="D50" s="10"/>
      <c r="E50" s="10"/>
      <c r="F50" s="11"/>
      <c r="G50" s="11"/>
      <c r="H50" s="11"/>
      <c r="I50" s="11"/>
      <c r="J50" s="11"/>
      <c r="K50" s="11"/>
      <c r="L50" s="11"/>
      <c r="M50" s="11"/>
      <c r="N50" s="10"/>
      <c r="O50" s="10"/>
      <c r="P50" s="10"/>
      <c r="Q50" s="16"/>
      <c r="R50" s="16"/>
      <c r="S50" s="10"/>
      <c r="T50" s="10"/>
      <c r="U50" s="10"/>
      <c r="V50" s="10"/>
      <c r="W50" s="10"/>
      <c r="X50" s="26"/>
      <c r="Y50" s="26"/>
      <c r="Z50" s="26"/>
      <c r="AB50" s="52"/>
      <c r="AC50" s="52"/>
      <c r="AD50" s="52"/>
      <c r="AF50" s="52"/>
      <c r="AG50" s="52"/>
      <c r="AH50" s="52"/>
      <c r="AP50"/>
    </row>
    <row r="51" spans="3:42" s="323" customFormat="1" ht="20" customHeight="1" x14ac:dyDescent="0.2">
      <c r="C51" s="184" t="s">
        <v>529</v>
      </c>
      <c r="D51" s="17" t="str">
        <f>P_TITLE&amp;" Expenses"</f>
        <v>Breakout Talent Expenses</v>
      </c>
      <c r="E51" s="5"/>
      <c r="F51" s="349"/>
      <c r="G51" s="349"/>
      <c r="H51" s="349"/>
      <c r="I51" s="349"/>
      <c r="J51" s="349"/>
      <c r="K51" s="349"/>
      <c r="L51" s="349"/>
      <c r="M51" s="349"/>
      <c r="N51" s="349"/>
      <c r="O51" s="349"/>
      <c r="P51" s="349"/>
      <c r="Q51" s="360"/>
      <c r="R51" s="360"/>
      <c r="S51" s="349"/>
      <c r="T51" s="349"/>
      <c r="U51" s="349"/>
      <c r="V51" s="349"/>
      <c r="W51" s="809"/>
      <c r="X51" s="809"/>
      <c r="Y51" s="809"/>
      <c r="Z51" s="810"/>
      <c r="AB51" s="354"/>
      <c r="AC51" s="354"/>
      <c r="AD51" s="354"/>
      <c r="AF51" s="354"/>
      <c r="AG51" s="354"/>
      <c r="AH51" s="354"/>
    </row>
    <row r="52" spans="3:42" s="110" customFormat="1" ht="16.25" customHeight="1" x14ac:dyDescent="0.15">
      <c r="C52" s="152"/>
      <c r="D52" s="116"/>
      <c r="E52" s="116" t="s">
        <v>384</v>
      </c>
      <c r="F52" s="130"/>
      <c r="G52" s="130"/>
      <c r="H52" s="130"/>
      <c r="I52" s="130"/>
      <c r="J52" s="130"/>
      <c r="K52" s="130"/>
      <c r="L52" s="130"/>
      <c r="M52" s="130"/>
      <c r="N52" s="800" t="s">
        <v>400</v>
      </c>
      <c r="O52" s="800"/>
      <c r="P52" s="130"/>
      <c r="Q52" s="800" t="s">
        <v>220</v>
      </c>
      <c r="R52" s="800"/>
      <c r="S52" s="130"/>
      <c r="T52" s="116" t="s">
        <v>375</v>
      </c>
      <c r="U52" s="130"/>
      <c r="V52" s="130"/>
      <c r="W52" s="130"/>
      <c r="X52" s="724" t="s">
        <v>370</v>
      </c>
      <c r="Y52" s="724"/>
      <c r="Z52" s="725"/>
      <c r="AB52" s="746" t="s">
        <v>363</v>
      </c>
      <c r="AC52" s="747"/>
      <c r="AD52" s="748"/>
      <c r="AF52" s="746" t="s">
        <v>447</v>
      </c>
      <c r="AG52" s="747"/>
      <c r="AH52" s="748"/>
    </row>
    <row r="53" spans="3:42" s="51" customFormat="1" ht="19.5" customHeight="1" x14ac:dyDescent="0.15">
      <c r="C53" s="757">
        <f>C47+1</f>
        <v>133</v>
      </c>
      <c r="D53" s="419"/>
      <c r="E53" s="419" t="s">
        <v>90</v>
      </c>
      <c r="F53" s="419"/>
      <c r="G53" s="419"/>
      <c r="H53" s="419"/>
      <c r="I53" s="419"/>
      <c r="J53" s="419"/>
      <c r="K53" s="419"/>
      <c r="L53" s="419"/>
      <c r="M53" s="419"/>
      <c r="N53" s="318"/>
      <c r="O53" s="318" t="s">
        <v>140</v>
      </c>
      <c r="P53" s="318" t="s">
        <v>117</v>
      </c>
      <c r="Q53" s="798"/>
      <c r="R53" s="798"/>
      <c r="S53" s="319" t="s">
        <v>143</v>
      </c>
      <c r="T53" s="318"/>
      <c r="U53" s="320"/>
      <c r="V53" s="320"/>
      <c r="W53" s="663">
        <f t="shared" ref="W53:W58" si="13">N53*Q53*(IF(ISNUMBER(T53),T53,IF(ISNUMBER(N53),1,0)))</f>
        <v>0</v>
      </c>
      <c r="X53" s="664"/>
      <c r="Y53" s="664"/>
      <c r="Z53" s="665"/>
      <c r="AB53" s="663">
        <v>0</v>
      </c>
      <c r="AC53" s="664"/>
      <c r="AD53" s="665"/>
      <c r="AF53" s="663">
        <f t="shared" ref="AF53:AF61" si="14">AB53-W53</f>
        <v>0</v>
      </c>
      <c r="AG53" s="664"/>
      <c r="AH53" s="665"/>
    </row>
    <row r="54" spans="3:42" s="51" customFormat="1" ht="19.5" customHeight="1" x14ac:dyDescent="0.15">
      <c r="C54" s="757">
        <f t="shared" ref="C54:C58" si="15">C53+1</f>
        <v>134</v>
      </c>
      <c r="D54" s="419"/>
      <c r="E54" s="419" t="s">
        <v>91</v>
      </c>
      <c r="F54" s="419"/>
      <c r="G54" s="419"/>
      <c r="H54" s="419"/>
      <c r="I54" s="419"/>
      <c r="J54" s="419"/>
      <c r="K54" s="419"/>
      <c r="L54" s="419"/>
      <c r="M54" s="419"/>
      <c r="N54" s="318"/>
      <c r="O54" s="318" t="s">
        <v>140</v>
      </c>
      <c r="P54" s="318" t="s">
        <v>117</v>
      </c>
      <c r="Q54" s="798"/>
      <c r="R54" s="798"/>
      <c r="S54" s="319" t="s">
        <v>143</v>
      </c>
      <c r="T54" s="318"/>
      <c r="U54" s="318"/>
      <c r="V54" s="318"/>
      <c r="W54" s="663">
        <f t="shared" si="13"/>
        <v>0</v>
      </c>
      <c r="X54" s="664"/>
      <c r="Y54" s="664"/>
      <c r="Z54" s="665"/>
      <c r="AB54" s="663">
        <v>0</v>
      </c>
      <c r="AC54" s="664"/>
      <c r="AD54" s="665"/>
      <c r="AF54" s="663">
        <f t="shared" si="14"/>
        <v>0</v>
      </c>
      <c r="AG54" s="664"/>
      <c r="AH54" s="665"/>
    </row>
    <row r="55" spans="3:42" s="51" customFormat="1" ht="19.5" customHeight="1" x14ac:dyDescent="0.15">
      <c r="C55" s="757">
        <f t="shared" si="15"/>
        <v>135</v>
      </c>
      <c r="D55" s="419"/>
      <c r="E55" s="419" t="s">
        <v>229</v>
      </c>
      <c r="F55" s="419"/>
      <c r="G55" s="419"/>
      <c r="H55" s="419"/>
      <c r="I55" s="419"/>
      <c r="J55" s="419"/>
      <c r="K55" s="419"/>
      <c r="L55" s="419"/>
      <c r="M55" s="419"/>
      <c r="N55" s="318"/>
      <c r="O55" s="318" t="s">
        <v>140</v>
      </c>
      <c r="P55" s="318" t="s">
        <v>117</v>
      </c>
      <c r="Q55" s="798"/>
      <c r="R55" s="798"/>
      <c r="S55" s="319" t="s">
        <v>143</v>
      </c>
      <c r="T55" s="318"/>
      <c r="U55" s="318"/>
      <c r="V55" s="318"/>
      <c r="W55" s="663">
        <f t="shared" si="13"/>
        <v>0</v>
      </c>
      <c r="X55" s="664"/>
      <c r="Y55" s="664"/>
      <c r="Z55" s="665"/>
      <c r="AB55" s="663">
        <v>0</v>
      </c>
      <c r="AC55" s="664"/>
      <c r="AD55" s="665"/>
      <c r="AF55" s="663">
        <f t="shared" si="14"/>
        <v>0</v>
      </c>
      <c r="AG55" s="664"/>
      <c r="AH55" s="665"/>
    </row>
    <row r="56" spans="3:42" s="51" customFormat="1" ht="19.5" customHeight="1" x14ac:dyDescent="0.15">
      <c r="C56" s="757">
        <f t="shared" si="15"/>
        <v>136</v>
      </c>
      <c r="D56" s="419"/>
      <c r="E56" s="419"/>
      <c r="F56" s="419"/>
      <c r="G56" s="419"/>
      <c r="H56" s="419"/>
      <c r="I56" s="419"/>
      <c r="J56" s="419"/>
      <c r="K56" s="419"/>
      <c r="L56" s="419"/>
      <c r="M56" s="419"/>
      <c r="N56" s="318"/>
      <c r="O56" s="318" t="s">
        <v>140</v>
      </c>
      <c r="P56" s="318" t="s">
        <v>117</v>
      </c>
      <c r="Q56" s="798"/>
      <c r="R56" s="798"/>
      <c r="S56" s="319" t="s">
        <v>143</v>
      </c>
      <c r="T56" s="318"/>
      <c r="U56" s="318"/>
      <c r="V56" s="318"/>
      <c r="W56" s="663">
        <f t="shared" si="13"/>
        <v>0</v>
      </c>
      <c r="X56" s="664"/>
      <c r="Y56" s="664"/>
      <c r="Z56" s="665"/>
      <c r="AB56" s="663">
        <v>0</v>
      </c>
      <c r="AC56" s="664"/>
      <c r="AD56" s="665"/>
      <c r="AF56" s="663">
        <f t="shared" si="14"/>
        <v>0</v>
      </c>
      <c r="AG56" s="664"/>
      <c r="AH56" s="665"/>
    </row>
    <row r="57" spans="3:42" s="51" customFormat="1" ht="19.5" customHeight="1" x14ac:dyDescent="0.15">
      <c r="C57" s="757">
        <f t="shared" si="15"/>
        <v>137</v>
      </c>
      <c r="D57" s="419"/>
      <c r="E57" s="419"/>
      <c r="F57" s="419"/>
      <c r="G57" s="419"/>
      <c r="H57" s="419"/>
      <c r="I57" s="419"/>
      <c r="J57" s="419"/>
      <c r="K57" s="419"/>
      <c r="L57" s="419"/>
      <c r="M57" s="419"/>
      <c r="N57" s="318"/>
      <c r="O57" s="318" t="s">
        <v>140</v>
      </c>
      <c r="P57" s="318" t="s">
        <v>117</v>
      </c>
      <c r="Q57" s="798"/>
      <c r="R57" s="798"/>
      <c r="S57" s="319" t="s">
        <v>143</v>
      </c>
      <c r="T57" s="318"/>
      <c r="U57" s="318"/>
      <c r="V57" s="318"/>
      <c r="W57" s="663">
        <f t="shared" si="13"/>
        <v>0</v>
      </c>
      <c r="X57" s="664"/>
      <c r="Y57" s="664"/>
      <c r="Z57" s="665"/>
      <c r="AB57" s="663">
        <v>0</v>
      </c>
      <c r="AC57" s="664"/>
      <c r="AD57" s="665"/>
      <c r="AF57" s="663">
        <f t="shared" si="14"/>
        <v>0</v>
      </c>
      <c r="AG57" s="664"/>
      <c r="AH57" s="665"/>
    </row>
    <row r="58" spans="3:42" s="51" customFormat="1" ht="19.5" customHeight="1" x14ac:dyDescent="0.15">
      <c r="C58" s="757">
        <f t="shared" si="15"/>
        <v>138</v>
      </c>
      <c r="D58" s="419"/>
      <c r="E58" s="419"/>
      <c r="F58" s="419"/>
      <c r="G58" s="419"/>
      <c r="H58" s="419"/>
      <c r="I58" s="419"/>
      <c r="J58" s="419"/>
      <c r="K58" s="419"/>
      <c r="L58" s="419"/>
      <c r="M58" s="419"/>
      <c r="N58" s="318"/>
      <c r="O58" s="318" t="s">
        <v>140</v>
      </c>
      <c r="P58" s="318" t="s">
        <v>117</v>
      </c>
      <c r="Q58" s="798"/>
      <c r="R58" s="798"/>
      <c r="S58" s="319" t="s">
        <v>143</v>
      </c>
      <c r="T58" s="318"/>
      <c r="U58" s="318"/>
      <c r="V58" s="318"/>
      <c r="W58" s="663">
        <f t="shared" si="13"/>
        <v>0</v>
      </c>
      <c r="X58" s="664"/>
      <c r="Y58" s="664"/>
      <c r="Z58" s="665"/>
      <c r="AB58" s="663">
        <v>0</v>
      </c>
      <c r="AC58" s="664"/>
      <c r="AD58" s="665"/>
      <c r="AF58" s="663">
        <f t="shared" si="14"/>
        <v>0</v>
      </c>
      <c r="AG58" s="664"/>
      <c r="AH58" s="665"/>
    </row>
    <row r="59" spans="3:42" s="322" customFormat="1" ht="19.5" customHeight="1" x14ac:dyDescent="0.2">
      <c r="C59" s="390"/>
      <c r="N59" s="71"/>
      <c r="O59" s="777" t="str">
        <f>"Sub Total "&amp;D51</f>
        <v>Sub Total Breakout Talent Expenses</v>
      </c>
      <c r="P59" s="777"/>
      <c r="Q59" s="777"/>
      <c r="R59" s="777"/>
      <c r="S59" s="777"/>
      <c r="T59" s="777"/>
      <c r="U59" s="777"/>
      <c r="V59" s="778"/>
      <c r="W59" s="658">
        <f>SUM(W53:Z58)</f>
        <v>0</v>
      </c>
      <c r="X59" s="659"/>
      <c r="Y59" s="659"/>
      <c r="Z59" s="660"/>
      <c r="AB59" s="714">
        <f>SUM(AB53:AD58)</f>
        <v>0</v>
      </c>
      <c r="AC59" s="715"/>
      <c r="AD59" s="716"/>
      <c r="AF59" s="714">
        <f t="shared" si="14"/>
        <v>0</v>
      </c>
      <c r="AG59" s="715"/>
      <c r="AH59" s="716"/>
    </row>
    <row r="60" spans="3:42" s="322" customFormat="1" ht="19.5" customHeight="1" x14ac:dyDescent="0.2">
      <c r="C60" s="390"/>
      <c r="N60" s="71"/>
      <c r="O60" s="777" t="str">
        <f>"Handling Fee "&amp;D51</f>
        <v>Handling Fee Breakout Talent Expenses</v>
      </c>
      <c r="P60" s="777"/>
      <c r="Q60" s="777"/>
      <c r="R60" s="777"/>
      <c r="S60" s="777"/>
      <c r="T60" s="777"/>
      <c r="U60" s="777"/>
      <c r="V60" s="778"/>
      <c r="W60" s="658">
        <f>W59*AM48</f>
        <v>0</v>
      </c>
      <c r="X60" s="659"/>
      <c r="Y60" s="659"/>
      <c r="Z60" s="660"/>
      <c r="AB60" s="714">
        <f>W60</f>
        <v>0</v>
      </c>
      <c r="AC60" s="715"/>
      <c r="AD60" s="716"/>
      <c r="AF60" s="714">
        <f t="shared" si="14"/>
        <v>0</v>
      </c>
      <c r="AG60" s="715"/>
      <c r="AH60" s="716"/>
    </row>
    <row r="61" spans="3:42" s="322" customFormat="1" ht="19.5" customHeight="1" x14ac:dyDescent="0.2">
      <c r="C61" s="390"/>
      <c r="N61" s="71"/>
      <c r="O61" s="777" t="str">
        <f>"Total "&amp;D51</f>
        <v>Total Breakout Talent Expenses</v>
      </c>
      <c r="P61" s="777"/>
      <c r="Q61" s="777"/>
      <c r="R61" s="777"/>
      <c r="S61" s="777"/>
      <c r="T61" s="777"/>
      <c r="U61" s="777"/>
      <c r="V61" s="778"/>
      <c r="W61" s="784">
        <f>W59+W60</f>
        <v>0</v>
      </c>
      <c r="X61" s="785"/>
      <c r="Y61" s="785"/>
      <c r="Z61" s="786"/>
      <c r="AB61" s="714">
        <f>SUM(AB59:AD60)</f>
        <v>0</v>
      </c>
      <c r="AC61" s="715"/>
      <c r="AD61" s="716"/>
      <c r="AF61" s="714">
        <f t="shared" si="14"/>
        <v>0</v>
      </c>
      <c r="AG61" s="715"/>
      <c r="AH61" s="716"/>
    </row>
    <row r="62" spans="3:42" s="322" customFormat="1" ht="7.5" customHeight="1" x14ac:dyDescent="0.2">
      <c r="C62" s="390"/>
      <c r="O62" s="766"/>
      <c r="P62" s="766"/>
      <c r="Q62" s="766"/>
      <c r="R62" s="766"/>
      <c r="S62" s="766"/>
      <c r="T62" s="766"/>
      <c r="U62" s="766"/>
      <c r="V62" s="766"/>
      <c r="X62" s="386"/>
      <c r="Y62" s="386"/>
      <c r="Z62" s="386"/>
      <c r="AB62" s="386"/>
      <c r="AC62" s="386"/>
      <c r="AD62" s="386"/>
      <c r="AF62" s="386"/>
      <c r="AG62" s="386"/>
      <c r="AH62" s="386"/>
    </row>
    <row r="63" spans="3:42" s="322" customFormat="1" ht="16.25" customHeight="1" x14ac:dyDescent="0.2">
      <c r="C63" s="390"/>
      <c r="N63" s="71"/>
      <c r="O63" s="777" t="s">
        <v>530</v>
      </c>
      <c r="P63" s="777"/>
      <c r="Q63" s="777"/>
      <c r="R63" s="777"/>
      <c r="S63" s="777"/>
      <c r="T63" s="777"/>
      <c r="U63" s="777"/>
      <c r="V63" s="778"/>
      <c r="W63" s="784">
        <f>W61+W49</f>
        <v>2300</v>
      </c>
      <c r="X63" s="785"/>
      <c r="Y63" s="785"/>
      <c r="Z63" s="786"/>
      <c r="AB63" s="714">
        <f>AB61+AB49</f>
        <v>0</v>
      </c>
      <c r="AC63" s="715"/>
      <c r="AD63" s="716"/>
      <c r="AF63" s="714">
        <f>AB63-P_TOT</f>
        <v>-2300</v>
      </c>
      <c r="AG63" s="715"/>
      <c r="AH63" s="716"/>
    </row>
    <row r="64" spans="3:42" customFormat="1" ht="16.25" customHeight="1" x14ac:dyDescent="0.2">
      <c r="C64" s="27"/>
      <c r="Q64" s="45"/>
      <c r="R64" s="45"/>
      <c r="S64" s="7"/>
      <c r="T64" s="7"/>
      <c r="U64" s="7"/>
      <c r="V64" s="7"/>
      <c r="W64" s="7"/>
      <c r="X64" s="23"/>
      <c r="Y64" s="23"/>
      <c r="Z64" s="23"/>
      <c r="AB64" s="23"/>
      <c r="AC64" s="23"/>
      <c r="AD64" s="23"/>
      <c r="AF64" s="23"/>
      <c r="AG64" s="23"/>
      <c r="AH64" s="23"/>
    </row>
    <row r="65" spans="3:34" customFormat="1" ht="16.25" customHeight="1" x14ac:dyDescent="0.2">
      <c r="C65" s="27"/>
      <c r="Q65" s="45"/>
      <c r="R65" s="45"/>
      <c r="S65" s="7"/>
      <c r="T65" s="7"/>
      <c r="U65" s="7"/>
      <c r="V65" s="7"/>
      <c r="W65" s="7"/>
      <c r="X65" s="23"/>
      <c r="Y65" s="23"/>
      <c r="Z65" s="23"/>
      <c r="AB65" s="23"/>
      <c r="AC65" s="23"/>
      <c r="AD65" s="23"/>
      <c r="AF65" s="23"/>
      <c r="AG65" s="23"/>
      <c r="AH65" s="23"/>
    </row>
    <row r="68" spans="3:34" customFormat="1" ht="16.25" customHeight="1" x14ac:dyDescent="0.2">
      <c r="C68" s="27"/>
      <c r="Q68" s="45"/>
      <c r="R68" s="45"/>
      <c r="X68" s="23"/>
      <c r="Y68" s="23"/>
      <c r="Z68" s="23"/>
      <c r="AB68" s="23"/>
      <c r="AC68" s="23"/>
      <c r="AD68" s="23"/>
      <c r="AF68" s="23"/>
      <c r="AG68" s="23"/>
      <c r="AH68" s="23"/>
    </row>
    <row r="69" spans="3:34" customFormat="1" ht="16.25" customHeight="1" x14ac:dyDescent="0.2">
      <c r="C69" s="27"/>
      <c r="Q69" s="45"/>
      <c r="R69" s="45"/>
      <c r="X69" s="23"/>
      <c r="Y69" s="23"/>
      <c r="Z69" s="23"/>
      <c r="AB69" s="23"/>
      <c r="AC69" s="23"/>
      <c r="AD69" s="23"/>
      <c r="AF69" s="23"/>
      <c r="AG69" s="23"/>
      <c r="AH69" s="23"/>
    </row>
    <row r="70" spans="3:34" customFormat="1" ht="16.25" customHeight="1" x14ac:dyDescent="0.2">
      <c r="C70" s="27"/>
      <c r="Q70" s="45"/>
      <c r="R70" s="45"/>
      <c r="X70" s="23"/>
      <c r="Y70" s="23"/>
      <c r="Z70" s="23"/>
      <c r="AB70" s="23"/>
      <c r="AC70" s="23"/>
      <c r="AD70" s="23"/>
      <c r="AF70" s="23"/>
      <c r="AG70" s="23"/>
      <c r="AH70" s="23"/>
    </row>
    <row r="71" spans="3:34" customFormat="1" ht="16.25" customHeight="1" x14ac:dyDescent="0.2">
      <c r="C71" s="27"/>
      <c r="Q71" s="45"/>
      <c r="R71" s="45"/>
      <c r="X71" s="23"/>
      <c r="Y71" s="23"/>
      <c r="Z71" s="23"/>
      <c r="AB71" s="23"/>
      <c r="AC71" s="23"/>
      <c r="AD71" s="23"/>
      <c r="AF71" s="23"/>
      <c r="AG71" s="23"/>
      <c r="AH71" s="23"/>
    </row>
    <row r="72" spans="3:34" customFormat="1" ht="16.25" customHeight="1" x14ac:dyDescent="0.2">
      <c r="C72" s="27"/>
      <c r="Q72" s="45"/>
      <c r="R72" s="45"/>
      <c r="X72" s="23"/>
      <c r="Y72" s="23"/>
      <c r="Z72" s="23"/>
      <c r="AB72" s="23"/>
      <c r="AC72" s="23"/>
      <c r="AD72" s="23"/>
      <c r="AF72" s="23"/>
      <c r="AG72" s="23"/>
      <c r="AH72" s="23"/>
    </row>
    <row r="73" spans="3:34" customFormat="1" ht="16.25" customHeight="1" x14ac:dyDescent="0.2">
      <c r="C73" s="27"/>
      <c r="Q73" s="45"/>
      <c r="R73" s="45"/>
      <c r="X73" s="23"/>
      <c r="Y73" s="23"/>
      <c r="Z73" s="23"/>
      <c r="AB73" s="23"/>
      <c r="AC73" s="23"/>
      <c r="AD73" s="23"/>
      <c r="AF73" s="23"/>
      <c r="AG73" s="23"/>
      <c r="AH73" s="23"/>
    </row>
    <row r="74" spans="3:34" customFormat="1" ht="16.25" customHeight="1" x14ac:dyDescent="0.2">
      <c r="C74" s="27"/>
      <c r="Q74" s="45"/>
      <c r="R74" s="45"/>
      <c r="X74" s="23"/>
      <c r="Y74" s="23"/>
      <c r="Z74" s="23"/>
      <c r="AB74" s="23"/>
      <c r="AC74" s="23"/>
      <c r="AD74" s="23"/>
      <c r="AF74" s="23"/>
      <c r="AG74" s="23"/>
      <c r="AH74" s="23"/>
    </row>
    <row r="75" spans="3:34" customFormat="1" ht="16.25" customHeight="1" x14ac:dyDescent="0.2">
      <c r="C75" s="27"/>
      <c r="Q75" s="45"/>
      <c r="R75" s="45"/>
      <c r="X75" s="23"/>
      <c r="Y75" s="23"/>
      <c r="Z75" s="23"/>
      <c r="AB75" s="23"/>
      <c r="AC75" s="23"/>
      <c r="AD75" s="23"/>
      <c r="AF75" s="23"/>
      <c r="AG75" s="23"/>
      <c r="AH75" s="23"/>
    </row>
    <row r="76" spans="3:34" customFormat="1" ht="16.25" customHeight="1" x14ac:dyDescent="0.2">
      <c r="C76" s="27"/>
      <c r="Q76" s="45"/>
      <c r="R76" s="45"/>
      <c r="X76" s="23"/>
      <c r="Y76" s="23"/>
      <c r="Z76" s="23"/>
      <c r="AB76" s="23"/>
      <c r="AC76" s="23"/>
      <c r="AD76" s="23"/>
      <c r="AF76" s="23"/>
      <c r="AG76" s="23"/>
      <c r="AH76" s="23"/>
    </row>
    <row r="77" spans="3:34" customFormat="1" ht="15" customHeight="1" x14ac:dyDescent="0.2">
      <c r="C77" s="27"/>
      <c r="Q77" s="45"/>
      <c r="R77" s="45"/>
      <c r="X77" s="23"/>
      <c r="Y77" s="23"/>
      <c r="Z77" s="23"/>
      <c r="AB77" s="23"/>
      <c r="AC77" s="23"/>
      <c r="AD77" s="23"/>
      <c r="AF77" s="23"/>
      <c r="AG77" s="23"/>
      <c r="AH77" s="23"/>
    </row>
    <row r="78" spans="3:34" customFormat="1" ht="15" customHeight="1" x14ac:dyDescent="0.2">
      <c r="C78" s="27"/>
      <c r="Q78" s="45"/>
      <c r="R78" s="45"/>
      <c r="X78" s="23"/>
      <c r="Y78" s="23"/>
      <c r="Z78" s="23"/>
      <c r="AB78" s="23"/>
      <c r="AC78" s="23"/>
      <c r="AD78" s="23"/>
      <c r="AF78" s="23"/>
      <c r="AG78" s="23"/>
      <c r="AH78" s="23"/>
    </row>
    <row r="79" spans="3:34" customFormat="1" ht="15" customHeight="1" x14ac:dyDescent="0.2">
      <c r="C79" s="27"/>
      <c r="Q79" s="45"/>
      <c r="R79" s="45"/>
      <c r="X79" s="23"/>
      <c r="Y79" s="23"/>
      <c r="Z79" s="23"/>
      <c r="AB79" s="23"/>
      <c r="AC79" s="23"/>
      <c r="AD79" s="23"/>
      <c r="AF79" s="23"/>
      <c r="AG79" s="23"/>
      <c r="AH79" s="23"/>
    </row>
    <row r="80" spans="3:34" customFormat="1" ht="15" customHeight="1" x14ac:dyDescent="0.2">
      <c r="C80" s="27"/>
      <c r="Q80" s="45"/>
      <c r="R80" s="45"/>
      <c r="X80" s="23"/>
      <c r="Y80" s="23"/>
      <c r="Z80" s="23"/>
      <c r="AB80" s="23"/>
      <c r="AC80" s="23"/>
      <c r="AD80" s="23"/>
      <c r="AF80" s="23"/>
      <c r="AG80" s="23"/>
      <c r="AH80" s="23"/>
    </row>
    <row r="81" spans="3:34" customFormat="1" ht="15" customHeight="1" x14ac:dyDescent="0.2">
      <c r="C81" s="27"/>
      <c r="Q81" s="45"/>
      <c r="R81" s="45"/>
      <c r="X81" s="23"/>
      <c r="Y81" s="23"/>
      <c r="Z81" s="23"/>
      <c r="AB81" s="23"/>
      <c r="AC81" s="23"/>
      <c r="AD81" s="23"/>
      <c r="AF81" s="23"/>
      <c r="AG81" s="23"/>
      <c r="AH81" s="23"/>
    </row>
    <row r="82" spans="3:34" customFormat="1" ht="15" customHeight="1" x14ac:dyDescent="0.2">
      <c r="C82" s="27"/>
      <c r="Q82" s="45"/>
      <c r="R82" s="45"/>
      <c r="X82" s="23"/>
      <c r="Y82" s="23"/>
      <c r="Z82" s="23"/>
      <c r="AB82" s="23"/>
      <c r="AC82" s="23"/>
      <c r="AD82" s="23"/>
      <c r="AF82" s="23"/>
      <c r="AG82" s="23"/>
      <c r="AH82" s="23"/>
    </row>
    <row r="83" spans="3:34" customFormat="1" ht="16.25" customHeight="1" x14ac:dyDescent="0.2">
      <c r="C83" s="27"/>
      <c r="Q83" s="45"/>
      <c r="R83" s="45"/>
      <c r="X83" s="23"/>
      <c r="Y83" s="23"/>
      <c r="Z83" s="23"/>
      <c r="AB83" s="23"/>
      <c r="AC83" s="23"/>
      <c r="AD83" s="23"/>
      <c r="AF83" s="23"/>
      <c r="AG83" s="23"/>
      <c r="AH83" s="23"/>
    </row>
    <row r="84" spans="3:34" customFormat="1" ht="16" x14ac:dyDescent="0.2">
      <c r="C84" s="27"/>
      <c r="Q84" s="45"/>
      <c r="R84" s="45"/>
      <c r="X84" s="23"/>
      <c r="Y84" s="23"/>
      <c r="Z84" s="23"/>
      <c r="AB84" s="23"/>
      <c r="AC84" s="23"/>
      <c r="AD84" s="23"/>
      <c r="AF84" s="23"/>
      <c r="AG84" s="23"/>
      <c r="AH84" s="23"/>
    </row>
    <row r="85" spans="3:34" customFormat="1" ht="16" x14ac:dyDescent="0.2">
      <c r="C85" s="27"/>
      <c r="Q85" s="45"/>
      <c r="R85" s="45"/>
      <c r="X85" s="23"/>
      <c r="Y85" s="23"/>
      <c r="Z85" s="23"/>
      <c r="AB85" s="23"/>
      <c r="AC85" s="23"/>
      <c r="AD85" s="23"/>
      <c r="AF85" s="23"/>
      <c r="AG85" s="23"/>
      <c r="AH85" s="23"/>
    </row>
    <row r="86" spans="3:34" customFormat="1" ht="16" x14ac:dyDescent="0.2">
      <c r="C86" s="27"/>
      <c r="Q86" s="45"/>
      <c r="R86" s="45"/>
      <c r="X86" s="23"/>
      <c r="Y86" s="23"/>
      <c r="Z86" s="23"/>
      <c r="AB86" s="23"/>
      <c r="AC86" s="23"/>
      <c r="AD86" s="23"/>
      <c r="AF86" s="23"/>
      <c r="AG86" s="23"/>
      <c r="AH86" s="23"/>
    </row>
    <row r="87" spans="3:34" customFormat="1" ht="16" x14ac:dyDescent="0.2">
      <c r="C87" s="27"/>
      <c r="Q87" s="45"/>
      <c r="R87" s="45"/>
      <c r="X87" s="23"/>
      <c r="Y87" s="23"/>
      <c r="Z87" s="23"/>
      <c r="AB87" s="23"/>
      <c r="AC87" s="23"/>
      <c r="AD87" s="23"/>
      <c r="AF87" s="23"/>
      <c r="AG87" s="23"/>
      <c r="AH87" s="23"/>
    </row>
    <row r="88" spans="3:34" customFormat="1" ht="16" x14ac:dyDescent="0.2">
      <c r="C88" s="27"/>
      <c r="Q88" s="45"/>
      <c r="R88" s="45"/>
      <c r="X88" s="23"/>
      <c r="Y88" s="23"/>
      <c r="Z88" s="23"/>
      <c r="AB88" s="23"/>
      <c r="AC88" s="23"/>
      <c r="AD88" s="23"/>
      <c r="AF88" s="23"/>
      <c r="AG88" s="23"/>
      <c r="AH88" s="23"/>
    </row>
    <row r="89" spans="3:34" customFormat="1" ht="16" x14ac:dyDescent="0.2">
      <c r="C89" s="27"/>
      <c r="Q89" s="45"/>
      <c r="R89" s="45"/>
      <c r="X89" s="23"/>
      <c r="Y89" s="23"/>
      <c r="Z89" s="23"/>
      <c r="AB89" s="23"/>
      <c r="AC89" s="23"/>
      <c r="AD89" s="23"/>
      <c r="AF89" s="23"/>
      <c r="AG89" s="23"/>
      <c r="AH89" s="23"/>
    </row>
    <row r="90" spans="3:34" customFormat="1" ht="16" x14ac:dyDescent="0.2">
      <c r="C90" s="27"/>
      <c r="Q90" s="45"/>
      <c r="R90" s="45"/>
      <c r="X90" s="23"/>
      <c r="Y90" s="23"/>
      <c r="Z90" s="23"/>
      <c r="AB90" s="23"/>
      <c r="AC90" s="23"/>
      <c r="AD90" s="23"/>
      <c r="AF90" s="23"/>
      <c r="AG90" s="23"/>
      <c r="AH90" s="23"/>
    </row>
    <row r="91" spans="3:34" customFormat="1" ht="16" x14ac:dyDescent="0.2">
      <c r="C91" s="27"/>
      <c r="Q91" s="45"/>
      <c r="R91" s="45"/>
      <c r="X91" s="23"/>
      <c r="Y91" s="23"/>
      <c r="Z91" s="23"/>
      <c r="AB91" s="23"/>
      <c r="AC91" s="23"/>
      <c r="AD91" s="23"/>
      <c r="AF91" s="23"/>
      <c r="AG91" s="23"/>
      <c r="AH91" s="23"/>
    </row>
    <row r="92" spans="3:34" customFormat="1" ht="16" x14ac:dyDescent="0.2">
      <c r="C92" s="27"/>
      <c r="Q92" s="45"/>
      <c r="R92" s="45"/>
      <c r="X92" s="23"/>
      <c r="Y92" s="23"/>
      <c r="Z92" s="23"/>
      <c r="AB92" s="23"/>
      <c r="AC92" s="23"/>
      <c r="AD92" s="23"/>
      <c r="AF92" s="23"/>
      <c r="AG92" s="23"/>
      <c r="AH92" s="23"/>
    </row>
    <row r="93" spans="3:34" customFormat="1" ht="16" x14ac:dyDescent="0.2">
      <c r="C93" s="27"/>
      <c r="Q93" s="45"/>
      <c r="R93" s="45"/>
      <c r="X93" s="23"/>
      <c r="Y93" s="23"/>
      <c r="Z93" s="23"/>
      <c r="AB93" s="23"/>
      <c r="AC93" s="23"/>
      <c r="AD93" s="23"/>
      <c r="AF93" s="23"/>
      <c r="AG93" s="23"/>
      <c r="AH93" s="23"/>
    </row>
    <row r="94" spans="3:34" customFormat="1" ht="16" x14ac:dyDescent="0.2">
      <c r="C94" s="27"/>
      <c r="Q94" s="45"/>
      <c r="R94" s="45"/>
      <c r="X94" s="23"/>
      <c r="Y94" s="23"/>
      <c r="Z94" s="23"/>
      <c r="AB94" s="23"/>
      <c r="AC94" s="23"/>
      <c r="AD94" s="23"/>
      <c r="AF94" s="23"/>
      <c r="AG94" s="23"/>
      <c r="AH94" s="23"/>
    </row>
    <row r="95" spans="3:34" customFormat="1" ht="16" x14ac:dyDescent="0.2">
      <c r="C95" s="27"/>
      <c r="Q95" s="45"/>
      <c r="R95" s="45"/>
      <c r="X95" s="23"/>
      <c r="Y95" s="23"/>
      <c r="Z95" s="23"/>
      <c r="AB95" s="23"/>
      <c r="AC95" s="23"/>
      <c r="AD95" s="23"/>
      <c r="AF95" s="23"/>
      <c r="AG95" s="23"/>
      <c r="AH95" s="23"/>
    </row>
    <row r="96" spans="3:34" customFormat="1" ht="16" x14ac:dyDescent="0.2">
      <c r="C96" s="27"/>
      <c r="Q96" s="45"/>
      <c r="R96" s="45"/>
      <c r="X96" s="23"/>
      <c r="Y96" s="23"/>
      <c r="Z96" s="23"/>
      <c r="AB96" s="23"/>
      <c r="AC96" s="23"/>
      <c r="AD96" s="23"/>
      <c r="AF96" s="23"/>
      <c r="AG96" s="23"/>
      <c r="AH96" s="23"/>
    </row>
    <row r="97" spans="3:34" customFormat="1" ht="16" x14ac:dyDescent="0.2">
      <c r="C97" s="27"/>
      <c r="Q97" s="45"/>
      <c r="R97" s="45"/>
      <c r="X97" s="23"/>
      <c r="Y97" s="23"/>
      <c r="Z97" s="23"/>
      <c r="AB97" s="23"/>
      <c r="AC97" s="23"/>
      <c r="AD97" s="23"/>
      <c r="AF97" s="23"/>
      <c r="AG97" s="23"/>
      <c r="AH97" s="23"/>
    </row>
  </sheetData>
  <sheetProtection selectLockedCells="1"/>
  <mergeCells count="461">
    <mergeCell ref="W8:Z8"/>
    <mergeCell ref="E9:I10"/>
    <mergeCell ref="N9:O10"/>
    <mergeCell ref="Q9:R10"/>
    <mergeCell ref="T9:T10"/>
    <mergeCell ref="U9:V9"/>
    <mergeCell ref="W9:Z10"/>
    <mergeCell ref="AB9:AD10"/>
    <mergeCell ref="AF9:AH10"/>
    <mergeCell ref="AV9:AW9"/>
    <mergeCell ref="AJ10:AK10"/>
    <mergeCell ref="AL10:AM10"/>
    <mergeCell ref="AN10:AO10"/>
    <mergeCell ref="AP10:AQ10"/>
    <mergeCell ref="AR10:AS10"/>
    <mergeCell ref="AT10:AU10"/>
    <mergeCell ref="AV10:AW10"/>
    <mergeCell ref="AJ9:AK9"/>
    <mergeCell ref="AL9:AM9"/>
    <mergeCell ref="AN9:AO9"/>
    <mergeCell ref="AP9:AQ9"/>
    <mergeCell ref="AR9:AS9"/>
    <mergeCell ref="AT9:AU9"/>
    <mergeCell ref="AV11:AW11"/>
    <mergeCell ref="C12:D12"/>
    <mergeCell ref="E12:M12"/>
    <mergeCell ref="Q12:R12"/>
    <mergeCell ref="W12:Z12"/>
    <mergeCell ref="AB12:AD12"/>
    <mergeCell ref="AF12:AH12"/>
    <mergeCell ref="AJ12:AK12"/>
    <mergeCell ref="AL12:AM12"/>
    <mergeCell ref="AN12:AO12"/>
    <mergeCell ref="AJ11:AK11"/>
    <mergeCell ref="AL11:AM11"/>
    <mergeCell ref="AN11:AO11"/>
    <mergeCell ref="AP11:AQ11"/>
    <mergeCell ref="AR11:AS11"/>
    <mergeCell ref="AT11:AU11"/>
    <mergeCell ref="C11:D11"/>
    <mergeCell ref="E11:M11"/>
    <mergeCell ref="Q11:R11"/>
    <mergeCell ref="W11:Z11"/>
    <mergeCell ref="AB11:AD11"/>
    <mergeCell ref="AF11:AH11"/>
    <mergeCell ref="AP12:AQ12"/>
    <mergeCell ref="AT12:AU12"/>
    <mergeCell ref="AV12:AW12"/>
    <mergeCell ref="C13:D13"/>
    <mergeCell ref="E13:M13"/>
    <mergeCell ref="Q13:R13"/>
    <mergeCell ref="W13:Z13"/>
    <mergeCell ref="AB13:AD13"/>
    <mergeCell ref="AF13:AH13"/>
    <mergeCell ref="AJ13:AK13"/>
    <mergeCell ref="AL13:AM13"/>
    <mergeCell ref="AN13:AO13"/>
    <mergeCell ref="AP13:AQ13"/>
    <mergeCell ref="AT13:AU13"/>
    <mergeCell ref="AV13:AW13"/>
    <mergeCell ref="AV14:AW14"/>
    <mergeCell ref="C15:D15"/>
    <mergeCell ref="E15:M15"/>
    <mergeCell ref="Q15:R15"/>
    <mergeCell ref="W15:Z15"/>
    <mergeCell ref="AB15:AD15"/>
    <mergeCell ref="AF15:AH15"/>
    <mergeCell ref="AJ15:AK15"/>
    <mergeCell ref="AL15:AM15"/>
    <mergeCell ref="AN15:AO15"/>
    <mergeCell ref="AF14:AH14"/>
    <mergeCell ref="AJ14:AK14"/>
    <mergeCell ref="AL14:AM14"/>
    <mergeCell ref="AN14:AO14"/>
    <mergeCell ref="AP14:AQ14"/>
    <mergeCell ref="AT14:AU14"/>
    <mergeCell ref="AP15:AQ15"/>
    <mergeCell ref="AT15:AU15"/>
    <mergeCell ref="AV15:AW15"/>
    <mergeCell ref="AB16:AD16"/>
    <mergeCell ref="AF16:AH16"/>
    <mergeCell ref="AJ16:AK16"/>
    <mergeCell ref="AL16:AM16"/>
    <mergeCell ref="AN16:AO16"/>
    <mergeCell ref="C14:D14"/>
    <mergeCell ref="E14:M14"/>
    <mergeCell ref="Q14:R14"/>
    <mergeCell ref="W14:Z14"/>
    <mergeCell ref="AB14:AD14"/>
    <mergeCell ref="AB18:AD18"/>
    <mergeCell ref="AF18:AH18"/>
    <mergeCell ref="AJ18:AK18"/>
    <mergeCell ref="AL18:AM18"/>
    <mergeCell ref="AN18:AO18"/>
    <mergeCell ref="AP16:AQ16"/>
    <mergeCell ref="AT16:AU16"/>
    <mergeCell ref="AV16:AW16"/>
    <mergeCell ref="C17:D17"/>
    <mergeCell ref="E17:M17"/>
    <mergeCell ref="Q17:R17"/>
    <mergeCell ref="W17:Z17"/>
    <mergeCell ref="AB17:AD17"/>
    <mergeCell ref="AV17:AW17"/>
    <mergeCell ref="AF17:AH17"/>
    <mergeCell ref="AJ17:AK17"/>
    <mergeCell ref="AL17:AM17"/>
    <mergeCell ref="AN17:AO17"/>
    <mergeCell ref="AP17:AQ17"/>
    <mergeCell ref="AT17:AU17"/>
    <mergeCell ref="C16:D16"/>
    <mergeCell ref="E16:M16"/>
    <mergeCell ref="Q16:R16"/>
    <mergeCell ref="W16:Z16"/>
    <mergeCell ref="C22:D22"/>
    <mergeCell ref="E22:M22"/>
    <mergeCell ref="Q22:R22"/>
    <mergeCell ref="W22:Z22"/>
    <mergeCell ref="AB22:AD22"/>
    <mergeCell ref="AF22:AH22"/>
    <mergeCell ref="AJ22:AK22"/>
    <mergeCell ref="AT18:AU18"/>
    <mergeCell ref="AV18:AW18"/>
    <mergeCell ref="C19:D19"/>
    <mergeCell ref="E19:M19"/>
    <mergeCell ref="Q19:R19"/>
    <mergeCell ref="W19:Z19"/>
    <mergeCell ref="AB19:AD19"/>
    <mergeCell ref="AF19:AH19"/>
    <mergeCell ref="AJ19:AK19"/>
    <mergeCell ref="AL19:AM19"/>
    <mergeCell ref="AN19:AO19"/>
    <mergeCell ref="AT19:AU19"/>
    <mergeCell ref="AV19:AW19"/>
    <mergeCell ref="C18:D18"/>
    <mergeCell ref="E18:M18"/>
    <mergeCell ref="Q18:R18"/>
    <mergeCell ref="W18:Z18"/>
    <mergeCell ref="AL20:AM20"/>
    <mergeCell ref="AN20:AO20"/>
    <mergeCell ref="AT20:AU20"/>
    <mergeCell ref="AV20:AW20"/>
    <mergeCell ref="C21:D21"/>
    <mergeCell ref="E21:M21"/>
    <mergeCell ref="Q21:R21"/>
    <mergeCell ref="W21:Z21"/>
    <mergeCell ref="AB21:AD21"/>
    <mergeCell ref="AF21:AH21"/>
    <mergeCell ref="C20:D20"/>
    <mergeCell ref="E20:M20"/>
    <mergeCell ref="Q20:R20"/>
    <mergeCell ref="W20:Z20"/>
    <mergeCell ref="AB20:AD20"/>
    <mergeCell ref="AF20:AH20"/>
    <mergeCell ref="AJ20:AK20"/>
    <mergeCell ref="AL22:AM22"/>
    <mergeCell ref="AN22:AO22"/>
    <mergeCell ref="AT22:AU22"/>
    <mergeCell ref="AV22:AW22"/>
    <mergeCell ref="AJ21:AK21"/>
    <mergeCell ref="AL21:AM21"/>
    <mergeCell ref="AN21:AO21"/>
    <mergeCell ref="AT21:AU21"/>
    <mergeCell ref="AV21:AW21"/>
    <mergeCell ref="C24:D24"/>
    <mergeCell ref="E24:M24"/>
    <mergeCell ref="Q24:R24"/>
    <mergeCell ref="W24:Z24"/>
    <mergeCell ref="AB24:AD24"/>
    <mergeCell ref="C23:D23"/>
    <mergeCell ref="E23:M23"/>
    <mergeCell ref="Q23:R23"/>
    <mergeCell ref="W23:Z23"/>
    <mergeCell ref="AB23:AD23"/>
    <mergeCell ref="AF24:AH24"/>
    <mergeCell ref="AJ24:AK24"/>
    <mergeCell ref="AL24:AM24"/>
    <mergeCell ref="AN24:AO24"/>
    <mergeCell ref="AT24:AU24"/>
    <mergeCell ref="AV24:AW24"/>
    <mergeCell ref="AJ23:AK23"/>
    <mergeCell ref="AL23:AM23"/>
    <mergeCell ref="AN23:AO23"/>
    <mergeCell ref="AT23:AU23"/>
    <mergeCell ref="AV23:AW23"/>
    <mergeCell ref="AF23:AH23"/>
    <mergeCell ref="C26:D26"/>
    <mergeCell ref="E26:M26"/>
    <mergeCell ref="Q26:R26"/>
    <mergeCell ref="W26:Z26"/>
    <mergeCell ref="AB26:AD26"/>
    <mergeCell ref="C25:D25"/>
    <mergeCell ref="E25:M25"/>
    <mergeCell ref="Q25:R25"/>
    <mergeCell ref="W25:Z25"/>
    <mergeCell ref="AB25:AD25"/>
    <mergeCell ref="AF26:AH26"/>
    <mergeCell ref="AJ26:AK26"/>
    <mergeCell ref="AL26:AM26"/>
    <mergeCell ref="AN26:AO26"/>
    <mergeCell ref="AT26:AU26"/>
    <mergeCell ref="AV26:AW26"/>
    <mergeCell ref="AJ25:AK25"/>
    <mergeCell ref="AL25:AM25"/>
    <mergeCell ref="AN25:AO25"/>
    <mergeCell ref="AT25:AU25"/>
    <mergeCell ref="AV25:AW25"/>
    <mergeCell ref="AF25:AH25"/>
    <mergeCell ref="C28:D28"/>
    <mergeCell ref="E28:M28"/>
    <mergeCell ref="Q28:R28"/>
    <mergeCell ref="W28:Z28"/>
    <mergeCell ref="AB28:AD28"/>
    <mergeCell ref="C27:D27"/>
    <mergeCell ref="E27:M27"/>
    <mergeCell ref="Q27:R27"/>
    <mergeCell ref="W27:Z27"/>
    <mergeCell ref="AB27:AD27"/>
    <mergeCell ref="AF28:AH28"/>
    <mergeCell ref="AJ28:AK28"/>
    <mergeCell ref="AL28:AM28"/>
    <mergeCell ref="AN28:AO28"/>
    <mergeCell ref="AT28:AU28"/>
    <mergeCell ref="AV28:AW28"/>
    <mergeCell ref="AJ27:AK27"/>
    <mergeCell ref="AL27:AM27"/>
    <mergeCell ref="AN27:AO27"/>
    <mergeCell ref="AT27:AU27"/>
    <mergeCell ref="AV27:AW27"/>
    <mergeCell ref="AF27:AH27"/>
    <mergeCell ref="C30:D30"/>
    <mergeCell ref="E30:M30"/>
    <mergeCell ref="Q30:R30"/>
    <mergeCell ref="W30:Z30"/>
    <mergeCell ref="AB30:AD30"/>
    <mergeCell ref="C29:D29"/>
    <mergeCell ref="E29:M29"/>
    <mergeCell ref="Q29:R29"/>
    <mergeCell ref="W29:Z29"/>
    <mergeCell ref="AB29:AD29"/>
    <mergeCell ref="AF30:AH30"/>
    <mergeCell ref="AJ30:AK30"/>
    <mergeCell ref="AL30:AM30"/>
    <mergeCell ref="AN30:AO30"/>
    <mergeCell ref="AT30:AU30"/>
    <mergeCell ref="AV30:AW30"/>
    <mergeCell ref="AJ29:AK29"/>
    <mergeCell ref="AL29:AM29"/>
    <mergeCell ref="AN29:AO29"/>
    <mergeCell ref="AT29:AU29"/>
    <mergeCell ref="AV29:AW29"/>
    <mergeCell ref="AF29:AH29"/>
    <mergeCell ref="C32:D32"/>
    <mergeCell ref="E32:M32"/>
    <mergeCell ref="Q32:R32"/>
    <mergeCell ref="W32:Z32"/>
    <mergeCell ref="AB32:AD32"/>
    <mergeCell ref="C31:D31"/>
    <mergeCell ref="E31:M31"/>
    <mergeCell ref="Q31:R31"/>
    <mergeCell ref="W31:Z31"/>
    <mergeCell ref="AB31:AD31"/>
    <mergeCell ref="AF32:AH32"/>
    <mergeCell ref="AJ32:AK32"/>
    <mergeCell ref="AL32:AM32"/>
    <mergeCell ref="AN32:AO32"/>
    <mergeCell ref="AT32:AU32"/>
    <mergeCell ref="AV32:AW32"/>
    <mergeCell ref="AJ31:AK31"/>
    <mergeCell ref="AL31:AM31"/>
    <mergeCell ref="AN31:AO31"/>
    <mergeCell ref="AT31:AU31"/>
    <mergeCell ref="AV31:AW31"/>
    <mergeCell ref="AF31:AH31"/>
    <mergeCell ref="C34:D34"/>
    <mergeCell ref="E34:M34"/>
    <mergeCell ref="Q34:R34"/>
    <mergeCell ref="W34:Z34"/>
    <mergeCell ref="AB34:AD34"/>
    <mergeCell ref="C33:D33"/>
    <mergeCell ref="E33:M33"/>
    <mergeCell ref="Q33:R33"/>
    <mergeCell ref="W33:Z33"/>
    <mergeCell ref="AB33:AD33"/>
    <mergeCell ref="AF34:AH34"/>
    <mergeCell ref="AJ34:AK34"/>
    <mergeCell ref="AL34:AM34"/>
    <mergeCell ref="AN34:AO34"/>
    <mergeCell ref="AT34:AU34"/>
    <mergeCell ref="AV34:AW34"/>
    <mergeCell ref="AJ33:AK33"/>
    <mergeCell ref="AL33:AM33"/>
    <mergeCell ref="AN33:AO33"/>
    <mergeCell ref="AT33:AU33"/>
    <mergeCell ref="AV33:AW33"/>
    <mergeCell ref="AF33:AH33"/>
    <mergeCell ref="C36:D36"/>
    <mergeCell ref="E36:M36"/>
    <mergeCell ref="Q36:R36"/>
    <mergeCell ref="W36:Z36"/>
    <mergeCell ref="AB36:AD36"/>
    <mergeCell ref="C35:D35"/>
    <mergeCell ref="E35:M35"/>
    <mergeCell ref="Q35:R35"/>
    <mergeCell ref="W35:Z35"/>
    <mergeCell ref="AB35:AD35"/>
    <mergeCell ref="AF36:AH36"/>
    <mergeCell ref="AJ36:AK36"/>
    <mergeCell ref="AL36:AM36"/>
    <mergeCell ref="AN36:AO36"/>
    <mergeCell ref="AT36:AU36"/>
    <mergeCell ref="AV36:AW36"/>
    <mergeCell ref="AJ35:AK35"/>
    <mergeCell ref="AL35:AM35"/>
    <mergeCell ref="AN35:AO35"/>
    <mergeCell ref="AT35:AU35"/>
    <mergeCell ref="AV35:AW35"/>
    <mergeCell ref="AF35:AH35"/>
    <mergeCell ref="C38:D38"/>
    <mergeCell ref="E38:M38"/>
    <mergeCell ref="Q38:R38"/>
    <mergeCell ref="W38:Z38"/>
    <mergeCell ref="AB38:AD38"/>
    <mergeCell ref="C37:D37"/>
    <mergeCell ref="E37:M37"/>
    <mergeCell ref="Q37:R37"/>
    <mergeCell ref="W37:Z37"/>
    <mergeCell ref="AB37:AD37"/>
    <mergeCell ref="AF38:AH38"/>
    <mergeCell ref="AJ38:AK38"/>
    <mergeCell ref="AL38:AM38"/>
    <mergeCell ref="AN38:AO38"/>
    <mergeCell ref="AT38:AU38"/>
    <mergeCell ref="AV38:AW38"/>
    <mergeCell ref="AJ37:AK37"/>
    <mergeCell ref="AL37:AM37"/>
    <mergeCell ref="AN37:AO37"/>
    <mergeCell ref="AT37:AU37"/>
    <mergeCell ref="AV37:AW37"/>
    <mergeCell ref="AF37:AH37"/>
    <mergeCell ref="N42:O42"/>
    <mergeCell ref="Q42:R42"/>
    <mergeCell ref="X42:Z42"/>
    <mergeCell ref="AB42:AD42"/>
    <mergeCell ref="AF42:AH42"/>
    <mergeCell ref="AJ42:AO42"/>
    <mergeCell ref="O39:V39"/>
    <mergeCell ref="W39:Z39"/>
    <mergeCell ref="AB39:AD39"/>
    <mergeCell ref="AF39:AH39"/>
    <mergeCell ref="O40:V40"/>
    <mergeCell ref="W40:Z40"/>
    <mergeCell ref="AB40:AD40"/>
    <mergeCell ref="AF40:AH40"/>
    <mergeCell ref="C45:D45"/>
    <mergeCell ref="E45:M45"/>
    <mergeCell ref="Q45:R45"/>
    <mergeCell ref="W45:Z45"/>
    <mergeCell ref="AB45:AD45"/>
    <mergeCell ref="AF45:AH45"/>
    <mergeCell ref="AJ43:AL43"/>
    <mergeCell ref="AM43:AO43"/>
    <mergeCell ref="C44:D44"/>
    <mergeCell ref="E44:M44"/>
    <mergeCell ref="N44:O44"/>
    <mergeCell ref="W44:Z44"/>
    <mergeCell ref="AB44:AD44"/>
    <mergeCell ref="AF44:AH44"/>
    <mergeCell ref="AJ44:AL44"/>
    <mergeCell ref="AM44:AO44"/>
    <mergeCell ref="C43:D43"/>
    <mergeCell ref="E43:M43"/>
    <mergeCell ref="N43:O43"/>
    <mergeCell ref="W43:Z43"/>
    <mergeCell ref="AB43:AD43"/>
    <mergeCell ref="AF43:AH43"/>
    <mergeCell ref="AJ48:AL48"/>
    <mergeCell ref="AM48:AO48"/>
    <mergeCell ref="AJ46:AO46"/>
    <mergeCell ref="C47:D47"/>
    <mergeCell ref="E47:M47"/>
    <mergeCell ref="Q47:R47"/>
    <mergeCell ref="W47:Z47"/>
    <mergeCell ref="AB47:AD47"/>
    <mergeCell ref="AF47:AH47"/>
    <mergeCell ref="AJ47:AL47"/>
    <mergeCell ref="AM47:AO47"/>
    <mergeCell ref="C46:D46"/>
    <mergeCell ref="E46:M46"/>
    <mergeCell ref="Q46:R46"/>
    <mergeCell ref="W46:Z46"/>
    <mergeCell ref="AB46:AD46"/>
    <mergeCell ref="AF46:AH46"/>
    <mergeCell ref="N52:O52"/>
    <mergeCell ref="Q52:R52"/>
    <mergeCell ref="X52:Z52"/>
    <mergeCell ref="AB52:AD52"/>
    <mergeCell ref="AF52:AH52"/>
    <mergeCell ref="O48:V48"/>
    <mergeCell ref="W48:Z48"/>
    <mergeCell ref="AB48:AD48"/>
    <mergeCell ref="AF48:AH48"/>
    <mergeCell ref="C54:D54"/>
    <mergeCell ref="E54:M54"/>
    <mergeCell ref="Q54:R54"/>
    <mergeCell ref="W54:Z54"/>
    <mergeCell ref="AB54:AD54"/>
    <mergeCell ref="AF54:AH54"/>
    <mergeCell ref="C53:D53"/>
    <mergeCell ref="E53:M53"/>
    <mergeCell ref="Q53:R53"/>
    <mergeCell ref="W53:Z53"/>
    <mergeCell ref="AB53:AD53"/>
    <mergeCell ref="AF53:AH53"/>
    <mergeCell ref="C56:D56"/>
    <mergeCell ref="E56:M56"/>
    <mergeCell ref="Q56:R56"/>
    <mergeCell ref="W56:Z56"/>
    <mergeCell ref="AB56:AD56"/>
    <mergeCell ref="AF56:AH56"/>
    <mergeCell ref="C55:D55"/>
    <mergeCell ref="E55:M55"/>
    <mergeCell ref="Q55:R55"/>
    <mergeCell ref="W55:Z55"/>
    <mergeCell ref="AB55:AD55"/>
    <mergeCell ref="AF55:AH55"/>
    <mergeCell ref="C58:D58"/>
    <mergeCell ref="E58:M58"/>
    <mergeCell ref="Q58:R58"/>
    <mergeCell ref="W58:Z58"/>
    <mergeCell ref="AB58:AD58"/>
    <mergeCell ref="AF58:AH58"/>
    <mergeCell ref="C57:D57"/>
    <mergeCell ref="E57:M57"/>
    <mergeCell ref="Q57:R57"/>
    <mergeCell ref="W57:Z57"/>
    <mergeCell ref="AB57:AD57"/>
    <mergeCell ref="AF57:AH57"/>
    <mergeCell ref="AJ8:AO8"/>
    <mergeCell ref="AR8:AW8"/>
    <mergeCell ref="O61:V61"/>
    <mergeCell ref="W61:Z61"/>
    <mergeCell ref="AB61:AD61"/>
    <mergeCell ref="AF61:AH61"/>
    <mergeCell ref="O62:V62"/>
    <mergeCell ref="O63:V63"/>
    <mergeCell ref="W63:Z63"/>
    <mergeCell ref="AB63:AD63"/>
    <mergeCell ref="AF63:AH63"/>
    <mergeCell ref="O59:V59"/>
    <mergeCell ref="W59:Z59"/>
    <mergeCell ref="AB59:AD59"/>
    <mergeCell ref="AF59:AH59"/>
    <mergeCell ref="O60:V60"/>
    <mergeCell ref="W60:Z60"/>
    <mergeCell ref="AB60:AD60"/>
    <mergeCell ref="AF60:AH60"/>
    <mergeCell ref="O49:V49"/>
    <mergeCell ref="W49:Z49"/>
    <mergeCell ref="AB49:AD49"/>
    <mergeCell ref="AF49:AH49"/>
    <mergeCell ref="W51:Z51"/>
  </mergeCells>
  <pageMargins left="0.7" right="0.7" top="0.75" bottom="0.75" header="0.3" footer="0.3"/>
  <pageSetup scale="70" fitToHeight="2" orientation="portrait" r:id="rId1"/>
  <legacyDrawingHF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B86155-D4AD-1240-9177-B95BD63DDECB}">
  <sheetPr codeName="Sheet28">
    <pageSetUpPr fitToPage="1"/>
  </sheetPr>
  <dimension ref="B1:DD99"/>
  <sheetViews>
    <sheetView tabSelected="1" zoomScaleNormal="100" workbookViewId="0">
      <selection activeCell="N42" sqref="N42:Y42"/>
    </sheetView>
  </sheetViews>
  <sheetFormatPr baseColWidth="10" defaultColWidth="4.6640625" defaultRowHeight="17" x14ac:dyDescent="0.2"/>
  <cols>
    <col min="1" max="13" width="4.6640625" style="7"/>
    <col min="14" max="20" width="4.6640625" style="7" customWidth="1"/>
    <col min="21" max="22" width="4.6640625" style="44" customWidth="1"/>
    <col min="23" max="27" width="4.6640625" style="7" customWidth="1"/>
    <col min="28" max="36" width="4.6640625" style="7"/>
    <col min="37" max="37" width="4.6640625" style="34"/>
    <col min="38" max="107" width="4.6640625" style="7"/>
    <col min="108" max="108" width="0" style="7" hidden="1" customWidth="1"/>
    <col min="109" max="16384" width="4.6640625" style="7"/>
  </cols>
  <sheetData>
    <row r="1" spans="2:108" ht="16.5" customHeight="1" x14ac:dyDescent="0.2">
      <c r="B1"/>
      <c r="C1"/>
      <c r="D1"/>
      <c r="E1"/>
      <c r="F1"/>
      <c r="G1"/>
      <c r="H1"/>
      <c r="I1"/>
      <c r="J1"/>
      <c r="K1"/>
      <c r="L1"/>
      <c r="Q1" s="63"/>
      <c r="R1" s="63"/>
      <c r="U1" s="7"/>
      <c r="V1" s="7"/>
      <c r="X1" s="24"/>
      <c r="Y1" s="24"/>
      <c r="Z1" s="24"/>
      <c r="AJ1" s="63"/>
      <c r="AK1" s="7"/>
      <c r="DD1" s="7" t="s">
        <v>518</v>
      </c>
    </row>
    <row r="2" spans="2:108" ht="6.5" customHeight="1" x14ac:dyDescent="0.2">
      <c r="B2"/>
      <c r="C2"/>
      <c r="D2"/>
      <c r="E2"/>
      <c r="F2"/>
      <c r="G2"/>
      <c r="H2"/>
      <c r="I2"/>
      <c r="J2"/>
      <c r="K2"/>
      <c r="L2"/>
      <c r="M2"/>
      <c r="Q2" s="63"/>
      <c r="R2" s="63"/>
      <c r="U2" s="7"/>
      <c r="V2" s="7"/>
      <c r="X2" s="24"/>
      <c r="Y2" s="24"/>
      <c r="Z2" s="24"/>
      <c r="AJ2" s="63"/>
      <c r="AK2" s="7"/>
    </row>
    <row r="3" spans="2:108" ht="16.5" customHeight="1" x14ac:dyDescent="0.2">
      <c r="B3"/>
      <c r="C3"/>
      <c r="D3"/>
      <c r="E3"/>
      <c r="F3"/>
      <c r="G3"/>
      <c r="H3"/>
      <c r="I3"/>
      <c r="J3"/>
      <c r="K3"/>
      <c r="L3"/>
      <c r="M3"/>
      <c r="Q3" s="63"/>
      <c r="U3" s="7"/>
      <c r="V3" s="7"/>
      <c r="X3" s="24"/>
      <c r="Y3" s="24"/>
      <c r="Z3" s="24"/>
      <c r="AJ3" s="63"/>
      <c r="AK3" s="7"/>
    </row>
    <row r="4" spans="2:108" ht="6.5" customHeight="1" x14ac:dyDescent="0.2">
      <c r="B4"/>
      <c r="C4"/>
      <c r="D4"/>
      <c r="E4"/>
      <c r="F4"/>
      <c r="G4"/>
      <c r="H4"/>
      <c r="I4"/>
      <c r="J4"/>
      <c r="K4"/>
      <c r="L4"/>
      <c r="Q4" s="63"/>
      <c r="U4" s="7"/>
      <c r="V4" s="7"/>
      <c r="X4" s="24"/>
      <c r="Y4" s="24"/>
      <c r="Z4" s="24"/>
      <c r="AJ4" s="63"/>
      <c r="AK4" s="7"/>
    </row>
    <row r="5" spans="2:108" ht="16.5" customHeight="1" x14ac:dyDescent="0.2">
      <c r="B5"/>
      <c r="C5"/>
      <c r="D5"/>
      <c r="E5"/>
      <c r="F5"/>
      <c r="G5"/>
      <c r="H5"/>
      <c r="I5"/>
      <c r="J5"/>
      <c r="K5"/>
      <c r="L5"/>
      <c r="M5"/>
      <c r="Q5" s="63"/>
      <c r="R5" s="63"/>
      <c r="U5" s="7"/>
      <c r="V5" s="7"/>
      <c r="X5" s="24"/>
      <c r="Y5" s="24"/>
      <c r="Z5" s="24"/>
      <c r="AJ5" s="63"/>
      <c r="AK5" s="7"/>
    </row>
    <row r="6" spans="2:108" ht="16.25" customHeight="1" x14ac:dyDescent="0.2">
      <c r="C6" s="19"/>
      <c r="BI6" s="46"/>
    </row>
    <row r="7" spans="2:108" ht="16" customHeight="1" x14ac:dyDescent="0.2">
      <c r="AK7" s="35"/>
      <c r="AL7" s="2"/>
      <c r="AM7" s="2"/>
      <c r="AN7" s="2"/>
    </row>
    <row r="8" spans="2:108" s="323" customFormat="1" ht="20" customHeight="1" x14ac:dyDescent="0.2">
      <c r="C8" s="28" t="s">
        <v>854</v>
      </c>
      <c r="D8" s="280" t="s">
        <v>855</v>
      </c>
      <c r="E8" s="80"/>
      <c r="F8" s="370"/>
      <c r="G8" s="370"/>
      <c r="H8" s="370"/>
      <c r="I8" s="370"/>
      <c r="J8" s="370"/>
      <c r="K8" s="370"/>
      <c r="L8" s="370"/>
      <c r="M8" s="370"/>
      <c r="N8" s="370"/>
      <c r="O8" s="370"/>
      <c r="P8" s="370"/>
      <c r="Q8" s="370"/>
      <c r="R8" s="370"/>
      <c r="S8" s="370"/>
      <c r="T8" s="370"/>
      <c r="U8" s="371"/>
      <c r="V8" s="371"/>
      <c r="W8" s="866"/>
      <c r="X8" s="866"/>
      <c r="Y8" s="866"/>
      <c r="Z8" s="866"/>
      <c r="AB8" s="867"/>
      <c r="AC8" s="867"/>
      <c r="AD8" s="868"/>
      <c r="AF8" s="869"/>
      <c r="AG8" s="867"/>
      <c r="AH8" s="868"/>
      <c r="AK8" s="368"/>
      <c r="AL8" s="372"/>
      <c r="AM8" s="372"/>
      <c r="AN8" s="372"/>
    </row>
    <row r="9" spans="2:108" s="110" customFormat="1" ht="16.25" customHeight="1" x14ac:dyDescent="0.15">
      <c r="C9" s="152"/>
      <c r="D9" s="116"/>
      <c r="E9" s="116"/>
      <c r="F9" s="130"/>
      <c r="G9" s="130"/>
      <c r="H9" s="130"/>
      <c r="I9" s="130"/>
      <c r="J9" s="130"/>
      <c r="K9" s="130"/>
      <c r="L9" s="130"/>
      <c r="M9" s="130"/>
      <c r="N9" s="185"/>
      <c r="O9" s="185"/>
      <c r="P9" s="130"/>
      <c r="Q9" s="185"/>
      <c r="R9" s="185"/>
      <c r="S9" s="130"/>
      <c r="T9" s="116"/>
      <c r="U9" s="130"/>
      <c r="V9" s="130"/>
      <c r="W9" s="870" t="s">
        <v>370</v>
      </c>
      <c r="X9" s="870"/>
      <c r="Y9" s="870"/>
      <c r="Z9" s="871"/>
      <c r="AB9" s="848" t="s">
        <v>363</v>
      </c>
      <c r="AC9" s="849"/>
      <c r="AD9" s="850"/>
      <c r="AF9" s="848" t="s">
        <v>447</v>
      </c>
      <c r="AG9" s="849"/>
      <c r="AH9" s="850"/>
      <c r="AK9" s="165"/>
      <c r="AL9" s="166"/>
    </row>
    <row r="10" spans="2:108" s="51" customFormat="1" ht="16" customHeight="1" x14ac:dyDescent="0.15">
      <c r="C10" s="865">
        <v>200</v>
      </c>
      <c r="D10" s="419"/>
      <c r="E10" s="330"/>
      <c r="F10" s="330"/>
      <c r="G10" s="330"/>
      <c r="H10" s="330"/>
      <c r="I10" s="330"/>
      <c r="J10" s="330"/>
      <c r="K10" s="330"/>
      <c r="L10" s="330"/>
      <c r="M10" s="330"/>
      <c r="N10" s="58"/>
      <c r="O10" s="58"/>
      <c r="P10" s="59"/>
      <c r="Q10" s="58"/>
      <c r="R10" s="58"/>
      <c r="S10" s="67"/>
      <c r="T10" s="324"/>
      <c r="U10" s="88"/>
      <c r="V10" s="88"/>
      <c r="W10" s="729"/>
      <c r="X10" s="729"/>
      <c r="Y10" s="729"/>
      <c r="Z10" s="730"/>
      <c r="AB10" s="832">
        <v>0</v>
      </c>
      <c r="AC10" s="833"/>
      <c r="AD10" s="834"/>
      <c r="AF10" s="832">
        <f>AB10-W10</f>
        <v>0</v>
      </c>
      <c r="AG10" s="833"/>
      <c r="AH10" s="834"/>
      <c r="AM10" s="316"/>
      <c r="AN10" s="316"/>
    </row>
    <row r="11" spans="2:108" s="51" customFormat="1" ht="16" customHeight="1" x14ac:dyDescent="0.15">
      <c r="C11" s="865">
        <f>C10+1</f>
        <v>201</v>
      </c>
      <c r="D11" s="419"/>
      <c r="E11" s="330"/>
      <c r="F11" s="330"/>
      <c r="G11" s="330"/>
      <c r="H11" s="330"/>
      <c r="I11" s="330"/>
      <c r="J11" s="330"/>
      <c r="K11" s="330"/>
      <c r="L11" s="330"/>
      <c r="M11" s="330"/>
      <c r="N11" s="58"/>
      <c r="O11" s="58"/>
      <c r="P11" s="59"/>
      <c r="Q11" s="58"/>
      <c r="R11" s="58"/>
      <c r="S11" s="67"/>
      <c r="T11" s="324"/>
      <c r="U11" s="88"/>
      <c r="V11" s="88"/>
      <c r="W11" s="729"/>
      <c r="X11" s="729"/>
      <c r="Y11" s="729"/>
      <c r="Z11" s="730"/>
      <c r="AB11" s="832">
        <v>0</v>
      </c>
      <c r="AC11" s="833"/>
      <c r="AD11" s="834"/>
      <c r="AF11" s="832">
        <f t="shared" ref="AF11:AF72" si="0">AB11-W11</f>
        <v>0</v>
      </c>
      <c r="AG11" s="833"/>
      <c r="AH11" s="834"/>
      <c r="AK11" s="325"/>
    </row>
    <row r="12" spans="2:108" s="51" customFormat="1" ht="16" customHeight="1" x14ac:dyDescent="0.15">
      <c r="C12" s="865">
        <f t="shared" ref="C12:C69" si="1">C11+1</f>
        <v>202</v>
      </c>
      <c r="D12" s="419"/>
      <c r="E12" s="330"/>
      <c r="F12" s="330"/>
      <c r="G12" s="330"/>
      <c r="H12" s="330"/>
      <c r="I12" s="330"/>
      <c r="J12" s="330"/>
      <c r="K12" s="330"/>
      <c r="L12" s="330"/>
      <c r="M12" s="330"/>
      <c r="N12" s="58"/>
      <c r="O12" s="58"/>
      <c r="P12" s="59"/>
      <c r="Q12" s="58"/>
      <c r="R12" s="58"/>
      <c r="S12" s="67"/>
      <c r="T12" s="324"/>
      <c r="U12" s="88"/>
      <c r="V12" s="88"/>
      <c r="W12" s="729"/>
      <c r="X12" s="729"/>
      <c r="Y12" s="729"/>
      <c r="Z12" s="730"/>
      <c r="AB12" s="832">
        <v>0</v>
      </c>
      <c r="AC12" s="833"/>
      <c r="AD12" s="834"/>
      <c r="AF12" s="832">
        <f t="shared" si="0"/>
        <v>0</v>
      </c>
      <c r="AG12" s="833"/>
      <c r="AH12" s="834"/>
      <c r="AK12" s="325"/>
    </row>
    <row r="13" spans="2:108" s="51" customFormat="1" ht="16" customHeight="1" x14ac:dyDescent="0.15">
      <c r="C13" s="865">
        <f t="shared" si="1"/>
        <v>203</v>
      </c>
      <c r="D13" s="419"/>
      <c r="E13" s="330"/>
      <c r="F13" s="330"/>
      <c r="G13" s="330"/>
      <c r="H13" s="330"/>
      <c r="I13" s="330"/>
      <c r="J13" s="330"/>
      <c r="K13" s="330"/>
      <c r="L13" s="330"/>
      <c r="M13" s="330"/>
      <c r="N13" s="58"/>
      <c r="O13" s="58"/>
      <c r="P13" s="59"/>
      <c r="Q13" s="58"/>
      <c r="R13" s="58"/>
      <c r="S13" s="67"/>
      <c r="T13" s="324"/>
      <c r="U13" s="88"/>
      <c r="V13" s="88"/>
      <c r="W13" s="729"/>
      <c r="X13" s="729"/>
      <c r="Y13" s="729"/>
      <c r="Z13" s="730"/>
      <c r="AB13" s="832">
        <v>0</v>
      </c>
      <c r="AC13" s="833"/>
      <c r="AD13" s="834"/>
      <c r="AF13" s="832">
        <f t="shared" si="0"/>
        <v>0</v>
      </c>
      <c r="AG13" s="833"/>
      <c r="AH13" s="834"/>
      <c r="AK13" s="325"/>
    </row>
    <row r="14" spans="2:108" s="51" customFormat="1" ht="16" customHeight="1" x14ac:dyDescent="0.15">
      <c r="C14" s="865">
        <f t="shared" si="1"/>
        <v>204</v>
      </c>
      <c r="D14" s="419"/>
      <c r="E14" s="330"/>
      <c r="F14" s="330"/>
      <c r="G14" s="330"/>
      <c r="H14" s="330"/>
      <c r="I14" s="330"/>
      <c r="J14" s="330"/>
      <c r="K14" s="330"/>
      <c r="L14" s="330"/>
      <c r="M14" s="330"/>
      <c r="N14" s="58"/>
      <c r="O14" s="58"/>
      <c r="P14" s="59"/>
      <c r="Q14" s="58"/>
      <c r="R14" s="58"/>
      <c r="S14" s="67"/>
      <c r="T14" s="324"/>
      <c r="U14" s="88"/>
      <c r="V14" s="88"/>
      <c r="W14" s="729"/>
      <c r="X14" s="729"/>
      <c r="Y14" s="729"/>
      <c r="Z14" s="730"/>
      <c r="AB14" s="832">
        <v>0</v>
      </c>
      <c r="AC14" s="833"/>
      <c r="AD14" s="834"/>
      <c r="AF14" s="832">
        <f t="shared" si="0"/>
        <v>0</v>
      </c>
      <c r="AG14" s="833"/>
      <c r="AH14" s="834"/>
      <c r="AK14" s="325"/>
    </row>
    <row r="15" spans="2:108" s="51" customFormat="1" ht="16" customHeight="1" x14ac:dyDescent="0.15">
      <c r="C15" s="865">
        <f t="shared" si="1"/>
        <v>205</v>
      </c>
      <c r="D15" s="419"/>
      <c r="E15" s="330"/>
      <c r="F15" s="330"/>
      <c r="G15" s="330"/>
      <c r="H15" s="330"/>
      <c r="I15" s="330"/>
      <c r="J15" s="330"/>
      <c r="K15" s="330"/>
      <c r="L15" s="330"/>
      <c r="M15" s="330"/>
      <c r="N15" s="58"/>
      <c r="O15" s="58"/>
      <c r="P15" s="59"/>
      <c r="Q15" s="58"/>
      <c r="R15" s="58"/>
      <c r="S15" s="67"/>
      <c r="T15" s="324"/>
      <c r="U15" s="88"/>
      <c r="V15" s="88"/>
      <c r="W15" s="729"/>
      <c r="X15" s="729"/>
      <c r="Y15" s="729"/>
      <c r="Z15" s="730"/>
      <c r="AB15" s="832">
        <v>0</v>
      </c>
      <c r="AC15" s="833"/>
      <c r="AD15" s="834"/>
      <c r="AF15" s="832">
        <f t="shared" si="0"/>
        <v>0</v>
      </c>
      <c r="AG15" s="833"/>
      <c r="AH15" s="834"/>
      <c r="AK15" s="325"/>
    </row>
    <row r="16" spans="2:108" s="51" customFormat="1" ht="16" customHeight="1" x14ac:dyDescent="0.15">
      <c r="C16" s="865">
        <f t="shared" si="1"/>
        <v>206</v>
      </c>
      <c r="D16" s="419"/>
      <c r="E16" s="330"/>
      <c r="F16" s="330"/>
      <c r="G16" s="330"/>
      <c r="H16" s="330"/>
      <c r="I16" s="330"/>
      <c r="J16" s="330"/>
      <c r="K16" s="330"/>
      <c r="L16" s="330"/>
      <c r="M16" s="330"/>
      <c r="N16" s="58"/>
      <c r="O16" s="58"/>
      <c r="P16" s="59"/>
      <c r="Q16" s="58"/>
      <c r="R16" s="58"/>
      <c r="S16" s="67"/>
      <c r="T16" s="324"/>
      <c r="U16" s="88"/>
      <c r="V16" s="88"/>
      <c r="W16" s="729"/>
      <c r="X16" s="729"/>
      <c r="Y16" s="729"/>
      <c r="Z16" s="730"/>
      <c r="AB16" s="832">
        <v>0</v>
      </c>
      <c r="AC16" s="833"/>
      <c r="AD16" s="834"/>
      <c r="AF16" s="832">
        <f t="shared" si="0"/>
        <v>0</v>
      </c>
      <c r="AG16" s="833"/>
      <c r="AH16" s="834"/>
      <c r="AK16" s="325"/>
    </row>
    <row r="17" spans="3:37" s="51" customFormat="1" ht="16" customHeight="1" x14ac:dyDescent="0.15">
      <c r="C17" s="865">
        <f t="shared" si="1"/>
        <v>207</v>
      </c>
      <c r="D17" s="419"/>
      <c r="E17" s="330"/>
      <c r="F17" s="330"/>
      <c r="G17" s="330"/>
      <c r="H17" s="330"/>
      <c r="I17" s="330"/>
      <c r="J17" s="330"/>
      <c r="K17" s="330"/>
      <c r="L17" s="330"/>
      <c r="M17" s="330"/>
      <c r="N17" s="58"/>
      <c r="O17" s="58"/>
      <c r="P17" s="59"/>
      <c r="Q17" s="58"/>
      <c r="R17" s="58"/>
      <c r="S17" s="67"/>
      <c r="T17" s="324"/>
      <c r="U17" s="88"/>
      <c r="V17" s="88"/>
      <c r="W17" s="729"/>
      <c r="X17" s="729"/>
      <c r="Y17" s="729"/>
      <c r="Z17" s="730"/>
      <c r="AB17" s="832">
        <v>0</v>
      </c>
      <c r="AC17" s="833"/>
      <c r="AD17" s="834"/>
      <c r="AF17" s="832">
        <f t="shared" si="0"/>
        <v>0</v>
      </c>
      <c r="AG17" s="833"/>
      <c r="AH17" s="834"/>
      <c r="AK17" s="325"/>
    </row>
    <row r="18" spans="3:37" s="51" customFormat="1" ht="16" customHeight="1" x14ac:dyDescent="0.15">
      <c r="C18" s="865">
        <f t="shared" si="1"/>
        <v>208</v>
      </c>
      <c r="D18" s="419"/>
      <c r="E18" s="330"/>
      <c r="F18" s="330"/>
      <c r="G18" s="330"/>
      <c r="H18" s="330"/>
      <c r="I18" s="330"/>
      <c r="J18" s="330"/>
      <c r="K18" s="330"/>
      <c r="L18" s="330"/>
      <c r="M18" s="330"/>
      <c r="N18" s="58"/>
      <c r="O18" s="58"/>
      <c r="P18" s="59"/>
      <c r="Q18" s="58"/>
      <c r="R18" s="58"/>
      <c r="S18" s="67"/>
      <c r="T18" s="324"/>
      <c r="U18" s="88"/>
      <c r="V18" s="88"/>
      <c r="W18" s="729"/>
      <c r="X18" s="729"/>
      <c r="Y18" s="729"/>
      <c r="Z18" s="730"/>
      <c r="AB18" s="832">
        <v>0</v>
      </c>
      <c r="AC18" s="833"/>
      <c r="AD18" s="834"/>
      <c r="AF18" s="832">
        <f t="shared" si="0"/>
        <v>0</v>
      </c>
      <c r="AG18" s="833"/>
      <c r="AH18" s="834"/>
      <c r="AK18" s="325"/>
    </row>
    <row r="19" spans="3:37" s="51" customFormat="1" ht="16" customHeight="1" x14ac:dyDescent="0.15">
      <c r="C19" s="865">
        <f t="shared" si="1"/>
        <v>209</v>
      </c>
      <c r="D19" s="419"/>
      <c r="E19" s="330"/>
      <c r="F19" s="330"/>
      <c r="G19" s="330"/>
      <c r="H19" s="330"/>
      <c r="I19" s="330"/>
      <c r="J19" s="330"/>
      <c r="K19" s="330"/>
      <c r="L19" s="330"/>
      <c r="M19" s="330"/>
      <c r="N19" s="58"/>
      <c r="O19" s="58"/>
      <c r="P19" s="59"/>
      <c r="Q19" s="58"/>
      <c r="R19" s="58"/>
      <c r="S19" s="67"/>
      <c r="T19" s="324"/>
      <c r="U19" s="88"/>
      <c r="V19" s="88"/>
      <c r="W19" s="729"/>
      <c r="X19" s="729"/>
      <c r="Y19" s="729"/>
      <c r="Z19" s="730"/>
      <c r="AB19" s="832">
        <v>0</v>
      </c>
      <c r="AC19" s="833"/>
      <c r="AD19" s="834"/>
      <c r="AF19" s="832">
        <f t="shared" si="0"/>
        <v>0</v>
      </c>
      <c r="AG19" s="833"/>
      <c r="AH19" s="834"/>
      <c r="AK19" s="325"/>
    </row>
    <row r="20" spans="3:37" s="51" customFormat="1" ht="16" customHeight="1" x14ac:dyDescent="0.15">
      <c r="C20" s="865">
        <f t="shared" si="1"/>
        <v>210</v>
      </c>
      <c r="D20" s="419"/>
      <c r="E20" s="330"/>
      <c r="F20" s="330"/>
      <c r="G20" s="330"/>
      <c r="H20" s="330"/>
      <c r="I20" s="330"/>
      <c r="J20" s="330"/>
      <c r="K20" s="330"/>
      <c r="L20" s="330"/>
      <c r="M20" s="330"/>
      <c r="N20" s="58"/>
      <c r="O20" s="58"/>
      <c r="P20" s="59"/>
      <c r="Q20" s="58"/>
      <c r="R20" s="58"/>
      <c r="S20" s="67"/>
      <c r="T20" s="324"/>
      <c r="U20" s="88"/>
      <c r="V20" s="88"/>
      <c r="W20" s="729"/>
      <c r="X20" s="729"/>
      <c r="Y20" s="729"/>
      <c r="Z20" s="730"/>
      <c r="AB20" s="832">
        <v>0</v>
      </c>
      <c r="AC20" s="833"/>
      <c r="AD20" s="834"/>
      <c r="AF20" s="832">
        <f t="shared" si="0"/>
        <v>0</v>
      </c>
      <c r="AG20" s="833"/>
      <c r="AH20" s="834"/>
      <c r="AK20" s="325"/>
    </row>
    <row r="21" spans="3:37" s="51" customFormat="1" ht="16" customHeight="1" x14ac:dyDescent="0.15">
      <c r="C21" s="865">
        <f t="shared" si="1"/>
        <v>211</v>
      </c>
      <c r="D21" s="419"/>
      <c r="E21" s="330"/>
      <c r="F21" s="330"/>
      <c r="G21" s="330"/>
      <c r="H21" s="330"/>
      <c r="I21" s="330"/>
      <c r="J21" s="330"/>
      <c r="K21" s="330"/>
      <c r="L21" s="330"/>
      <c r="M21" s="330"/>
      <c r="N21" s="58"/>
      <c r="O21" s="58"/>
      <c r="P21" s="59"/>
      <c r="Q21" s="58"/>
      <c r="R21" s="58"/>
      <c r="S21" s="67"/>
      <c r="T21" s="324"/>
      <c r="U21" s="88"/>
      <c r="V21" s="88"/>
      <c r="W21" s="729"/>
      <c r="X21" s="729"/>
      <c r="Y21" s="729"/>
      <c r="Z21" s="730"/>
      <c r="AB21" s="832">
        <v>0</v>
      </c>
      <c r="AC21" s="833"/>
      <c r="AD21" s="834"/>
      <c r="AF21" s="832">
        <f t="shared" si="0"/>
        <v>0</v>
      </c>
      <c r="AG21" s="833"/>
      <c r="AH21" s="834"/>
      <c r="AK21" s="325"/>
    </row>
    <row r="22" spans="3:37" s="51" customFormat="1" ht="16" customHeight="1" x14ac:dyDescent="0.15">
      <c r="C22" s="865">
        <f t="shared" si="1"/>
        <v>212</v>
      </c>
      <c r="D22" s="419"/>
      <c r="E22" s="330"/>
      <c r="F22" s="330"/>
      <c r="G22" s="330"/>
      <c r="H22" s="330"/>
      <c r="I22" s="330"/>
      <c r="J22" s="330"/>
      <c r="K22" s="330"/>
      <c r="L22" s="330"/>
      <c r="M22" s="330"/>
      <c r="N22" s="58"/>
      <c r="O22" s="58"/>
      <c r="P22" s="59"/>
      <c r="Q22" s="58"/>
      <c r="R22" s="58"/>
      <c r="S22" s="67"/>
      <c r="T22" s="324"/>
      <c r="U22" s="88"/>
      <c r="V22" s="88"/>
      <c r="W22" s="729"/>
      <c r="X22" s="729"/>
      <c r="Y22" s="729"/>
      <c r="Z22" s="730"/>
      <c r="AB22" s="832">
        <v>0</v>
      </c>
      <c r="AC22" s="833"/>
      <c r="AD22" s="834"/>
      <c r="AF22" s="832">
        <f t="shared" si="0"/>
        <v>0</v>
      </c>
      <c r="AG22" s="833"/>
      <c r="AH22" s="834"/>
      <c r="AK22" s="325"/>
    </row>
    <row r="23" spans="3:37" s="51" customFormat="1" ht="16" customHeight="1" x14ac:dyDescent="0.15">
      <c r="C23" s="865">
        <f t="shared" si="1"/>
        <v>213</v>
      </c>
      <c r="D23" s="419"/>
      <c r="E23" s="330"/>
      <c r="F23" s="330"/>
      <c r="G23" s="330"/>
      <c r="H23" s="330"/>
      <c r="I23" s="330"/>
      <c r="J23" s="330"/>
      <c r="K23" s="330"/>
      <c r="L23" s="330"/>
      <c r="M23" s="330"/>
      <c r="N23" s="58"/>
      <c r="O23" s="58"/>
      <c r="P23" s="59"/>
      <c r="Q23" s="58"/>
      <c r="R23" s="58"/>
      <c r="S23" s="67"/>
      <c r="T23" s="324"/>
      <c r="U23" s="88"/>
      <c r="V23" s="88"/>
      <c r="W23" s="729"/>
      <c r="X23" s="729"/>
      <c r="Y23" s="729"/>
      <c r="Z23" s="730"/>
      <c r="AB23" s="832">
        <v>0</v>
      </c>
      <c r="AC23" s="833"/>
      <c r="AD23" s="834"/>
      <c r="AF23" s="832">
        <f t="shared" si="0"/>
        <v>0</v>
      </c>
      <c r="AG23" s="833"/>
      <c r="AH23" s="834"/>
      <c r="AK23" s="325"/>
    </row>
    <row r="24" spans="3:37" s="51" customFormat="1" ht="16" customHeight="1" x14ac:dyDescent="0.15">
      <c r="C24" s="865">
        <f t="shared" si="1"/>
        <v>214</v>
      </c>
      <c r="D24" s="419"/>
      <c r="E24" s="330"/>
      <c r="F24" s="330"/>
      <c r="G24" s="330"/>
      <c r="H24" s="330"/>
      <c r="I24" s="330"/>
      <c r="J24" s="330"/>
      <c r="K24" s="330"/>
      <c r="L24" s="330"/>
      <c r="M24" s="330"/>
      <c r="N24" s="58"/>
      <c r="O24" s="58"/>
      <c r="P24" s="59"/>
      <c r="Q24" s="58"/>
      <c r="R24" s="58"/>
      <c r="S24" s="67"/>
      <c r="T24" s="324"/>
      <c r="U24" s="88"/>
      <c r="V24" s="88"/>
      <c r="W24" s="729"/>
      <c r="X24" s="729"/>
      <c r="Y24" s="729"/>
      <c r="Z24" s="730"/>
      <c r="AB24" s="832">
        <v>0</v>
      </c>
      <c r="AC24" s="833"/>
      <c r="AD24" s="834"/>
      <c r="AF24" s="832">
        <f t="shared" si="0"/>
        <v>0</v>
      </c>
      <c r="AG24" s="833"/>
      <c r="AH24" s="834"/>
      <c r="AK24" s="325"/>
    </row>
    <row r="25" spans="3:37" s="51" customFormat="1" ht="16" customHeight="1" x14ac:dyDescent="0.15">
      <c r="C25" s="865">
        <f t="shared" si="1"/>
        <v>215</v>
      </c>
      <c r="D25" s="419"/>
      <c r="E25" s="330"/>
      <c r="F25" s="330"/>
      <c r="G25" s="330"/>
      <c r="H25" s="330"/>
      <c r="I25" s="330"/>
      <c r="J25" s="330"/>
      <c r="K25" s="330"/>
      <c r="L25" s="330"/>
      <c r="M25" s="330"/>
      <c r="N25" s="58"/>
      <c r="O25" s="58"/>
      <c r="P25" s="59"/>
      <c r="Q25" s="58"/>
      <c r="R25" s="58"/>
      <c r="S25" s="67"/>
      <c r="T25" s="324"/>
      <c r="U25" s="88"/>
      <c r="V25" s="88"/>
      <c r="W25" s="729"/>
      <c r="X25" s="729"/>
      <c r="Y25" s="729"/>
      <c r="Z25" s="730"/>
      <c r="AB25" s="832">
        <v>0</v>
      </c>
      <c r="AC25" s="833"/>
      <c r="AD25" s="834"/>
      <c r="AF25" s="832">
        <f t="shared" si="0"/>
        <v>0</v>
      </c>
      <c r="AG25" s="833"/>
      <c r="AH25" s="834"/>
      <c r="AK25" s="325"/>
    </row>
    <row r="26" spans="3:37" s="51" customFormat="1" ht="16" customHeight="1" x14ac:dyDescent="0.15">
      <c r="C26" s="865">
        <f t="shared" si="1"/>
        <v>216</v>
      </c>
      <c r="D26" s="419"/>
      <c r="E26" s="330"/>
      <c r="F26" s="330"/>
      <c r="G26" s="330"/>
      <c r="H26" s="330"/>
      <c r="I26" s="330"/>
      <c r="J26" s="330"/>
      <c r="K26" s="330"/>
      <c r="L26" s="330"/>
      <c r="M26" s="330"/>
      <c r="N26" s="58"/>
      <c r="O26" s="58"/>
      <c r="P26" s="59"/>
      <c r="Q26" s="58"/>
      <c r="R26" s="58"/>
      <c r="S26" s="67"/>
      <c r="T26" s="324"/>
      <c r="U26" s="88"/>
      <c r="V26" s="88"/>
      <c r="W26" s="729"/>
      <c r="X26" s="729"/>
      <c r="Y26" s="729"/>
      <c r="Z26" s="730"/>
      <c r="AB26" s="832">
        <v>0</v>
      </c>
      <c r="AC26" s="833"/>
      <c r="AD26" s="834"/>
      <c r="AF26" s="832">
        <f t="shared" si="0"/>
        <v>0</v>
      </c>
      <c r="AG26" s="833"/>
      <c r="AH26" s="834"/>
      <c r="AK26" s="325"/>
    </row>
    <row r="27" spans="3:37" s="51" customFormat="1" ht="16" customHeight="1" x14ac:dyDescent="0.15">
      <c r="C27" s="865">
        <f t="shared" si="1"/>
        <v>217</v>
      </c>
      <c r="D27" s="419"/>
      <c r="E27" s="330"/>
      <c r="F27" s="330"/>
      <c r="G27" s="330"/>
      <c r="H27" s="330"/>
      <c r="I27" s="330"/>
      <c r="J27" s="330"/>
      <c r="K27" s="330"/>
      <c r="L27" s="330"/>
      <c r="M27" s="330"/>
      <c r="N27" s="58"/>
      <c r="O27" s="58"/>
      <c r="P27" s="59"/>
      <c r="Q27" s="58"/>
      <c r="R27" s="58"/>
      <c r="S27" s="67"/>
      <c r="T27" s="324"/>
      <c r="U27" s="88"/>
      <c r="V27" s="88"/>
      <c r="W27" s="729"/>
      <c r="X27" s="729"/>
      <c r="Y27" s="729"/>
      <c r="Z27" s="730"/>
      <c r="AB27" s="832">
        <v>0</v>
      </c>
      <c r="AC27" s="833"/>
      <c r="AD27" s="834"/>
      <c r="AF27" s="832">
        <f t="shared" si="0"/>
        <v>0</v>
      </c>
      <c r="AG27" s="833"/>
      <c r="AH27" s="834"/>
      <c r="AK27" s="325"/>
    </row>
    <row r="28" spans="3:37" s="51" customFormat="1" ht="16" customHeight="1" x14ac:dyDescent="0.15">
      <c r="C28" s="865">
        <f t="shared" si="1"/>
        <v>218</v>
      </c>
      <c r="D28" s="419"/>
      <c r="E28" s="330"/>
      <c r="F28" s="330"/>
      <c r="G28" s="330"/>
      <c r="H28" s="330"/>
      <c r="I28" s="330"/>
      <c r="J28" s="330"/>
      <c r="K28" s="330"/>
      <c r="L28" s="330"/>
      <c r="M28" s="330"/>
      <c r="N28" s="58"/>
      <c r="O28" s="58"/>
      <c r="P28" s="59"/>
      <c r="Q28" s="58"/>
      <c r="R28" s="58"/>
      <c r="S28" s="67"/>
      <c r="T28" s="324"/>
      <c r="U28" s="88"/>
      <c r="V28" s="88"/>
      <c r="W28" s="729"/>
      <c r="X28" s="729"/>
      <c r="Y28" s="729"/>
      <c r="Z28" s="730"/>
      <c r="AB28" s="832">
        <v>0</v>
      </c>
      <c r="AC28" s="833"/>
      <c r="AD28" s="834"/>
      <c r="AF28" s="832">
        <f t="shared" si="0"/>
        <v>0</v>
      </c>
      <c r="AG28" s="833"/>
      <c r="AH28" s="834"/>
      <c r="AK28" s="325"/>
    </row>
    <row r="29" spans="3:37" s="51" customFormat="1" ht="16" customHeight="1" x14ac:dyDescent="0.15">
      <c r="C29" s="865">
        <f t="shared" si="1"/>
        <v>219</v>
      </c>
      <c r="D29" s="419"/>
      <c r="E29" s="330"/>
      <c r="F29" s="330"/>
      <c r="G29" s="330"/>
      <c r="H29" s="330"/>
      <c r="I29" s="330"/>
      <c r="J29" s="330"/>
      <c r="K29" s="330"/>
      <c r="L29" s="330"/>
      <c r="M29" s="330"/>
      <c r="N29" s="58"/>
      <c r="O29" s="58"/>
      <c r="P29" s="59"/>
      <c r="Q29" s="58"/>
      <c r="R29" s="58"/>
      <c r="S29" s="67"/>
      <c r="T29" s="324"/>
      <c r="U29" s="88"/>
      <c r="V29" s="88"/>
      <c r="W29" s="729"/>
      <c r="X29" s="729"/>
      <c r="Y29" s="729"/>
      <c r="Z29" s="730"/>
      <c r="AB29" s="832">
        <v>0</v>
      </c>
      <c r="AC29" s="833"/>
      <c r="AD29" s="834"/>
      <c r="AF29" s="832">
        <f t="shared" si="0"/>
        <v>0</v>
      </c>
      <c r="AG29" s="833"/>
      <c r="AH29" s="834"/>
      <c r="AK29" s="325"/>
    </row>
    <row r="30" spans="3:37" s="51" customFormat="1" ht="16" customHeight="1" x14ac:dyDescent="0.15">
      <c r="C30" s="865">
        <f t="shared" si="1"/>
        <v>220</v>
      </c>
      <c r="D30" s="419"/>
      <c r="E30" s="330"/>
      <c r="F30" s="330"/>
      <c r="G30" s="330"/>
      <c r="H30" s="330"/>
      <c r="I30" s="330"/>
      <c r="J30" s="330"/>
      <c r="K30" s="330"/>
      <c r="L30" s="330"/>
      <c r="M30" s="330"/>
      <c r="N30" s="58"/>
      <c r="O30" s="58"/>
      <c r="P30" s="59"/>
      <c r="Q30" s="58"/>
      <c r="R30" s="58"/>
      <c r="S30" s="67"/>
      <c r="T30" s="324"/>
      <c r="U30" s="88"/>
      <c r="V30" s="88"/>
      <c r="W30" s="729"/>
      <c r="X30" s="729"/>
      <c r="Y30" s="729"/>
      <c r="Z30" s="730"/>
      <c r="AB30" s="832">
        <v>0</v>
      </c>
      <c r="AC30" s="833"/>
      <c r="AD30" s="834"/>
      <c r="AF30" s="832">
        <f t="shared" si="0"/>
        <v>0</v>
      </c>
      <c r="AG30" s="833"/>
      <c r="AH30" s="834"/>
      <c r="AK30" s="325"/>
    </row>
    <row r="31" spans="3:37" s="51" customFormat="1" ht="16" customHeight="1" x14ac:dyDescent="0.15">
      <c r="C31" s="865">
        <f t="shared" si="1"/>
        <v>221</v>
      </c>
      <c r="D31" s="419"/>
      <c r="E31" s="330"/>
      <c r="F31" s="330"/>
      <c r="G31" s="330"/>
      <c r="H31" s="330"/>
      <c r="I31" s="330"/>
      <c r="J31" s="330"/>
      <c r="K31" s="330"/>
      <c r="L31" s="330"/>
      <c r="M31" s="330"/>
      <c r="N31" s="58"/>
      <c r="O31" s="58"/>
      <c r="P31" s="59"/>
      <c r="Q31" s="58"/>
      <c r="R31" s="58"/>
      <c r="S31" s="67"/>
      <c r="T31" s="324"/>
      <c r="U31" s="88"/>
      <c r="V31" s="88"/>
      <c r="W31" s="729"/>
      <c r="X31" s="729"/>
      <c r="Y31" s="729"/>
      <c r="Z31" s="730"/>
      <c r="AB31" s="832">
        <v>0</v>
      </c>
      <c r="AC31" s="833"/>
      <c r="AD31" s="834"/>
      <c r="AF31" s="832">
        <f t="shared" si="0"/>
        <v>0</v>
      </c>
      <c r="AG31" s="833"/>
      <c r="AH31" s="834"/>
      <c r="AK31" s="325"/>
    </row>
    <row r="32" spans="3:37" s="51" customFormat="1" ht="16" customHeight="1" x14ac:dyDescent="0.15">
      <c r="C32" s="865">
        <f t="shared" si="1"/>
        <v>222</v>
      </c>
      <c r="D32" s="419"/>
      <c r="E32" s="330"/>
      <c r="F32" s="330"/>
      <c r="G32" s="330"/>
      <c r="H32" s="330"/>
      <c r="I32" s="330"/>
      <c r="J32" s="330"/>
      <c r="K32" s="330"/>
      <c r="L32" s="330"/>
      <c r="M32" s="330"/>
      <c r="N32" s="58"/>
      <c r="O32" s="58"/>
      <c r="P32" s="59"/>
      <c r="Q32" s="58"/>
      <c r="R32" s="58"/>
      <c r="S32" s="67"/>
      <c r="T32" s="324"/>
      <c r="U32" s="88"/>
      <c r="V32" s="88"/>
      <c r="W32" s="729"/>
      <c r="X32" s="729"/>
      <c r="Y32" s="729"/>
      <c r="Z32" s="730"/>
      <c r="AB32" s="832">
        <v>0</v>
      </c>
      <c r="AC32" s="833"/>
      <c r="AD32" s="834"/>
      <c r="AF32" s="832">
        <f t="shared" si="0"/>
        <v>0</v>
      </c>
      <c r="AG32" s="833"/>
      <c r="AH32" s="834"/>
      <c r="AK32" s="325"/>
    </row>
    <row r="33" spans="3:37" s="51" customFormat="1" ht="16" customHeight="1" x14ac:dyDescent="0.15">
      <c r="C33" s="865">
        <f t="shared" si="1"/>
        <v>223</v>
      </c>
      <c r="D33" s="419"/>
      <c r="E33" s="330"/>
      <c r="F33" s="330"/>
      <c r="G33" s="330"/>
      <c r="H33" s="330"/>
      <c r="I33" s="330"/>
      <c r="J33" s="330"/>
      <c r="K33" s="330"/>
      <c r="L33" s="330"/>
      <c r="M33" s="330"/>
      <c r="N33" s="58"/>
      <c r="O33" s="58"/>
      <c r="P33" s="59"/>
      <c r="Q33" s="58"/>
      <c r="R33" s="58"/>
      <c r="S33" s="67"/>
      <c r="T33" s="324"/>
      <c r="U33" s="88"/>
      <c r="V33" s="88"/>
      <c r="W33" s="729"/>
      <c r="X33" s="729"/>
      <c r="Y33" s="729"/>
      <c r="Z33" s="730"/>
      <c r="AB33" s="832">
        <v>0</v>
      </c>
      <c r="AC33" s="833"/>
      <c r="AD33" s="834"/>
      <c r="AF33" s="832">
        <f t="shared" si="0"/>
        <v>0</v>
      </c>
      <c r="AG33" s="833"/>
      <c r="AH33" s="834"/>
      <c r="AK33" s="325"/>
    </row>
    <row r="34" spans="3:37" s="51" customFormat="1" ht="16" customHeight="1" x14ac:dyDescent="0.15">
      <c r="C34" s="865">
        <f t="shared" si="1"/>
        <v>224</v>
      </c>
      <c r="D34" s="419"/>
      <c r="E34" s="330"/>
      <c r="F34" s="330"/>
      <c r="G34" s="330"/>
      <c r="H34" s="330"/>
      <c r="I34" s="330"/>
      <c r="J34" s="330"/>
      <c r="K34" s="330"/>
      <c r="L34" s="330"/>
      <c r="M34" s="330"/>
      <c r="N34" s="58"/>
      <c r="O34" s="58"/>
      <c r="P34" s="59"/>
      <c r="Q34" s="58"/>
      <c r="R34" s="58"/>
      <c r="S34" s="67"/>
      <c r="T34" s="324"/>
      <c r="U34" s="88"/>
      <c r="V34" s="88"/>
      <c r="W34" s="729"/>
      <c r="X34" s="729"/>
      <c r="Y34" s="729"/>
      <c r="Z34" s="730"/>
      <c r="AB34" s="832">
        <v>0</v>
      </c>
      <c r="AC34" s="833"/>
      <c r="AD34" s="834"/>
      <c r="AF34" s="832">
        <f t="shared" si="0"/>
        <v>0</v>
      </c>
      <c r="AG34" s="833"/>
      <c r="AH34" s="834"/>
      <c r="AK34" s="325"/>
    </row>
    <row r="35" spans="3:37" s="51" customFormat="1" ht="16" customHeight="1" x14ac:dyDescent="0.15">
      <c r="C35" s="865">
        <f t="shared" si="1"/>
        <v>225</v>
      </c>
      <c r="D35" s="419"/>
      <c r="E35" s="330"/>
      <c r="F35" s="330"/>
      <c r="G35" s="330"/>
      <c r="H35" s="330"/>
      <c r="I35" s="330"/>
      <c r="J35" s="330"/>
      <c r="K35" s="330"/>
      <c r="L35" s="330"/>
      <c r="M35" s="330"/>
      <c r="N35" s="58"/>
      <c r="O35" s="58"/>
      <c r="P35" s="59"/>
      <c r="Q35" s="58"/>
      <c r="R35" s="58"/>
      <c r="S35" s="67"/>
      <c r="T35" s="324"/>
      <c r="U35" s="88"/>
      <c r="V35" s="88"/>
      <c r="W35" s="729"/>
      <c r="X35" s="729"/>
      <c r="Y35" s="729"/>
      <c r="Z35" s="730"/>
      <c r="AB35" s="832">
        <v>0</v>
      </c>
      <c r="AC35" s="833"/>
      <c r="AD35" s="834"/>
      <c r="AF35" s="832">
        <f t="shared" si="0"/>
        <v>0</v>
      </c>
      <c r="AG35" s="833"/>
      <c r="AH35" s="834"/>
      <c r="AK35" s="325"/>
    </row>
    <row r="36" spans="3:37" s="51" customFormat="1" ht="16" customHeight="1" x14ac:dyDescent="0.15">
      <c r="C36" s="865">
        <f t="shared" si="1"/>
        <v>226</v>
      </c>
      <c r="D36" s="419"/>
      <c r="E36" s="330"/>
      <c r="F36" s="330"/>
      <c r="G36" s="330"/>
      <c r="H36" s="330"/>
      <c r="I36" s="330"/>
      <c r="J36" s="330"/>
      <c r="K36" s="330"/>
      <c r="L36" s="330"/>
      <c r="M36" s="330"/>
      <c r="N36" s="58"/>
      <c r="O36" s="58"/>
      <c r="P36" s="59"/>
      <c r="Q36" s="58"/>
      <c r="R36" s="58"/>
      <c r="S36" s="67"/>
      <c r="T36" s="324"/>
      <c r="U36" s="88"/>
      <c r="V36" s="88"/>
      <c r="W36" s="729"/>
      <c r="X36" s="729"/>
      <c r="Y36" s="729"/>
      <c r="Z36" s="730"/>
      <c r="AB36" s="832">
        <v>0</v>
      </c>
      <c r="AC36" s="833"/>
      <c r="AD36" s="834"/>
      <c r="AF36" s="832">
        <f t="shared" si="0"/>
        <v>0</v>
      </c>
      <c r="AG36" s="833"/>
      <c r="AH36" s="834"/>
      <c r="AK36" s="325"/>
    </row>
    <row r="37" spans="3:37" s="51" customFormat="1" ht="16" customHeight="1" x14ac:dyDescent="0.15">
      <c r="C37" s="865">
        <f t="shared" si="1"/>
        <v>227</v>
      </c>
      <c r="D37" s="419"/>
      <c r="E37" s="330"/>
      <c r="F37" s="330"/>
      <c r="G37" s="330"/>
      <c r="H37" s="330"/>
      <c r="I37" s="330"/>
      <c r="J37" s="330"/>
      <c r="K37" s="330"/>
      <c r="L37" s="330"/>
      <c r="M37" s="330"/>
      <c r="N37" s="58"/>
      <c r="O37" s="58"/>
      <c r="P37" s="59"/>
      <c r="Q37" s="58"/>
      <c r="R37" s="58"/>
      <c r="S37" s="67"/>
      <c r="T37" s="324"/>
      <c r="U37" s="88"/>
      <c r="V37" s="88"/>
      <c r="W37" s="729"/>
      <c r="X37" s="729"/>
      <c r="Y37" s="729"/>
      <c r="Z37" s="730"/>
      <c r="AB37" s="832">
        <v>0</v>
      </c>
      <c r="AC37" s="833"/>
      <c r="AD37" s="834"/>
      <c r="AF37" s="832">
        <f t="shared" si="0"/>
        <v>0</v>
      </c>
      <c r="AG37" s="833"/>
      <c r="AH37" s="834"/>
      <c r="AK37" s="325"/>
    </row>
    <row r="38" spans="3:37" s="51" customFormat="1" ht="16" customHeight="1" x14ac:dyDescent="0.15">
      <c r="C38" s="865">
        <f t="shared" si="1"/>
        <v>228</v>
      </c>
      <c r="D38" s="419"/>
      <c r="E38" s="330"/>
      <c r="F38" s="330"/>
      <c r="G38" s="330"/>
      <c r="H38" s="330"/>
      <c r="I38" s="330"/>
      <c r="J38" s="330"/>
      <c r="K38" s="330"/>
      <c r="L38" s="330"/>
      <c r="M38" s="330"/>
      <c r="N38" s="58"/>
      <c r="O38" s="58"/>
      <c r="P38" s="59"/>
      <c r="Q38" s="58"/>
      <c r="R38" s="58"/>
      <c r="S38" s="67"/>
      <c r="T38" s="324"/>
      <c r="U38" s="88"/>
      <c r="V38" s="88"/>
      <c r="W38" s="729"/>
      <c r="X38" s="729"/>
      <c r="Y38" s="729"/>
      <c r="Z38" s="730"/>
      <c r="AB38" s="832">
        <v>0</v>
      </c>
      <c r="AC38" s="833"/>
      <c r="AD38" s="834"/>
      <c r="AF38" s="832">
        <f t="shared" si="0"/>
        <v>0</v>
      </c>
      <c r="AG38" s="833"/>
      <c r="AH38" s="834"/>
      <c r="AK38" s="325"/>
    </row>
    <row r="39" spans="3:37" s="51" customFormat="1" ht="16" customHeight="1" x14ac:dyDescent="0.15">
      <c r="C39" s="865">
        <f t="shared" si="1"/>
        <v>229</v>
      </c>
      <c r="D39" s="419"/>
      <c r="E39" s="330"/>
      <c r="F39" s="330"/>
      <c r="G39" s="330"/>
      <c r="H39" s="330"/>
      <c r="I39" s="330"/>
      <c r="J39" s="330"/>
      <c r="K39" s="330"/>
      <c r="L39" s="330"/>
      <c r="M39" s="330"/>
      <c r="N39" s="58"/>
      <c r="O39" s="58"/>
      <c r="P39" s="59"/>
      <c r="Q39" s="58"/>
      <c r="R39" s="58"/>
      <c r="S39" s="67"/>
      <c r="T39" s="324"/>
      <c r="U39" s="88"/>
      <c r="V39" s="88"/>
      <c r="W39" s="729"/>
      <c r="X39" s="729"/>
      <c r="Y39" s="729"/>
      <c r="Z39" s="730"/>
      <c r="AB39" s="832">
        <v>0</v>
      </c>
      <c r="AC39" s="833"/>
      <c r="AD39" s="834"/>
      <c r="AF39" s="832">
        <f t="shared" si="0"/>
        <v>0</v>
      </c>
      <c r="AG39" s="833"/>
      <c r="AH39" s="834"/>
      <c r="AK39" s="325"/>
    </row>
    <row r="40" spans="3:37" s="51" customFormat="1" ht="16" customHeight="1" x14ac:dyDescent="0.15">
      <c r="C40" s="865">
        <f t="shared" si="1"/>
        <v>230</v>
      </c>
      <c r="D40" s="419"/>
      <c r="E40" s="330"/>
      <c r="F40" s="330"/>
      <c r="G40" s="330"/>
      <c r="H40" s="330"/>
      <c r="I40" s="330"/>
      <c r="J40" s="330"/>
      <c r="K40" s="330"/>
      <c r="L40" s="330"/>
      <c r="M40" s="330"/>
      <c r="N40" s="58"/>
      <c r="O40" s="58"/>
      <c r="P40" s="59"/>
      <c r="Q40" s="58"/>
      <c r="R40" s="58"/>
      <c r="S40" s="67"/>
      <c r="T40" s="324"/>
      <c r="U40" s="88"/>
      <c r="V40" s="88"/>
      <c r="W40" s="729"/>
      <c r="X40" s="729"/>
      <c r="Y40" s="729"/>
      <c r="Z40" s="730"/>
      <c r="AB40" s="832">
        <v>0</v>
      </c>
      <c r="AC40" s="833"/>
      <c r="AD40" s="834"/>
      <c r="AF40" s="832">
        <f t="shared" si="0"/>
        <v>0</v>
      </c>
      <c r="AG40" s="833"/>
      <c r="AH40" s="834"/>
      <c r="AK40" s="325"/>
    </row>
    <row r="41" spans="3:37" s="51" customFormat="1" ht="16" customHeight="1" x14ac:dyDescent="0.15">
      <c r="C41" s="865">
        <f t="shared" si="1"/>
        <v>231</v>
      </c>
      <c r="D41" s="419"/>
      <c r="E41" s="330"/>
      <c r="F41" s="330"/>
      <c r="G41" s="330"/>
      <c r="H41" s="330"/>
      <c r="I41" s="330"/>
      <c r="J41" s="330"/>
      <c r="K41" s="330"/>
      <c r="L41" s="330"/>
      <c r="M41" s="330"/>
      <c r="N41" s="58"/>
      <c r="O41" s="58"/>
      <c r="P41" s="59"/>
      <c r="Q41" s="58"/>
      <c r="R41" s="58"/>
      <c r="S41" s="67"/>
      <c r="T41" s="324"/>
      <c r="U41" s="88"/>
      <c r="V41" s="88"/>
      <c r="W41" s="729"/>
      <c r="X41" s="729"/>
      <c r="Y41" s="729"/>
      <c r="Z41" s="730"/>
      <c r="AB41" s="832">
        <v>0</v>
      </c>
      <c r="AC41" s="833"/>
      <c r="AD41" s="834"/>
      <c r="AF41" s="832">
        <f t="shared" si="0"/>
        <v>0</v>
      </c>
      <c r="AG41" s="833"/>
      <c r="AH41" s="834"/>
      <c r="AK41" s="325"/>
    </row>
    <row r="42" spans="3:37" s="51" customFormat="1" ht="16" customHeight="1" x14ac:dyDescent="0.15">
      <c r="C42" s="865">
        <f t="shared" si="1"/>
        <v>232</v>
      </c>
      <c r="D42" s="419"/>
      <c r="E42" s="330"/>
      <c r="F42" s="330"/>
      <c r="G42" s="330"/>
      <c r="H42" s="330"/>
      <c r="I42" s="330"/>
      <c r="J42" s="330"/>
      <c r="K42" s="330"/>
      <c r="L42" s="330"/>
      <c r="M42" s="330"/>
      <c r="N42" s="58"/>
      <c r="O42" s="58"/>
      <c r="P42" s="59"/>
      <c r="Q42" s="58"/>
      <c r="R42" s="58"/>
      <c r="S42" s="67"/>
      <c r="T42" s="324"/>
      <c r="U42" s="74"/>
      <c r="V42" s="74"/>
      <c r="W42" s="729"/>
      <c r="X42" s="729"/>
      <c r="Y42" s="729"/>
      <c r="Z42" s="730"/>
      <c r="AB42" s="832">
        <v>0</v>
      </c>
      <c r="AC42" s="833"/>
      <c r="AD42" s="834"/>
      <c r="AF42" s="832">
        <f t="shared" si="0"/>
        <v>0</v>
      </c>
      <c r="AG42" s="833"/>
      <c r="AH42" s="834"/>
      <c r="AK42" s="325"/>
    </row>
    <row r="43" spans="3:37" s="51" customFormat="1" ht="16" customHeight="1" x14ac:dyDescent="0.15">
      <c r="C43" s="865">
        <f t="shared" si="1"/>
        <v>233</v>
      </c>
      <c r="D43" s="419"/>
      <c r="E43" s="330"/>
      <c r="F43" s="330"/>
      <c r="G43" s="330"/>
      <c r="H43" s="330"/>
      <c r="I43" s="330"/>
      <c r="J43" s="330"/>
      <c r="K43" s="330"/>
      <c r="L43" s="330"/>
      <c r="M43" s="330"/>
      <c r="N43" s="58"/>
      <c r="O43" s="58"/>
      <c r="P43" s="59"/>
      <c r="Q43" s="58"/>
      <c r="R43" s="58"/>
      <c r="S43" s="67"/>
      <c r="T43" s="324"/>
      <c r="U43" s="74"/>
      <c r="V43" s="74"/>
      <c r="W43" s="729"/>
      <c r="X43" s="729"/>
      <c r="Y43" s="729"/>
      <c r="Z43" s="730"/>
      <c r="AB43" s="832">
        <v>0</v>
      </c>
      <c r="AC43" s="833"/>
      <c r="AD43" s="834"/>
      <c r="AF43" s="832">
        <f t="shared" si="0"/>
        <v>0</v>
      </c>
      <c r="AG43" s="833"/>
      <c r="AH43" s="834"/>
      <c r="AK43" s="325"/>
    </row>
    <row r="44" spans="3:37" s="51" customFormat="1" ht="16" customHeight="1" x14ac:dyDescent="0.15">
      <c r="C44" s="865">
        <f t="shared" si="1"/>
        <v>234</v>
      </c>
      <c r="D44" s="419"/>
      <c r="E44" s="330"/>
      <c r="F44" s="330"/>
      <c r="G44" s="330"/>
      <c r="H44" s="330"/>
      <c r="I44" s="330"/>
      <c r="J44" s="330"/>
      <c r="K44" s="330"/>
      <c r="L44" s="330"/>
      <c r="M44" s="330"/>
      <c r="N44" s="58"/>
      <c r="O44" s="58"/>
      <c r="P44" s="59"/>
      <c r="Q44" s="58"/>
      <c r="R44" s="58"/>
      <c r="S44" s="67"/>
      <c r="T44" s="324"/>
      <c r="U44" s="74"/>
      <c r="V44" s="74"/>
      <c r="W44" s="729"/>
      <c r="X44" s="729"/>
      <c r="Y44" s="729"/>
      <c r="Z44" s="730"/>
      <c r="AB44" s="832">
        <v>0</v>
      </c>
      <c r="AC44" s="833"/>
      <c r="AD44" s="834"/>
      <c r="AF44" s="832">
        <f t="shared" si="0"/>
        <v>0</v>
      </c>
      <c r="AG44" s="833"/>
      <c r="AH44" s="834"/>
      <c r="AK44" s="325"/>
    </row>
    <row r="45" spans="3:37" s="51" customFormat="1" ht="16" customHeight="1" x14ac:dyDescent="0.15">
      <c r="C45" s="865">
        <f t="shared" si="1"/>
        <v>235</v>
      </c>
      <c r="D45" s="419"/>
      <c r="E45" s="330"/>
      <c r="F45" s="330"/>
      <c r="G45" s="330"/>
      <c r="H45" s="330"/>
      <c r="I45" s="330"/>
      <c r="J45" s="330"/>
      <c r="K45" s="330"/>
      <c r="L45" s="330"/>
      <c r="M45" s="330"/>
      <c r="N45" s="58"/>
      <c r="O45" s="58"/>
      <c r="P45" s="59"/>
      <c r="Q45" s="58"/>
      <c r="R45" s="58"/>
      <c r="S45" s="67"/>
      <c r="T45" s="324"/>
      <c r="U45" s="74"/>
      <c r="V45" s="74"/>
      <c r="W45" s="729"/>
      <c r="X45" s="729"/>
      <c r="Y45" s="729"/>
      <c r="Z45" s="730"/>
      <c r="AB45" s="832">
        <v>0</v>
      </c>
      <c r="AC45" s="833"/>
      <c r="AD45" s="834"/>
      <c r="AF45" s="832">
        <f t="shared" si="0"/>
        <v>0</v>
      </c>
      <c r="AG45" s="833"/>
      <c r="AH45" s="834"/>
      <c r="AK45" s="325"/>
    </row>
    <row r="46" spans="3:37" s="51" customFormat="1" ht="16" customHeight="1" x14ac:dyDescent="0.15">
      <c r="C46" s="865">
        <f t="shared" si="1"/>
        <v>236</v>
      </c>
      <c r="D46" s="419"/>
      <c r="E46" s="330"/>
      <c r="F46" s="330"/>
      <c r="G46" s="330"/>
      <c r="H46" s="330"/>
      <c r="I46" s="330"/>
      <c r="J46" s="330"/>
      <c r="K46" s="330"/>
      <c r="L46" s="330"/>
      <c r="M46" s="330"/>
      <c r="N46" s="58"/>
      <c r="O46" s="58"/>
      <c r="P46" s="59"/>
      <c r="Q46" s="58"/>
      <c r="R46" s="58"/>
      <c r="S46" s="67"/>
      <c r="T46" s="324"/>
      <c r="U46" s="74"/>
      <c r="V46" s="74"/>
      <c r="W46" s="729"/>
      <c r="X46" s="729"/>
      <c r="Y46" s="729"/>
      <c r="Z46" s="730"/>
      <c r="AB46" s="832">
        <v>0</v>
      </c>
      <c r="AC46" s="833"/>
      <c r="AD46" s="834"/>
      <c r="AF46" s="832">
        <f t="shared" si="0"/>
        <v>0</v>
      </c>
      <c r="AG46" s="833"/>
      <c r="AH46" s="834"/>
      <c r="AK46" s="325"/>
    </row>
    <row r="47" spans="3:37" s="51" customFormat="1" ht="16" customHeight="1" x14ac:dyDescent="0.15">
      <c r="C47" s="865">
        <f t="shared" si="1"/>
        <v>237</v>
      </c>
      <c r="D47" s="419"/>
      <c r="E47" s="330"/>
      <c r="F47" s="330"/>
      <c r="G47" s="330"/>
      <c r="H47" s="330"/>
      <c r="I47" s="330"/>
      <c r="J47" s="330"/>
      <c r="K47" s="330"/>
      <c r="L47" s="330"/>
      <c r="M47" s="330"/>
      <c r="N47" s="58"/>
      <c r="O47" s="58"/>
      <c r="P47" s="59"/>
      <c r="Q47" s="58"/>
      <c r="R47" s="58"/>
      <c r="S47" s="67"/>
      <c r="T47" s="324"/>
      <c r="U47" s="74"/>
      <c r="V47" s="74"/>
      <c r="W47" s="729"/>
      <c r="X47" s="729"/>
      <c r="Y47" s="729"/>
      <c r="Z47" s="730"/>
      <c r="AB47" s="832">
        <v>0</v>
      </c>
      <c r="AC47" s="833"/>
      <c r="AD47" s="834"/>
      <c r="AF47" s="832">
        <f t="shared" si="0"/>
        <v>0</v>
      </c>
      <c r="AG47" s="833"/>
      <c r="AH47" s="834"/>
      <c r="AK47" s="325"/>
    </row>
    <row r="48" spans="3:37" s="51" customFormat="1" ht="16" customHeight="1" x14ac:dyDescent="0.15">
      <c r="C48" s="865">
        <f t="shared" si="1"/>
        <v>238</v>
      </c>
      <c r="D48" s="419"/>
      <c r="E48" s="330"/>
      <c r="F48" s="330"/>
      <c r="G48" s="330"/>
      <c r="H48" s="330"/>
      <c r="I48" s="330"/>
      <c r="J48" s="330"/>
      <c r="K48" s="330"/>
      <c r="L48" s="330"/>
      <c r="M48" s="330"/>
      <c r="N48" s="58"/>
      <c r="O48" s="58"/>
      <c r="P48" s="59"/>
      <c r="Q48" s="58"/>
      <c r="R48" s="58"/>
      <c r="S48" s="67"/>
      <c r="T48" s="324"/>
      <c r="U48" s="74"/>
      <c r="V48" s="74"/>
      <c r="W48" s="729"/>
      <c r="X48" s="729"/>
      <c r="Y48" s="729"/>
      <c r="Z48" s="730"/>
      <c r="AB48" s="832">
        <v>0</v>
      </c>
      <c r="AC48" s="833"/>
      <c r="AD48" s="834"/>
      <c r="AF48" s="832">
        <f t="shared" si="0"/>
        <v>0</v>
      </c>
      <c r="AG48" s="833"/>
      <c r="AH48" s="834"/>
      <c r="AK48" s="325"/>
    </row>
    <row r="49" spans="3:38" s="51" customFormat="1" ht="16" customHeight="1" x14ac:dyDescent="0.15">
      <c r="C49" s="865">
        <f t="shared" si="1"/>
        <v>239</v>
      </c>
      <c r="D49" s="419"/>
      <c r="E49" s="330"/>
      <c r="F49" s="330"/>
      <c r="G49" s="330"/>
      <c r="H49" s="330"/>
      <c r="I49" s="330"/>
      <c r="J49" s="330"/>
      <c r="K49" s="330"/>
      <c r="L49" s="330"/>
      <c r="M49" s="330"/>
      <c r="N49" s="58"/>
      <c r="O49" s="58"/>
      <c r="P49" s="59"/>
      <c r="Q49" s="58"/>
      <c r="R49" s="58"/>
      <c r="S49" s="67"/>
      <c r="T49" s="324"/>
      <c r="U49" s="74"/>
      <c r="V49" s="74"/>
      <c r="W49" s="729"/>
      <c r="X49" s="729"/>
      <c r="Y49" s="729"/>
      <c r="Z49" s="730"/>
      <c r="AB49" s="832">
        <v>0</v>
      </c>
      <c r="AC49" s="833"/>
      <c r="AD49" s="834"/>
      <c r="AF49" s="832">
        <f t="shared" si="0"/>
        <v>0</v>
      </c>
      <c r="AG49" s="833"/>
      <c r="AH49" s="834"/>
      <c r="AK49" s="325"/>
    </row>
    <row r="50" spans="3:38" s="51" customFormat="1" ht="16" customHeight="1" x14ac:dyDescent="0.15">
      <c r="C50" s="865">
        <f t="shared" si="1"/>
        <v>240</v>
      </c>
      <c r="D50" s="419"/>
      <c r="E50" s="330"/>
      <c r="F50" s="330"/>
      <c r="G50" s="330"/>
      <c r="H50" s="330"/>
      <c r="I50" s="330"/>
      <c r="J50" s="330"/>
      <c r="K50" s="330"/>
      <c r="L50" s="330"/>
      <c r="M50" s="330"/>
      <c r="N50" s="58"/>
      <c r="O50" s="58"/>
      <c r="P50" s="59"/>
      <c r="Q50" s="58"/>
      <c r="R50" s="58"/>
      <c r="S50" s="67"/>
      <c r="T50" s="324"/>
      <c r="U50" s="74"/>
      <c r="V50" s="74"/>
      <c r="W50" s="729"/>
      <c r="X50" s="729"/>
      <c r="Y50" s="729"/>
      <c r="Z50" s="730"/>
      <c r="AB50" s="832">
        <v>0</v>
      </c>
      <c r="AC50" s="833"/>
      <c r="AD50" s="834"/>
      <c r="AF50" s="832">
        <f t="shared" si="0"/>
        <v>0</v>
      </c>
      <c r="AG50" s="833"/>
      <c r="AH50" s="834"/>
      <c r="AK50" s="325"/>
    </row>
    <row r="51" spans="3:38" s="51" customFormat="1" ht="16" customHeight="1" x14ac:dyDescent="0.15">
      <c r="C51" s="865">
        <f t="shared" si="1"/>
        <v>241</v>
      </c>
      <c r="D51" s="419"/>
      <c r="E51" s="330"/>
      <c r="F51" s="330"/>
      <c r="G51" s="330"/>
      <c r="H51" s="330"/>
      <c r="I51" s="330"/>
      <c r="J51" s="330"/>
      <c r="K51" s="330"/>
      <c r="L51" s="330"/>
      <c r="M51" s="330"/>
      <c r="N51" s="58"/>
      <c r="O51" s="58"/>
      <c r="P51" s="59"/>
      <c r="Q51" s="58"/>
      <c r="R51" s="58"/>
      <c r="S51" s="67"/>
      <c r="T51" s="324"/>
      <c r="U51" s="74"/>
      <c r="V51" s="74"/>
      <c r="W51" s="729"/>
      <c r="X51" s="729"/>
      <c r="Y51" s="729"/>
      <c r="Z51" s="730"/>
      <c r="AB51" s="832">
        <v>0</v>
      </c>
      <c r="AC51" s="833"/>
      <c r="AD51" s="834"/>
      <c r="AF51" s="832">
        <f t="shared" si="0"/>
        <v>0</v>
      </c>
      <c r="AG51" s="833"/>
      <c r="AH51" s="834"/>
      <c r="AK51" s="325"/>
    </row>
    <row r="52" spans="3:38" s="51" customFormat="1" ht="16" customHeight="1" x14ac:dyDescent="0.15">
      <c r="C52" s="865">
        <f t="shared" si="1"/>
        <v>242</v>
      </c>
      <c r="D52" s="419"/>
      <c r="E52" s="330"/>
      <c r="F52" s="330"/>
      <c r="G52" s="330"/>
      <c r="H52" s="330"/>
      <c r="I52" s="330"/>
      <c r="J52" s="330"/>
      <c r="K52" s="330"/>
      <c r="L52" s="330"/>
      <c r="M52" s="330"/>
      <c r="N52" s="58"/>
      <c r="O52" s="58"/>
      <c r="P52" s="59"/>
      <c r="Q52" s="58"/>
      <c r="R52" s="58"/>
      <c r="S52" s="67"/>
      <c r="T52" s="324"/>
      <c r="U52" s="74"/>
      <c r="V52" s="74"/>
      <c r="W52" s="729"/>
      <c r="X52" s="729"/>
      <c r="Y52" s="729"/>
      <c r="Z52" s="730"/>
      <c r="AB52" s="832">
        <v>0</v>
      </c>
      <c r="AC52" s="833"/>
      <c r="AD52" s="834"/>
      <c r="AF52" s="832">
        <f t="shared" si="0"/>
        <v>0</v>
      </c>
      <c r="AG52" s="833"/>
      <c r="AH52" s="834"/>
      <c r="AK52" s="325"/>
    </row>
    <row r="53" spans="3:38" s="51" customFormat="1" ht="16" customHeight="1" x14ac:dyDescent="0.15">
      <c r="C53" s="865">
        <f t="shared" si="1"/>
        <v>243</v>
      </c>
      <c r="D53" s="419"/>
      <c r="E53" s="331"/>
      <c r="F53" s="331"/>
      <c r="G53" s="331"/>
      <c r="H53" s="331"/>
      <c r="I53" s="331"/>
      <c r="J53" s="331"/>
      <c r="K53" s="331"/>
      <c r="L53" s="331"/>
      <c r="M53" s="331"/>
      <c r="N53" s="326"/>
      <c r="O53" s="58"/>
      <c r="P53" s="49"/>
      <c r="Q53" s="326"/>
      <c r="R53" s="326"/>
      <c r="S53" s="50"/>
      <c r="T53" s="327"/>
      <c r="U53" s="89"/>
      <c r="V53" s="89"/>
      <c r="W53" s="729"/>
      <c r="X53" s="729"/>
      <c r="Y53" s="729"/>
      <c r="Z53" s="730"/>
      <c r="AB53" s="832">
        <v>0</v>
      </c>
      <c r="AC53" s="833"/>
      <c r="AD53" s="834"/>
      <c r="AF53" s="832">
        <f t="shared" si="0"/>
        <v>0</v>
      </c>
      <c r="AG53" s="833"/>
      <c r="AH53" s="834"/>
    </row>
    <row r="54" spans="3:38" s="51" customFormat="1" ht="16" customHeight="1" x14ac:dyDescent="0.15">
      <c r="C54" s="865">
        <f t="shared" si="1"/>
        <v>244</v>
      </c>
      <c r="D54" s="419"/>
      <c r="E54" s="332"/>
      <c r="F54" s="332"/>
      <c r="G54" s="332"/>
      <c r="H54" s="332"/>
      <c r="I54" s="332"/>
      <c r="J54" s="332"/>
      <c r="K54" s="332"/>
      <c r="L54" s="332"/>
      <c r="M54" s="332"/>
      <c r="N54" s="326"/>
      <c r="O54" s="58"/>
      <c r="P54" s="49"/>
      <c r="Q54" s="326"/>
      <c r="R54" s="326"/>
      <c r="S54" s="50"/>
      <c r="T54" s="327"/>
      <c r="U54" s="89"/>
      <c r="V54" s="89"/>
      <c r="W54" s="729"/>
      <c r="X54" s="729"/>
      <c r="Y54" s="729"/>
      <c r="Z54" s="730"/>
      <c r="AB54" s="832">
        <v>0</v>
      </c>
      <c r="AC54" s="833"/>
      <c r="AD54" s="834"/>
      <c r="AF54" s="832">
        <f t="shared" si="0"/>
        <v>0</v>
      </c>
      <c r="AG54" s="833"/>
      <c r="AH54" s="834"/>
    </row>
    <row r="55" spans="3:38" s="51" customFormat="1" ht="16" customHeight="1" x14ac:dyDescent="0.15">
      <c r="C55" s="865">
        <f t="shared" si="1"/>
        <v>245</v>
      </c>
      <c r="D55" s="419"/>
      <c r="E55" s="332"/>
      <c r="F55" s="332"/>
      <c r="G55" s="332"/>
      <c r="H55" s="332"/>
      <c r="I55" s="332"/>
      <c r="J55" s="332"/>
      <c r="K55" s="332"/>
      <c r="L55" s="332"/>
      <c r="M55" s="332"/>
      <c r="N55" s="326"/>
      <c r="O55" s="58"/>
      <c r="P55" s="49"/>
      <c r="Q55" s="326"/>
      <c r="R55" s="326"/>
      <c r="S55" s="50"/>
      <c r="T55" s="327"/>
      <c r="U55" s="89"/>
      <c r="V55" s="89"/>
      <c r="W55" s="729"/>
      <c r="X55" s="729"/>
      <c r="Y55" s="729"/>
      <c r="Z55" s="730"/>
      <c r="AB55" s="832">
        <v>0</v>
      </c>
      <c r="AC55" s="833"/>
      <c r="AD55" s="834"/>
      <c r="AF55" s="832">
        <f t="shared" si="0"/>
        <v>0</v>
      </c>
      <c r="AG55" s="833"/>
      <c r="AH55" s="834"/>
      <c r="AK55" s="291"/>
    </row>
    <row r="56" spans="3:38" s="51" customFormat="1" ht="16" customHeight="1" x14ac:dyDescent="0.15">
      <c r="C56" s="865">
        <f t="shared" si="1"/>
        <v>246</v>
      </c>
      <c r="D56" s="419"/>
      <c r="E56" s="332"/>
      <c r="F56" s="332"/>
      <c r="G56" s="332"/>
      <c r="H56" s="332"/>
      <c r="I56" s="332"/>
      <c r="J56" s="332"/>
      <c r="K56" s="332"/>
      <c r="L56" s="332"/>
      <c r="M56" s="332"/>
      <c r="N56" s="326"/>
      <c r="O56" s="58"/>
      <c r="P56" s="49"/>
      <c r="Q56" s="326"/>
      <c r="R56" s="326"/>
      <c r="S56" s="50"/>
      <c r="T56" s="327"/>
      <c r="U56" s="89"/>
      <c r="V56" s="89"/>
      <c r="W56" s="729"/>
      <c r="X56" s="729"/>
      <c r="Y56" s="729"/>
      <c r="Z56" s="730"/>
      <c r="AB56" s="832">
        <v>0</v>
      </c>
      <c r="AC56" s="833"/>
      <c r="AD56" s="834"/>
      <c r="AF56" s="832">
        <f t="shared" si="0"/>
        <v>0</v>
      </c>
      <c r="AG56" s="833"/>
      <c r="AH56" s="834"/>
      <c r="AK56" s="291"/>
    </row>
    <row r="57" spans="3:38" s="51" customFormat="1" ht="16" customHeight="1" x14ac:dyDescent="0.15">
      <c r="C57" s="865">
        <f t="shared" si="1"/>
        <v>247</v>
      </c>
      <c r="D57" s="419"/>
      <c r="E57" s="332"/>
      <c r="F57" s="332"/>
      <c r="G57" s="332"/>
      <c r="H57" s="332"/>
      <c r="I57" s="332"/>
      <c r="J57" s="332"/>
      <c r="K57" s="332"/>
      <c r="L57" s="332"/>
      <c r="M57" s="332"/>
      <c r="N57" s="326"/>
      <c r="O57" s="58"/>
      <c r="P57" s="49"/>
      <c r="Q57" s="326"/>
      <c r="R57" s="326"/>
      <c r="S57" s="50"/>
      <c r="T57" s="327"/>
      <c r="U57" s="89"/>
      <c r="V57" s="89"/>
      <c r="W57" s="729"/>
      <c r="X57" s="729"/>
      <c r="Y57" s="729"/>
      <c r="Z57" s="730"/>
      <c r="AB57" s="832">
        <v>0</v>
      </c>
      <c r="AC57" s="833"/>
      <c r="AD57" s="834"/>
      <c r="AF57" s="832">
        <f t="shared" si="0"/>
        <v>0</v>
      </c>
      <c r="AG57" s="833"/>
      <c r="AH57" s="834"/>
      <c r="AK57" s="291"/>
    </row>
    <row r="58" spans="3:38" s="51" customFormat="1" ht="16" customHeight="1" x14ac:dyDescent="0.15">
      <c r="C58" s="865">
        <f t="shared" si="1"/>
        <v>248</v>
      </c>
      <c r="D58" s="419"/>
      <c r="E58" s="332"/>
      <c r="F58" s="332"/>
      <c r="G58" s="332"/>
      <c r="H58" s="332"/>
      <c r="I58" s="332"/>
      <c r="J58" s="332"/>
      <c r="K58" s="332"/>
      <c r="L58" s="332"/>
      <c r="M58" s="332"/>
      <c r="N58" s="326"/>
      <c r="O58" s="58"/>
      <c r="P58" s="49"/>
      <c r="Q58" s="326"/>
      <c r="R58" s="326"/>
      <c r="S58" s="50"/>
      <c r="T58" s="327"/>
      <c r="U58" s="89"/>
      <c r="V58" s="89"/>
      <c r="W58" s="729"/>
      <c r="X58" s="729"/>
      <c r="Y58" s="729"/>
      <c r="Z58" s="730"/>
      <c r="AB58" s="832">
        <v>0</v>
      </c>
      <c r="AC58" s="833"/>
      <c r="AD58" s="834"/>
      <c r="AF58" s="832">
        <f t="shared" si="0"/>
        <v>0</v>
      </c>
      <c r="AG58" s="833"/>
      <c r="AH58" s="834"/>
      <c r="AK58" s="291"/>
    </row>
    <row r="59" spans="3:38" s="51" customFormat="1" ht="16" customHeight="1" x14ac:dyDescent="0.15">
      <c r="C59" s="865">
        <f t="shared" si="1"/>
        <v>249</v>
      </c>
      <c r="D59" s="419"/>
      <c r="E59" s="332"/>
      <c r="F59" s="332"/>
      <c r="G59" s="332"/>
      <c r="H59" s="332"/>
      <c r="I59" s="332"/>
      <c r="J59" s="332"/>
      <c r="K59" s="332"/>
      <c r="L59" s="332"/>
      <c r="M59" s="332"/>
      <c r="N59" s="326"/>
      <c r="O59" s="58"/>
      <c r="P59" s="49"/>
      <c r="Q59" s="326"/>
      <c r="R59" s="326"/>
      <c r="S59" s="50"/>
      <c r="T59" s="327"/>
      <c r="U59" s="89"/>
      <c r="V59" s="89"/>
      <c r="W59" s="729"/>
      <c r="X59" s="729"/>
      <c r="Y59" s="729"/>
      <c r="Z59" s="730"/>
      <c r="AB59" s="832">
        <v>0</v>
      </c>
      <c r="AC59" s="833"/>
      <c r="AD59" s="834"/>
      <c r="AF59" s="832">
        <f t="shared" si="0"/>
        <v>0</v>
      </c>
      <c r="AG59" s="833"/>
      <c r="AH59" s="834"/>
      <c r="AK59" s="291"/>
      <c r="AL59" s="328"/>
    </row>
    <row r="60" spans="3:38" s="51" customFormat="1" ht="16" customHeight="1" x14ac:dyDescent="0.15">
      <c r="C60" s="865">
        <f t="shared" si="1"/>
        <v>250</v>
      </c>
      <c r="D60" s="419"/>
      <c r="E60" s="330"/>
      <c r="F60" s="330"/>
      <c r="G60" s="330"/>
      <c r="H60" s="330"/>
      <c r="I60" s="330"/>
      <c r="J60" s="330"/>
      <c r="K60" s="330"/>
      <c r="L60" s="330"/>
      <c r="M60" s="330"/>
      <c r="N60" s="58"/>
      <c r="O60" s="58"/>
      <c r="P60" s="59"/>
      <c r="Q60" s="58"/>
      <c r="R60" s="58"/>
      <c r="S60" s="67"/>
      <c r="T60" s="324"/>
      <c r="U60" s="88"/>
      <c r="V60" s="88"/>
      <c r="W60" s="729"/>
      <c r="X60" s="729"/>
      <c r="Y60" s="729"/>
      <c r="Z60" s="730"/>
      <c r="AB60" s="832">
        <v>0</v>
      </c>
      <c r="AC60" s="833"/>
      <c r="AD60" s="834"/>
      <c r="AF60" s="832">
        <f t="shared" si="0"/>
        <v>0</v>
      </c>
      <c r="AG60" s="833"/>
      <c r="AH60" s="834"/>
      <c r="AK60" s="325"/>
    </row>
    <row r="61" spans="3:38" s="51" customFormat="1" ht="16" customHeight="1" x14ac:dyDescent="0.15">
      <c r="C61" s="865">
        <f t="shared" si="1"/>
        <v>251</v>
      </c>
      <c r="D61" s="419"/>
      <c r="E61" s="330"/>
      <c r="F61" s="330"/>
      <c r="G61" s="330"/>
      <c r="H61" s="330"/>
      <c r="I61" s="330"/>
      <c r="J61" s="330"/>
      <c r="K61" s="330"/>
      <c r="L61" s="330"/>
      <c r="M61" s="330"/>
      <c r="N61" s="58"/>
      <c r="O61" s="58"/>
      <c r="P61" s="59"/>
      <c r="Q61" s="58"/>
      <c r="R61" s="58"/>
      <c r="S61" s="67"/>
      <c r="T61" s="324"/>
      <c r="U61" s="88"/>
      <c r="V61" s="88"/>
      <c r="W61" s="729"/>
      <c r="X61" s="729"/>
      <c r="Y61" s="729"/>
      <c r="Z61" s="730"/>
      <c r="AB61" s="832">
        <v>0</v>
      </c>
      <c r="AC61" s="833"/>
      <c r="AD61" s="834"/>
      <c r="AF61" s="832">
        <f t="shared" si="0"/>
        <v>0</v>
      </c>
      <c r="AG61" s="833"/>
      <c r="AH61" s="834"/>
      <c r="AK61" s="325"/>
    </row>
    <row r="62" spans="3:38" s="51" customFormat="1" ht="16" customHeight="1" x14ac:dyDescent="0.15">
      <c r="C62" s="865">
        <f t="shared" si="1"/>
        <v>252</v>
      </c>
      <c r="D62" s="419"/>
      <c r="E62" s="330"/>
      <c r="F62" s="330"/>
      <c r="G62" s="330"/>
      <c r="H62" s="330"/>
      <c r="I62" s="330"/>
      <c r="J62" s="330"/>
      <c r="K62" s="330"/>
      <c r="L62" s="330"/>
      <c r="M62" s="330"/>
      <c r="N62" s="58"/>
      <c r="O62" s="58"/>
      <c r="P62" s="59"/>
      <c r="Q62" s="58"/>
      <c r="R62" s="58"/>
      <c r="S62" s="67"/>
      <c r="T62" s="324"/>
      <c r="U62" s="88"/>
      <c r="V62" s="88"/>
      <c r="W62" s="729"/>
      <c r="X62" s="729"/>
      <c r="Y62" s="729"/>
      <c r="Z62" s="730"/>
      <c r="AB62" s="832">
        <v>0</v>
      </c>
      <c r="AC62" s="833"/>
      <c r="AD62" s="834"/>
      <c r="AF62" s="832">
        <f t="shared" si="0"/>
        <v>0</v>
      </c>
      <c r="AG62" s="833"/>
      <c r="AH62" s="834"/>
      <c r="AK62" s="325"/>
    </row>
    <row r="63" spans="3:38" s="51" customFormat="1" ht="16" customHeight="1" x14ac:dyDescent="0.15">
      <c r="C63" s="865">
        <f t="shared" si="1"/>
        <v>253</v>
      </c>
      <c r="D63" s="419"/>
      <c r="E63" s="330"/>
      <c r="F63" s="330"/>
      <c r="G63" s="330"/>
      <c r="H63" s="330"/>
      <c r="I63" s="330"/>
      <c r="J63" s="330"/>
      <c r="K63" s="330"/>
      <c r="L63" s="330"/>
      <c r="M63" s="330"/>
      <c r="N63" s="58"/>
      <c r="O63" s="58"/>
      <c r="P63" s="59"/>
      <c r="Q63" s="58"/>
      <c r="R63" s="58"/>
      <c r="S63" s="67"/>
      <c r="T63" s="324"/>
      <c r="U63" s="88"/>
      <c r="V63" s="88"/>
      <c r="W63" s="729"/>
      <c r="X63" s="729"/>
      <c r="Y63" s="729"/>
      <c r="Z63" s="730"/>
      <c r="AB63" s="832">
        <v>0</v>
      </c>
      <c r="AC63" s="833"/>
      <c r="AD63" s="834"/>
      <c r="AF63" s="832">
        <f t="shared" si="0"/>
        <v>0</v>
      </c>
      <c r="AG63" s="833"/>
      <c r="AH63" s="834"/>
      <c r="AK63" s="325"/>
    </row>
    <row r="64" spans="3:38" s="51" customFormat="1" ht="16" customHeight="1" x14ac:dyDescent="0.15">
      <c r="C64" s="865">
        <f t="shared" si="1"/>
        <v>254</v>
      </c>
      <c r="D64" s="419"/>
      <c r="E64" s="330"/>
      <c r="F64" s="330"/>
      <c r="G64" s="330"/>
      <c r="H64" s="330"/>
      <c r="I64" s="330"/>
      <c r="J64" s="330"/>
      <c r="K64" s="330"/>
      <c r="L64" s="330"/>
      <c r="M64" s="330"/>
      <c r="N64" s="58"/>
      <c r="O64" s="58"/>
      <c r="P64" s="59"/>
      <c r="Q64" s="58"/>
      <c r="R64" s="58"/>
      <c r="S64" s="67"/>
      <c r="T64" s="324"/>
      <c r="U64" s="88"/>
      <c r="V64" s="88"/>
      <c r="W64" s="729"/>
      <c r="X64" s="729"/>
      <c r="Y64" s="729"/>
      <c r="Z64" s="730"/>
      <c r="AB64" s="832">
        <v>0</v>
      </c>
      <c r="AC64" s="833"/>
      <c r="AD64" s="834"/>
      <c r="AF64" s="832">
        <f t="shared" si="0"/>
        <v>0</v>
      </c>
      <c r="AG64" s="833"/>
      <c r="AH64" s="834"/>
      <c r="AK64" s="291"/>
    </row>
    <row r="65" spans="3:49" s="51" customFormat="1" ht="16" customHeight="1" x14ac:dyDescent="0.15">
      <c r="C65" s="865">
        <f t="shared" si="1"/>
        <v>255</v>
      </c>
      <c r="D65" s="419"/>
      <c r="E65" s="330"/>
      <c r="F65" s="330"/>
      <c r="G65" s="330"/>
      <c r="H65" s="330"/>
      <c r="I65" s="330"/>
      <c r="J65" s="330"/>
      <c r="K65" s="330"/>
      <c r="L65" s="330"/>
      <c r="M65" s="330"/>
      <c r="N65" s="58"/>
      <c r="O65" s="58"/>
      <c r="P65" s="59"/>
      <c r="Q65" s="58"/>
      <c r="R65" s="58"/>
      <c r="S65" s="67"/>
      <c r="T65" s="324"/>
      <c r="U65" s="88"/>
      <c r="V65" s="88"/>
      <c r="W65" s="729"/>
      <c r="X65" s="729"/>
      <c r="Y65" s="729"/>
      <c r="Z65" s="730"/>
      <c r="AB65" s="832">
        <v>0</v>
      </c>
      <c r="AC65" s="833"/>
      <c r="AD65" s="834"/>
      <c r="AF65" s="832">
        <f t="shared" si="0"/>
        <v>0</v>
      </c>
      <c r="AG65" s="833"/>
      <c r="AH65" s="834"/>
      <c r="AK65" s="291"/>
    </row>
    <row r="66" spans="3:49" s="51" customFormat="1" ht="16" customHeight="1" x14ac:dyDescent="0.15">
      <c r="C66" s="865">
        <f t="shared" si="1"/>
        <v>256</v>
      </c>
      <c r="D66" s="419"/>
      <c r="E66" s="330"/>
      <c r="F66" s="330"/>
      <c r="G66" s="330"/>
      <c r="H66" s="330"/>
      <c r="I66" s="330"/>
      <c r="J66" s="330"/>
      <c r="K66" s="330"/>
      <c r="L66" s="330"/>
      <c r="M66" s="330"/>
      <c r="N66" s="58"/>
      <c r="O66" s="58"/>
      <c r="P66" s="59"/>
      <c r="Q66" s="58"/>
      <c r="R66" s="58"/>
      <c r="S66" s="67"/>
      <c r="T66" s="324"/>
      <c r="U66" s="88"/>
      <c r="V66" s="88"/>
      <c r="W66" s="729"/>
      <c r="X66" s="729"/>
      <c r="Y66" s="729"/>
      <c r="Z66" s="730"/>
      <c r="AB66" s="832">
        <v>0</v>
      </c>
      <c r="AC66" s="833"/>
      <c r="AD66" s="834"/>
      <c r="AF66" s="832">
        <f t="shared" si="0"/>
        <v>0</v>
      </c>
      <c r="AG66" s="833"/>
      <c r="AH66" s="834"/>
      <c r="AK66" s="291"/>
    </row>
    <row r="67" spans="3:49" s="51" customFormat="1" ht="16" customHeight="1" x14ac:dyDescent="0.15">
      <c r="C67" s="865">
        <f t="shared" si="1"/>
        <v>257</v>
      </c>
      <c r="D67" s="419"/>
      <c r="E67" s="330"/>
      <c r="F67" s="330"/>
      <c r="G67" s="330"/>
      <c r="H67" s="330"/>
      <c r="I67" s="330"/>
      <c r="J67" s="330"/>
      <c r="K67" s="330"/>
      <c r="L67" s="330"/>
      <c r="M67" s="330"/>
      <c r="N67" s="58"/>
      <c r="O67" s="58"/>
      <c r="P67" s="59"/>
      <c r="Q67" s="58"/>
      <c r="R67" s="58"/>
      <c r="S67" s="67"/>
      <c r="T67" s="324"/>
      <c r="U67" s="88"/>
      <c r="V67" s="88"/>
      <c r="W67" s="729"/>
      <c r="X67" s="729"/>
      <c r="Y67" s="729"/>
      <c r="Z67" s="730"/>
      <c r="AB67" s="832">
        <v>0</v>
      </c>
      <c r="AC67" s="833"/>
      <c r="AD67" s="834"/>
      <c r="AF67" s="832">
        <f t="shared" si="0"/>
        <v>0</v>
      </c>
      <c r="AG67" s="833"/>
      <c r="AH67" s="834"/>
    </row>
    <row r="68" spans="3:49" s="51" customFormat="1" ht="16" customHeight="1" x14ac:dyDescent="0.15">
      <c r="C68" s="865">
        <f t="shared" si="1"/>
        <v>258</v>
      </c>
      <c r="D68" s="419"/>
      <c r="E68" s="330"/>
      <c r="F68" s="330"/>
      <c r="G68" s="330"/>
      <c r="H68" s="330"/>
      <c r="I68" s="330"/>
      <c r="J68" s="330"/>
      <c r="K68" s="330"/>
      <c r="L68" s="330"/>
      <c r="M68" s="330"/>
      <c r="N68" s="58"/>
      <c r="O68" s="58"/>
      <c r="P68" s="59"/>
      <c r="Q68" s="58"/>
      <c r="R68" s="58"/>
      <c r="S68" s="67"/>
      <c r="T68" s="324"/>
      <c r="U68" s="88"/>
      <c r="V68" s="88"/>
      <c r="W68" s="729"/>
      <c r="X68" s="729"/>
      <c r="Y68" s="729"/>
      <c r="Z68" s="730"/>
      <c r="AB68" s="832">
        <v>0</v>
      </c>
      <c r="AC68" s="833"/>
      <c r="AD68" s="834"/>
      <c r="AF68" s="832">
        <f t="shared" si="0"/>
        <v>0</v>
      </c>
      <c r="AG68" s="833"/>
      <c r="AH68" s="834"/>
      <c r="AK68" s="291"/>
    </row>
    <row r="69" spans="3:49" s="51" customFormat="1" ht="16" customHeight="1" x14ac:dyDescent="0.15">
      <c r="C69" s="865">
        <f t="shared" si="1"/>
        <v>259</v>
      </c>
      <c r="D69" s="419"/>
      <c r="E69" s="330"/>
      <c r="F69" s="330"/>
      <c r="G69" s="330"/>
      <c r="H69" s="330"/>
      <c r="I69" s="330"/>
      <c r="J69" s="330"/>
      <c r="K69" s="330"/>
      <c r="L69" s="330"/>
      <c r="M69" s="330"/>
      <c r="N69" s="58"/>
      <c r="O69" s="58"/>
      <c r="P69" s="59"/>
      <c r="Q69" s="58"/>
      <c r="R69" s="58"/>
      <c r="S69" s="67"/>
      <c r="T69" s="324"/>
      <c r="U69" s="88"/>
      <c r="V69" s="88"/>
      <c r="W69" s="882"/>
      <c r="X69" s="882"/>
      <c r="Y69" s="882"/>
      <c r="Z69" s="883"/>
      <c r="AB69" s="832">
        <v>0</v>
      </c>
      <c r="AC69" s="833"/>
      <c r="AD69" s="834"/>
      <c r="AF69" s="832">
        <f t="shared" si="0"/>
        <v>0</v>
      </c>
      <c r="AG69" s="833"/>
      <c r="AH69" s="834"/>
      <c r="AK69" s="291"/>
    </row>
    <row r="70" spans="3:49" s="322" customFormat="1" ht="16" customHeight="1" x14ac:dyDescent="0.2">
      <c r="E70" s="391"/>
      <c r="F70" s="391"/>
      <c r="G70" s="391"/>
      <c r="H70" s="391"/>
      <c r="I70" s="391"/>
      <c r="J70" s="391"/>
      <c r="K70" s="391"/>
      <c r="L70" s="391"/>
      <c r="M70" s="391"/>
      <c r="N70" s="392"/>
      <c r="O70" s="824" t="str">
        <f>"Sub Total "&amp;D8</f>
        <v>Sub Total Breakout Blank</v>
      </c>
      <c r="P70" s="824"/>
      <c r="Q70" s="824"/>
      <c r="R70" s="824"/>
      <c r="S70" s="824"/>
      <c r="T70" s="824"/>
      <c r="U70" s="824"/>
      <c r="V70" s="825"/>
      <c r="W70" s="859">
        <f>SUM(W10:Z69)</f>
        <v>0</v>
      </c>
      <c r="X70" s="860"/>
      <c r="Y70" s="860"/>
      <c r="Z70" s="861"/>
      <c r="AB70" s="862">
        <f>SUM(AB10:AD69)</f>
        <v>0</v>
      </c>
      <c r="AC70" s="863"/>
      <c r="AD70" s="864"/>
      <c r="AF70" s="838">
        <f t="shared" si="0"/>
        <v>0</v>
      </c>
      <c r="AG70" s="839"/>
      <c r="AH70" s="840"/>
      <c r="AK70" s="329"/>
    </row>
    <row r="71" spans="3:49" s="322" customFormat="1" ht="16" customHeight="1" x14ac:dyDescent="0.2">
      <c r="E71" s="391"/>
      <c r="F71" s="391"/>
      <c r="G71" s="391"/>
      <c r="H71" s="391"/>
      <c r="I71" s="391"/>
      <c r="J71" s="391"/>
      <c r="K71" s="391"/>
      <c r="L71" s="391"/>
      <c r="M71" s="391"/>
      <c r="N71" s="392"/>
      <c r="O71" s="826" t="str">
        <f>"Handling "&amp;D8</f>
        <v>Handling Breakout Blank</v>
      </c>
      <c r="P71" s="826"/>
      <c r="Q71" s="826"/>
      <c r="R71" s="826"/>
      <c r="S71" s="826"/>
      <c r="T71" s="826"/>
      <c r="U71" s="826"/>
      <c r="V71" s="827"/>
      <c r="W71" s="859">
        <f>W70*AR71</f>
        <v>0</v>
      </c>
      <c r="X71" s="860"/>
      <c r="Y71" s="860"/>
      <c r="Z71" s="861"/>
      <c r="AB71" s="862">
        <f>W71</f>
        <v>0</v>
      </c>
      <c r="AC71" s="863"/>
      <c r="AD71" s="864"/>
      <c r="AF71" s="838">
        <f t="shared" si="0"/>
        <v>0</v>
      </c>
      <c r="AG71" s="839"/>
      <c r="AH71" s="840"/>
      <c r="AJ71" s="854" t="str">
        <f>"Handling  "&amp;D8</f>
        <v>Handling  Breakout Blank</v>
      </c>
      <c r="AK71" s="855"/>
      <c r="AL71" s="855"/>
      <c r="AM71" s="855"/>
      <c r="AN71" s="855"/>
      <c r="AO71" s="855"/>
      <c r="AP71" s="855"/>
      <c r="AQ71" s="856"/>
      <c r="AR71" s="857">
        <v>0</v>
      </c>
      <c r="AS71" s="858"/>
    </row>
    <row r="72" spans="3:49" s="322" customFormat="1" ht="16" customHeight="1" x14ac:dyDescent="0.2">
      <c r="O72" s="656" t="str">
        <f>"Total "&amp;D8</f>
        <v>Total Breakout Blank</v>
      </c>
      <c r="P72" s="656"/>
      <c r="Q72" s="656"/>
      <c r="R72" s="656"/>
      <c r="S72" s="656"/>
      <c r="T72" s="656"/>
      <c r="U72" s="656"/>
      <c r="V72" s="657"/>
      <c r="W72" s="841">
        <f>SUM(W70:Z71)</f>
        <v>0</v>
      </c>
      <c r="X72" s="842"/>
      <c r="Y72" s="842"/>
      <c r="Z72" s="843"/>
      <c r="AB72" s="835">
        <f>SUM(AB70:AD71)</f>
        <v>0</v>
      </c>
      <c r="AC72" s="836"/>
      <c r="AD72" s="837"/>
      <c r="AF72" s="838">
        <f t="shared" si="0"/>
        <v>0</v>
      </c>
      <c r="AG72" s="839"/>
      <c r="AH72" s="840"/>
    </row>
    <row r="73" spans="3:49" customFormat="1" ht="16" customHeight="1" x14ac:dyDescent="0.2">
      <c r="U73" s="45"/>
      <c r="V73" s="45"/>
      <c r="AK73" s="36"/>
      <c r="AT73" s="7"/>
      <c r="AU73" s="7"/>
      <c r="AV73" s="7"/>
      <c r="AW73" s="7"/>
    </row>
    <row r="74" spans="3:49" customFormat="1" ht="16.25" customHeight="1" x14ac:dyDescent="0.2">
      <c r="U74" s="44"/>
      <c r="V74" s="44"/>
      <c r="W74" s="7"/>
      <c r="X74" s="7"/>
      <c r="Y74" s="7"/>
      <c r="Z74" s="7"/>
      <c r="AA74" s="7"/>
      <c r="AB74" s="7"/>
      <c r="AF74" s="7"/>
      <c r="AK74" s="36"/>
      <c r="AT74" s="7"/>
      <c r="AU74" s="7"/>
      <c r="AV74" s="7"/>
      <c r="AW74" s="7"/>
    </row>
    <row r="75" spans="3:49" customFormat="1" ht="16.25" customHeight="1" x14ac:dyDescent="0.2">
      <c r="U75" s="44"/>
      <c r="V75" s="44"/>
      <c r="W75" s="7"/>
      <c r="X75" s="7"/>
      <c r="Y75" s="7"/>
      <c r="Z75" s="7"/>
      <c r="AA75" s="7"/>
      <c r="AB75" s="7"/>
      <c r="AF75" s="7"/>
      <c r="AK75" s="36"/>
      <c r="AV75" s="7"/>
      <c r="AW75" s="7"/>
    </row>
    <row r="76" spans="3:49" customFormat="1" ht="16.25" customHeight="1" x14ac:dyDescent="0.2">
      <c r="U76" s="44"/>
      <c r="V76" s="44"/>
      <c r="W76" s="7"/>
      <c r="X76" s="7"/>
      <c r="Y76" s="7"/>
      <c r="Z76" s="7"/>
      <c r="AA76" s="7"/>
      <c r="AB76" s="7"/>
      <c r="AF76" s="7"/>
      <c r="AK76" s="36"/>
    </row>
    <row r="77" spans="3:49" customFormat="1" ht="16.25" customHeight="1" x14ac:dyDescent="0.2">
      <c r="U77" s="44"/>
      <c r="V77" s="44"/>
      <c r="W77" s="7"/>
      <c r="X77" s="7"/>
      <c r="Y77" s="7"/>
      <c r="Z77" s="7"/>
      <c r="AA77" s="7"/>
      <c r="AB77" s="7"/>
      <c r="AF77" s="7"/>
      <c r="AK77" s="36"/>
    </row>
    <row r="78" spans="3:49" customFormat="1" ht="16.25" customHeight="1" x14ac:dyDescent="0.2">
      <c r="U78" s="44"/>
      <c r="V78" s="44"/>
      <c r="W78" s="7"/>
      <c r="X78" s="7"/>
      <c r="Y78" s="7"/>
      <c r="Z78" s="7"/>
      <c r="AA78" s="7"/>
      <c r="AB78" s="7"/>
      <c r="AF78" s="7"/>
      <c r="AK78" s="36"/>
    </row>
    <row r="79" spans="3:49" customFormat="1" ht="16.25" customHeight="1" x14ac:dyDescent="0.2">
      <c r="U79" s="45"/>
      <c r="V79" s="45"/>
      <c r="AK79" s="36"/>
    </row>
    <row r="80" spans="3:49" customFormat="1" ht="16.25" customHeight="1" x14ac:dyDescent="0.2">
      <c r="U80" s="45"/>
      <c r="V80" s="45"/>
      <c r="AK80" s="36"/>
    </row>
    <row r="81" spans="21:37" customFormat="1" ht="16.25" customHeight="1" x14ac:dyDescent="0.2">
      <c r="U81" s="45"/>
      <c r="V81" s="45"/>
      <c r="AK81" s="36"/>
    </row>
    <row r="82" spans="21:37" customFormat="1" ht="16.25" customHeight="1" x14ac:dyDescent="0.2">
      <c r="U82" s="45"/>
      <c r="V82" s="45"/>
      <c r="AK82" s="36"/>
    </row>
    <row r="83" spans="21:37" customFormat="1" ht="16.25" customHeight="1" x14ac:dyDescent="0.2">
      <c r="U83" s="45"/>
      <c r="V83" s="45"/>
      <c r="AK83" s="36"/>
    </row>
    <row r="84" spans="21:37" customFormat="1" ht="16.25" customHeight="1" x14ac:dyDescent="0.2">
      <c r="U84" s="45"/>
      <c r="V84" s="45"/>
      <c r="AK84" s="36"/>
    </row>
    <row r="85" spans="21:37" customFormat="1" ht="16.25" customHeight="1" x14ac:dyDescent="0.2">
      <c r="U85" s="45"/>
      <c r="V85" s="45"/>
      <c r="AK85" s="36"/>
    </row>
    <row r="86" spans="21:37" customFormat="1" ht="16.25" customHeight="1" x14ac:dyDescent="0.2">
      <c r="U86" s="45"/>
      <c r="V86" s="45"/>
      <c r="AK86" s="36"/>
    </row>
    <row r="87" spans="21:37" customFormat="1" ht="16.25" customHeight="1" x14ac:dyDescent="0.2">
      <c r="U87" s="45"/>
      <c r="V87" s="45"/>
      <c r="AK87" s="36"/>
    </row>
    <row r="88" spans="21:37" customFormat="1" ht="16" x14ac:dyDescent="0.2">
      <c r="U88" s="45"/>
      <c r="V88" s="45"/>
      <c r="AK88" s="36"/>
    </row>
    <row r="89" spans="21:37" customFormat="1" ht="16" x14ac:dyDescent="0.2">
      <c r="U89" s="45"/>
      <c r="V89" s="45"/>
      <c r="AK89" s="36"/>
    </row>
    <row r="90" spans="21:37" customFormat="1" ht="16" x14ac:dyDescent="0.2">
      <c r="U90" s="45"/>
      <c r="V90" s="45"/>
      <c r="AK90" s="36"/>
    </row>
    <row r="91" spans="21:37" customFormat="1" ht="16" x14ac:dyDescent="0.2">
      <c r="U91" s="45"/>
      <c r="V91" s="45"/>
      <c r="AK91" s="36"/>
    </row>
    <row r="92" spans="21:37" customFormat="1" ht="16" x14ac:dyDescent="0.2">
      <c r="U92" s="45"/>
      <c r="V92" s="45"/>
      <c r="AK92" s="36"/>
    </row>
    <row r="93" spans="21:37" customFormat="1" ht="16" x14ac:dyDescent="0.2">
      <c r="U93" s="45"/>
      <c r="V93" s="45"/>
      <c r="AK93" s="36"/>
    </row>
    <row r="94" spans="21:37" customFormat="1" ht="16" x14ac:dyDescent="0.2">
      <c r="U94" s="45"/>
      <c r="V94" s="45"/>
      <c r="AK94" s="36"/>
    </row>
    <row r="95" spans="21:37" customFormat="1" ht="16" x14ac:dyDescent="0.2">
      <c r="U95" s="45"/>
      <c r="V95" s="45"/>
      <c r="AK95" s="36"/>
    </row>
    <row r="96" spans="21:37" customFormat="1" ht="16" x14ac:dyDescent="0.2">
      <c r="U96" s="45"/>
      <c r="V96" s="45"/>
      <c r="AK96" s="36"/>
    </row>
    <row r="97" spans="21:37" customFormat="1" ht="16" x14ac:dyDescent="0.2">
      <c r="U97" s="45"/>
      <c r="V97" s="45"/>
      <c r="AK97" s="36"/>
    </row>
    <row r="98" spans="21:37" customFormat="1" ht="16" x14ac:dyDescent="0.2">
      <c r="U98" s="45"/>
      <c r="V98" s="45"/>
      <c r="AK98" s="36"/>
    </row>
    <row r="99" spans="21:37" customFormat="1" ht="16" x14ac:dyDescent="0.2">
      <c r="U99" s="45"/>
      <c r="V99" s="45"/>
      <c r="AK99" s="36"/>
    </row>
  </sheetData>
  <sheetProtection selectLockedCells="1"/>
  <mergeCells count="260">
    <mergeCell ref="W8:Z8"/>
    <mergeCell ref="AB8:AD8"/>
    <mergeCell ref="AF8:AH8"/>
    <mergeCell ref="W9:Z9"/>
    <mergeCell ref="AB9:AD9"/>
    <mergeCell ref="AF9:AH9"/>
    <mergeCell ref="C12:D12"/>
    <mergeCell ref="W12:Z12"/>
    <mergeCell ref="AB12:AD12"/>
    <mergeCell ref="AF12:AH12"/>
    <mergeCell ref="C13:D13"/>
    <mergeCell ref="W13:Z13"/>
    <mergeCell ref="AB13:AD13"/>
    <mergeCell ref="AF13:AH13"/>
    <mergeCell ref="C10:D10"/>
    <mergeCell ref="W10:Z10"/>
    <mergeCell ref="AB10:AD10"/>
    <mergeCell ref="AF10:AH10"/>
    <mergeCell ref="C11:D11"/>
    <mergeCell ref="W11:Z11"/>
    <mergeCell ref="AB11:AD11"/>
    <mergeCell ref="AF11:AH11"/>
    <mergeCell ref="C16:D16"/>
    <mergeCell ref="W16:Z16"/>
    <mergeCell ref="AB16:AD16"/>
    <mergeCell ref="AF16:AH16"/>
    <mergeCell ref="C17:D17"/>
    <mergeCell ref="W17:Z17"/>
    <mergeCell ref="AB17:AD17"/>
    <mergeCell ref="AF17:AH17"/>
    <mergeCell ref="C14:D14"/>
    <mergeCell ref="W14:Z14"/>
    <mergeCell ref="AB14:AD14"/>
    <mergeCell ref="AF14:AH14"/>
    <mergeCell ref="C15:D15"/>
    <mergeCell ref="W15:Z15"/>
    <mergeCell ref="AB15:AD15"/>
    <mergeCell ref="AF15:AH15"/>
    <mergeCell ref="C20:D20"/>
    <mergeCell ref="W20:Z20"/>
    <mergeCell ref="AB20:AD20"/>
    <mergeCell ref="AF20:AH20"/>
    <mergeCell ref="C21:D21"/>
    <mergeCell ref="W21:Z21"/>
    <mergeCell ref="AB21:AD21"/>
    <mergeCell ref="AF21:AH21"/>
    <mergeCell ref="C18:D18"/>
    <mergeCell ref="W18:Z18"/>
    <mergeCell ref="AB18:AD18"/>
    <mergeCell ref="AF18:AH18"/>
    <mergeCell ref="C19:D19"/>
    <mergeCell ref="W19:Z19"/>
    <mergeCell ref="AB19:AD19"/>
    <mergeCell ref="AF19:AH19"/>
    <mergeCell ref="C24:D24"/>
    <mergeCell ref="W24:Z24"/>
    <mergeCell ref="AB24:AD24"/>
    <mergeCell ref="AF24:AH24"/>
    <mergeCell ref="C25:D25"/>
    <mergeCell ref="W25:Z25"/>
    <mergeCell ref="AB25:AD25"/>
    <mergeCell ref="AF25:AH25"/>
    <mergeCell ref="C22:D22"/>
    <mergeCell ref="W22:Z22"/>
    <mergeCell ref="AB22:AD22"/>
    <mergeCell ref="AF22:AH22"/>
    <mergeCell ref="C23:D23"/>
    <mergeCell ref="W23:Z23"/>
    <mergeCell ref="AB23:AD23"/>
    <mergeCell ref="AF23:AH23"/>
    <mergeCell ref="C28:D28"/>
    <mergeCell ref="W28:Z28"/>
    <mergeCell ref="AB28:AD28"/>
    <mergeCell ref="AF28:AH28"/>
    <mergeCell ref="C29:D29"/>
    <mergeCell ref="W29:Z29"/>
    <mergeCell ref="AB29:AD29"/>
    <mergeCell ref="AF29:AH29"/>
    <mergeCell ref="C26:D26"/>
    <mergeCell ref="W26:Z26"/>
    <mergeCell ref="AB26:AD26"/>
    <mergeCell ref="AF26:AH26"/>
    <mergeCell ref="C27:D27"/>
    <mergeCell ref="W27:Z27"/>
    <mergeCell ref="AB27:AD27"/>
    <mergeCell ref="AF27:AH27"/>
    <mergeCell ref="C32:D32"/>
    <mergeCell ref="W32:Z32"/>
    <mergeCell ref="AB32:AD32"/>
    <mergeCell ref="AF32:AH32"/>
    <mergeCell ref="C33:D33"/>
    <mergeCell ref="W33:Z33"/>
    <mergeCell ref="AB33:AD33"/>
    <mergeCell ref="AF33:AH33"/>
    <mergeCell ref="C30:D30"/>
    <mergeCell ref="W30:Z30"/>
    <mergeCell ref="AB30:AD30"/>
    <mergeCell ref="AF30:AH30"/>
    <mergeCell ref="C31:D31"/>
    <mergeCell ref="W31:Z31"/>
    <mergeCell ref="AB31:AD31"/>
    <mergeCell ref="AF31:AH31"/>
    <mergeCell ref="C36:D36"/>
    <mergeCell ref="W36:Z36"/>
    <mergeCell ref="AB36:AD36"/>
    <mergeCell ref="AF36:AH36"/>
    <mergeCell ref="C37:D37"/>
    <mergeCell ref="W37:Z37"/>
    <mergeCell ref="AB37:AD37"/>
    <mergeCell ref="AF37:AH37"/>
    <mergeCell ref="C34:D34"/>
    <mergeCell ref="W34:Z34"/>
    <mergeCell ref="AB34:AD34"/>
    <mergeCell ref="AF34:AH34"/>
    <mergeCell ref="C35:D35"/>
    <mergeCell ref="W35:Z35"/>
    <mergeCell ref="AB35:AD35"/>
    <mergeCell ref="AF35:AH35"/>
    <mergeCell ref="C40:D40"/>
    <mergeCell ref="W40:Z40"/>
    <mergeCell ref="AB40:AD40"/>
    <mergeCell ref="AF40:AH40"/>
    <mergeCell ref="C41:D41"/>
    <mergeCell ref="W41:Z41"/>
    <mergeCell ref="AB41:AD41"/>
    <mergeCell ref="AF41:AH41"/>
    <mergeCell ref="C38:D38"/>
    <mergeCell ref="W38:Z38"/>
    <mergeCell ref="AB38:AD38"/>
    <mergeCell ref="AF38:AH38"/>
    <mergeCell ref="C39:D39"/>
    <mergeCell ref="W39:Z39"/>
    <mergeCell ref="AB39:AD39"/>
    <mergeCell ref="AF39:AH39"/>
    <mergeCell ref="C44:D44"/>
    <mergeCell ref="W44:Z44"/>
    <mergeCell ref="AB44:AD44"/>
    <mergeCell ref="AF44:AH44"/>
    <mergeCell ref="C45:D45"/>
    <mergeCell ref="W45:Z45"/>
    <mergeCell ref="AB45:AD45"/>
    <mergeCell ref="AF45:AH45"/>
    <mergeCell ref="C42:D42"/>
    <mergeCell ref="W42:Z42"/>
    <mergeCell ref="AB42:AD42"/>
    <mergeCell ref="AF42:AH42"/>
    <mergeCell ref="C43:D43"/>
    <mergeCell ref="W43:Z43"/>
    <mergeCell ref="AB43:AD43"/>
    <mergeCell ref="AF43:AH43"/>
    <mergeCell ref="C48:D48"/>
    <mergeCell ref="W48:Z48"/>
    <mergeCell ref="AB48:AD48"/>
    <mergeCell ref="AF48:AH48"/>
    <mergeCell ref="C49:D49"/>
    <mergeCell ref="W49:Z49"/>
    <mergeCell ref="AB49:AD49"/>
    <mergeCell ref="AF49:AH49"/>
    <mergeCell ref="C46:D46"/>
    <mergeCell ref="W46:Z46"/>
    <mergeCell ref="AB46:AD46"/>
    <mergeCell ref="AF46:AH46"/>
    <mergeCell ref="C47:D47"/>
    <mergeCell ref="W47:Z47"/>
    <mergeCell ref="AB47:AD47"/>
    <mergeCell ref="AF47:AH47"/>
    <mergeCell ref="C52:D52"/>
    <mergeCell ref="W52:Z52"/>
    <mergeCell ref="AB52:AD52"/>
    <mergeCell ref="AF52:AH52"/>
    <mergeCell ref="C53:D53"/>
    <mergeCell ref="W53:Z53"/>
    <mergeCell ref="AB53:AD53"/>
    <mergeCell ref="AF53:AH53"/>
    <mergeCell ref="C50:D50"/>
    <mergeCell ref="W50:Z50"/>
    <mergeCell ref="AB50:AD50"/>
    <mergeCell ref="AF50:AH50"/>
    <mergeCell ref="C51:D51"/>
    <mergeCell ref="W51:Z51"/>
    <mergeCell ref="AB51:AD51"/>
    <mergeCell ref="AF51:AH51"/>
    <mergeCell ref="C56:D56"/>
    <mergeCell ref="W56:Z56"/>
    <mergeCell ref="AB56:AD56"/>
    <mergeCell ref="AF56:AH56"/>
    <mergeCell ref="C57:D57"/>
    <mergeCell ref="W57:Z57"/>
    <mergeCell ref="AB57:AD57"/>
    <mergeCell ref="AF57:AH57"/>
    <mergeCell ref="C54:D54"/>
    <mergeCell ref="W54:Z54"/>
    <mergeCell ref="AB54:AD54"/>
    <mergeCell ref="AF54:AH54"/>
    <mergeCell ref="C55:D55"/>
    <mergeCell ref="W55:Z55"/>
    <mergeCell ref="AB55:AD55"/>
    <mergeCell ref="AF55:AH55"/>
    <mergeCell ref="C60:D60"/>
    <mergeCell ref="W60:Z60"/>
    <mergeCell ref="AB60:AD60"/>
    <mergeCell ref="AF60:AH60"/>
    <mergeCell ref="C61:D61"/>
    <mergeCell ref="W61:Z61"/>
    <mergeCell ref="AB61:AD61"/>
    <mergeCell ref="AF61:AH61"/>
    <mergeCell ref="C58:D58"/>
    <mergeCell ref="W58:Z58"/>
    <mergeCell ref="AB58:AD58"/>
    <mergeCell ref="AF58:AH58"/>
    <mergeCell ref="C59:D59"/>
    <mergeCell ref="W59:Z59"/>
    <mergeCell ref="AB59:AD59"/>
    <mergeCell ref="AF59:AH59"/>
    <mergeCell ref="C64:D64"/>
    <mergeCell ref="W64:Z64"/>
    <mergeCell ref="AB64:AD64"/>
    <mergeCell ref="AF64:AH64"/>
    <mergeCell ref="C65:D65"/>
    <mergeCell ref="W65:Z65"/>
    <mergeCell ref="AB65:AD65"/>
    <mergeCell ref="AF65:AH65"/>
    <mergeCell ref="C62:D62"/>
    <mergeCell ref="W62:Z62"/>
    <mergeCell ref="AB62:AD62"/>
    <mergeCell ref="AF62:AH62"/>
    <mergeCell ref="C63:D63"/>
    <mergeCell ref="W63:Z63"/>
    <mergeCell ref="AB63:AD63"/>
    <mergeCell ref="AF63:AH63"/>
    <mergeCell ref="C68:D68"/>
    <mergeCell ref="W68:Z68"/>
    <mergeCell ref="AB68:AD68"/>
    <mergeCell ref="AF68:AH68"/>
    <mergeCell ref="C69:D69"/>
    <mergeCell ref="W69:Z69"/>
    <mergeCell ref="AB69:AD69"/>
    <mergeCell ref="AF69:AH69"/>
    <mergeCell ref="C66:D66"/>
    <mergeCell ref="W66:Z66"/>
    <mergeCell ref="AB66:AD66"/>
    <mergeCell ref="AF66:AH66"/>
    <mergeCell ref="C67:D67"/>
    <mergeCell ref="W67:Z67"/>
    <mergeCell ref="AB67:AD67"/>
    <mergeCell ref="AF67:AH67"/>
    <mergeCell ref="AJ71:AQ71"/>
    <mergeCell ref="AR71:AS71"/>
    <mergeCell ref="O72:V72"/>
    <mergeCell ref="W72:Z72"/>
    <mergeCell ref="AB72:AD72"/>
    <mergeCell ref="AF72:AH72"/>
    <mergeCell ref="O70:V70"/>
    <mergeCell ref="W70:Z70"/>
    <mergeCell ref="AB70:AD70"/>
    <mergeCell ref="AF70:AH70"/>
    <mergeCell ref="O71:V71"/>
    <mergeCell ref="W71:Z71"/>
    <mergeCell ref="AB71:AD71"/>
    <mergeCell ref="AF71:AH71"/>
  </mergeCells>
  <pageMargins left="0.7" right="0.7" top="0.75" bottom="0.75" header="0.3" footer="0.3"/>
  <pageSetup scale="69" orientation="portrait" r:id="rId1"/>
  <legacyDrawingHF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pageSetUpPr fitToPage="1"/>
  </sheetPr>
  <dimension ref="C3:BD63"/>
  <sheetViews>
    <sheetView topLeftCell="A56" zoomScale="110" zoomScaleNormal="110" zoomScaleSheetLayoutView="110" workbookViewId="0">
      <selection activeCell="AG75" sqref="AG75"/>
    </sheetView>
  </sheetViews>
  <sheetFormatPr baseColWidth="10" defaultColWidth="11" defaultRowHeight="16" x14ac:dyDescent="0.2"/>
  <cols>
    <col min="1" max="17" width="4.6640625" customWidth="1"/>
    <col min="18" max="19" width="4.6640625" style="37" customWidth="1"/>
    <col min="20" max="20" width="4.6640625" customWidth="1"/>
    <col min="21" max="21" width="4.6640625" style="70" customWidth="1"/>
    <col min="22" max="22" width="4.6640625" style="45" customWidth="1"/>
    <col min="23" max="23" width="4.6640625" customWidth="1"/>
    <col min="24" max="24" width="4.6640625" style="20" customWidth="1"/>
    <col min="25" max="49" width="4.6640625" customWidth="1"/>
    <col min="50" max="52" width="4.6640625" style="38" customWidth="1"/>
    <col min="53" max="91" width="4.6640625" customWidth="1"/>
  </cols>
  <sheetData>
    <row r="3" spans="3:52" ht="16.25" customHeight="1" x14ac:dyDescent="0.2">
      <c r="U3" s="37"/>
      <c r="V3"/>
      <c r="X3"/>
      <c r="AX3"/>
      <c r="AY3"/>
      <c r="AZ3"/>
    </row>
    <row r="4" spans="3:52" ht="16.25" customHeight="1" x14ac:dyDescent="0.2">
      <c r="U4" s="37"/>
      <c r="V4"/>
      <c r="X4"/>
    </row>
    <row r="5" spans="3:52" s="323" customFormat="1" ht="20" customHeight="1" x14ac:dyDescent="0.2">
      <c r="C5" s="4" t="s">
        <v>166</v>
      </c>
      <c r="D5" s="17" t="s">
        <v>151</v>
      </c>
      <c r="E5" s="5"/>
      <c r="F5" s="349"/>
      <c r="G5" s="349"/>
      <c r="H5" s="349"/>
      <c r="I5" s="349"/>
      <c r="J5" s="349"/>
      <c r="K5" s="349"/>
      <c r="L5" s="349"/>
      <c r="M5" s="349"/>
      <c r="N5" s="349"/>
      <c r="O5" s="349"/>
      <c r="P5" s="349"/>
      <c r="Q5" s="349"/>
      <c r="R5" s="373"/>
      <c r="S5" s="373"/>
      <c r="T5" s="349"/>
      <c r="U5" s="373"/>
      <c r="V5" s="349"/>
      <c r="W5" s="349"/>
      <c r="X5" s="349"/>
      <c r="Y5" s="349"/>
      <c r="Z5" s="349"/>
      <c r="AB5" s="374"/>
      <c r="AC5" s="911"/>
      <c r="AD5" s="911"/>
      <c r="AE5" s="911"/>
      <c r="AF5" s="911"/>
      <c r="AG5" s="911"/>
      <c r="AH5" s="911"/>
      <c r="AI5" s="911"/>
      <c r="AJ5" s="911"/>
      <c r="AK5" s="911"/>
      <c r="AL5" s="911"/>
      <c r="AM5" s="911"/>
      <c r="AN5" s="911"/>
      <c r="AO5" s="911"/>
      <c r="AP5" s="911"/>
      <c r="AQ5" s="911"/>
      <c r="AR5" s="911"/>
      <c r="AS5" s="911"/>
      <c r="AT5" s="911"/>
      <c r="AU5" s="911"/>
      <c r="AV5" s="911"/>
      <c r="AW5" s="911"/>
      <c r="AX5" s="911"/>
      <c r="AY5" s="358"/>
      <c r="AZ5" s="358"/>
    </row>
    <row r="6" spans="3:52" s="110" customFormat="1" ht="16.25" customHeight="1" x14ac:dyDescent="0.15">
      <c r="C6" s="128"/>
      <c r="D6" s="116"/>
      <c r="E6" s="116" t="s">
        <v>384</v>
      </c>
      <c r="F6" s="116"/>
      <c r="G6" s="116"/>
      <c r="H6" s="116"/>
      <c r="I6" s="116"/>
      <c r="J6" s="116"/>
      <c r="K6" s="116"/>
      <c r="L6" s="116"/>
      <c r="M6" s="116"/>
      <c r="N6" s="116"/>
      <c r="O6" s="910" t="s">
        <v>375</v>
      </c>
      <c r="P6" s="910"/>
      <c r="Q6" s="910"/>
      <c r="R6" s="887" t="s">
        <v>220</v>
      </c>
      <c r="S6" s="887"/>
      <c r="T6" s="117"/>
      <c r="U6" s="118" t="s">
        <v>400</v>
      </c>
      <c r="V6" s="119"/>
      <c r="W6" s="120"/>
      <c r="X6" s="885" t="s">
        <v>370</v>
      </c>
      <c r="Y6" s="885"/>
      <c r="Z6" s="886"/>
      <c r="AB6" s="884" t="s">
        <v>363</v>
      </c>
      <c r="AC6" s="885"/>
      <c r="AD6" s="886"/>
      <c r="AF6" s="884" t="s">
        <v>447</v>
      </c>
      <c r="AG6" s="885"/>
      <c r="AH6" s="886"/>
      <c r="AJ6" s="884" t="s">
        <v>300</v>
      </c>
      <c r="AK6" s="885"/>
      <c r="AL6" s="886"/>
      <c r="AM6" s="129" t="s">
        <v>290</v>
      </c>
      <c r="AN6" s="884" t="s">
        <v>293</v>
      </c>
      <c r="AO6" s="885"/>
      <c r="AP6" s="886"/>
      <c r="AR6" s="884" t="s">
        <v>301</v>
      </c>
      <c r="AS6" s="885"/>
      <c r="AT6" s="886"/>
      <c r="AU6" s="129" t="s">
        <v>291</v>
      </c>
      <c r="AV6" s="884" t="s">
        <v>294</v>
      </c>
      <c r="AW6" s="885"/>
      <c r="AX6" s="886"/>
      <c r="AY6" s="114"/>
      <c r="AZ6" s="114"/>
    </row>
    <row r="7" spans="3:52" s="51" customFormat="1" ht="18" customHeight="1" x14ac:dyDescent="0.15">
      <c r="C7" s="464">
        <v>2010</v>
      </c>
      <c r="D7" s="434"/>
      <c r="E7" s="604" t="s">
        <v>362</v>
      </c>
      <c r="F7" s="604"/>
      <c r="G7" s="604"/>
      <c r="H7" s="604"/>
      <c r="I7" s="604"/>
      <c r="J7" s="604"/>
      <c r="K7" s="604"/>
      <c r="L7" s="604"/>
      <c r="M7" s="604"/>
      <c r="N7" s="604"/>
      <c r="O7" s="333"/>
      <c r="P7" s="903" t="s">
        <v>448</v>
      </c>
      <c r="Q7" s="903"/>
      <c r="R7" s="334" t="s">
        <v>117</v>
      </c>
      <c r="S7" s="891"/>
      <c r="T7" s="891"/>
      <c r="U7" s="335" t="s">
        <v>143</v>
      </c>
      <c r="V7" s="336"/>
      <c r="W7" s="904">
        <f>O7*S7*(IF(ISNUMBER(V7),V7,IF(ISNUMBER(O7),1,0)))</f>
        <v>0</v>
      </c>
      <c r="X7" s="904"/>
      <c r="Y7" s="904"/>
      <c r="Z7" s="905"/>
      <c r="AB7" s="888">
        <v>0</v>
      </c>
      <c r="AC7" s="889"/>
      <c r="AD7" s="890"/>
      <c r="AF7" s="888">
        <f>AB7-W7</f>
        <v>0</v>
      </c>
      <c r="AG7" s="889"/>
      <c r="AH7" s="890"/>
      <c r="AJ7" s="755">
        <v>0</v>
      </c>
      <c r="AK7" s="906"/>
      <c r="AL7" s="756"/>
      <c r="AM7" s="415"/>
      <c r="AN7" s="894">
        <f t="shared" ref="AN7:AN38" si="0">IF(AM7="X",W7*Q_MU,0)</f>
        <v>0</v>
      </c>
      <c r="AO7" s="895"/>
      <c r="AP7" s="896"/>
      <c r="AR7" s="907">
        <v>0</v>
      </c>
      <c r="AS7" s="908"/>
      <c r="AT7" s="909"/>
      <c r="AU7" s="416"/>
      <c r="AV7" s="897">
        <f t="shared" ref="AV7:AV38" si="1">IF(AU7="X",W7*Q_TX,0)</f>
        <v>0</v>
      </c>
      <c r="AW7" s="898"/>
      <c r="AX7" s="899"/>
      <c r="AY7" s="337"/>
      <c r="AZ7" s="337"/>
    </row>
    <row r="8" spans="3:52" s="51" customFormat="1" ht="18" customHeight="1" x14ac:dyDescent="0.15">
      <c r="C8" s="464">
        <v>2020</v>
      </c>
      <c r="D8" s="434"/>
      <c r="E8" s="604" t="s">
        <v>449</v>
      </c>
      <c r="F8" s="604"/>
      <c r="G8" s="604"/>
      <c r="H8" s="604"/>
      <c r="I8" s="604"/>
      <c r="J8" s="604"/>
      <c r="K8" s="604"/>
      <c r="L8" s="604"/>
      <c r="M8" s="604"/>
      <c r="N8" s="604"/>
      <c r="O8" s="333"/>
      <c r="P8" s="903" t="s">
        <v>448</v>
      </c>
      <c r="Q8" s="903"/>
      <c r="R8" s="334" t="s">
        <v>117</v>
      </c>
      <c r="S8" s="891"/>
      <c r="T8" s="891"/>
      <c r="U8" s="335" t="s">
        <v>143</v>
      </c>
      <c r="V8" s="336"/>
      <c r="W8" s="904">
        <f t="shared" ref="W8:W56" si="2">O8*S8*(IF(ISNUMBER(V8),V8,IF(ISNUMBER(O8),1,0)))</f>
        <v>0</v>
      </c>
      <c r="X8" s="904"/>
      <c r="Y8" s="904"/>
      <c r="Z8" s="905"/>
      <c r="AB8" s="888">
        <v>0</v>
      </c>
      <c r="AC8" s="889"/>
      <c r="AD8" s="890"/>
      <c r="AF8" s="888">
        <f t="shared" ref="AF8:AF60" si="3">AB8-W8</f>
        <v>0</v>
      </c>
      <c r="AG8" s="889"/>
      <c r="AH8" s="890"/>
      <c r="AM8" s="415"/>
      <c r="AN8" s="894">
        <f t="shared" si="0"/>
        <v>0</v>
      </c>
      <c r="AO8" s="895"/>
      <c r="AP8" s="896"/>
      <c r="AU8" s="416"/>
      <c r="AV8" s="897">
        <f t="shared" si="1"/>
        <v>0</v>
      </c>
      <c r="AW8" s="898"/>
      <c r="AX8" s="899"/>
    </row>
    <row r="9" spans="3:52" s="51" customFormat="1" ht="18" customHeight="1" x14ac:dyDescent="0.15">
      <c r="C9" s="464">
        <v>2030</v>
      </c>
      <c r="D9" s="434"/>
      <c r="E9" s="604" t="s">
        <v>159</v>
      </c>
      <c r="F9" s="604"/>
      <c r="G9" s="604"/>
      <c r="H9" s="604"/>
      <c r="I9" s="604"/>
      <c r="J9" s="604"/>
      <c r="K9" s="604"/>
      <c r="L9" s="604"/>
      <c r="M9" s="604"/>
      <c r="N9" s="604"/>
      <c r="O9" s="333"/>
      <c r="P9" s="903" t="s">
        <v>448</v>
      </c>
      <c r="Q9" s="903"/>
      <c r="R9" s="334" t="s">
        <v>117</v>
      </c>
      <c r="S9" s="891"/>
      <c r="T9" s="891"/>
      <c r="U9" s="335" t="s">
        <v>143</v>
      </c>
      <c r="V9" s="336"/>
      <c r="W9" s="904">
        <f t="shared" si="2"/>
        <v>0</v>
      </c>
      <c r="X9" s="904"/>
      <c r="Y9" s="904"/>
      <c r="Z9" s="905"/>
      <c r="AB9" s="888">
        <v>0</v>
      </c>
      <c r="AC9" s="889"/>
      <c r="AD9" s="890"/>
      <c r="AF9" s="888">
        <f t="shared" si="3"/>
        <v>0</v>
      </c>
      <c r="AG9" s="889"/>
      <c r="AH9" s="890"/>
      <c r="AM9" s="415"/>
      <c r="AN9" s="894">
        <f t="shared" si="0"/>
        <v>0</v>
      </c>
      <c r="AO9" s="895"/>
      <c r="AP9" s="896"/>
      <c r="AU9" s="416"/>
      <c r="AV9" s="897">
        <f t="shared" si="1"/>
        <v>0</v>
      </c>
      <c r="AW9" s="898"/>
      <c r="AX9" s="899"/>
    </row>
    <row r="10" spans="3:52" s="51" customFormat="1" ht="18" customHeight="1" x14ac:dyDescent="0.15">
      <c r="C10" s="464">
        <v>2040</v>
      </c>
      <c r="D10" s="434"/>
      <c r="E10" s="604" t="s">
        <v>450</v>
      </c>
      <c r="F10" s="604"/>
      <c r="G10" s="604"/>
      <c r="H10" s="604"/>
      <c r="I10" s="604"/>
      <c r="J10" s="604"/>
      <c r="K10" s="604"/>
      <c r="L10" s="604"/>
      <c r="M10" s="604"/>
      <c r="N10" s="604"/>
      <c r="O10" s="333"/>
      <c r="P10" s="903" t="s">
        <v>448</v>
      </c>
      <c r="Q10" s="903"/>
      <c r="R10" s="334" t="s">
        <v>117</v>
      </c>
      <c r="S10" s="891"/>
      <c r="T10" s="891"/>
      <c r="U10" s="335" t="s">
        <v>143</v>
      </c>
      <c r="V10" s="336"/>
      <c r="W10" s="904">
        <f t="shared" si="2"/>
        <v>0</v>
      </c>
      <c r="X10" s="904"/>
      <c r="Y10" s="904"/>
      <c r="Z10" s="905"/>
      <c r="AB10" s="888">
        <v>0</v>
      </c>
      <c r="AC10" s="889"/>
      <c r="AD10" s="890"/>
      <c r="AF10" s="888">
        <f t="shared" si="3"/>
        <v>0</v>
      </c>
      <c r="AG10" s="889"/>
      <c r="AH10" s="890"/>
      <c r="AM10" s="415"/>
      <c r="AN10" s="894">
        <f t="shared" si="0"/>
        <v>0</v>
      </c>
      <c r="AO10" s="895"/>
      <c r="AP10" s="896"/>
      <c r="AU10" s="416"/>
      <c r="AV10" s="897">
        <f t="shared" si="1"/>
        <v>0</v>
      </c>
      <c r="AW10" s="898"/>
      <c r="AX10" s="899"/>
    </row>
    <row r="11" spans="3:52" s="51" customFormat="1" ht="18" customHeight="1" x14ac:dyDescent="0.15">
      <c r="C11" s="464">
        <v>2050</v>
      </c>
      <c r="D11" s="434"/>
      <c r="E11" s="604" t="s">
        <v>181</v>
      </c>
      <c r="F11" s="604"/>
      <c r="G11" s="604"/>
      <c r="H11" s="604"/>
      <c r="I11" s="604"/>
      <c r="J11" s="604"/>
      <c r="K11" s="604"/>
      <c r="L11" s="604"/>
      <c r="M11" s="604"/>
      <c r="N11" s="604"/>
      <c r="O11" s="333"/>
      <c r="P11" s="903" t="s">
        <v>451</v>
      </c>
      <c r="Q11" s="903"/>
      <c r="R11" s="334" t="s">
        <v>117</v>
      </c>
      <c r="S11" s="891"/>
      <c r="T11" s="891"/>
      <c r="U11" s="335" t="s">
        <v>143</v>
      </c>
      <c r="V11" s="336"/>
      <c r="W11" s="904">
        <f t="shared" si="2"/>
        <v>0</v>
      </c>
      <c r="X11" s="904"/>
      <c r="Y11" s="904"/>
      <c r="Z11" s="905"/>
      <c r="AB11" s="888">
        <v>0</v>
      </c>
      <c r="AC11" s="889"/>
      <c r="AD11" s="890"/>
      <c r="AF11" s="888">
        <f t="shared" si="3"/>
        <v>0</v>
      </c>
      <c r="AG11" s="889"/>
      <c r="AH11" s="890"/>
      <c r="AM11" s="415"/>
      <c r="AN11" s="894">
        <f t="shared" si="0"/>
        <v>0</v>
      </c>
      <c r="AO11" s="895"/>
      <c r="AP11" s="896"/>
      <c r="AU11" s="416"/>
      <c r="AV11" s="897">
        <f t="shared" si="1"/>
        <v>0</v>
      </c>
      <c r="AW11" s="898"/>
      <c r="AX11" s="899"/>
    </row>
    <row r="12" spans="3:52" s="51" customFormat="1" ht="18" customHeight="1" x14ac:dyDescent="0.15">
      <c r="C12" s="464">
        <v>2060</v>
      </c>
      <c r="D12" s="434"/>
      <c r="E12" s="604"/>
      <c r="F12" s="604"/>
      <c r="G12" s="604"/>
      <c r="H12" s="604"/>
      <c r="I12" s="604"/>
      <c r="J12" s="604"/>
      <c r="K12" s="604"/>
      <c r="L12" s="604"/>
      <c r="M12" s="604"/>
      <c r="N12" s="604"/>
      <c r="O12" s="333"/>
      <c r="P12" s="903"/>
      <c r="Q12" s="903"/>
      <c r="R12" s="334" t="s">
        <v>117</v>
      </c>
      <c r="S12" s="891"/>
      <c r="T12" s="891"/>
      <c r="U12" s="335" t="s">
        <v>143</v>
      </c>
      <c r="V12" s="336"/>
      <c r="W12" s="904">
        <f t="shared" si="2"/>
        <v>0</v>
      </c>
      <c r="X12" s="904"/>
      <c r="Y12" s="904"/>
      <c r="Z12" s="905"/>
      <c r="AB12" s="888">
        <v>0</v>
      </c>
      <c r="AC12" s="889"/>
      <c r="AD12" s="890"/>
      <c r="AF12" s="888">
        <f t="shared" si="3"/>
        <v>0</v>
      </c>
      <c r="AG12" s="889"/>
      <c r="AH12" s="890"/>
      <c r="AM12" s="415"/>
      <c r="AN12" s="894">
        <f t="shared" si="0"/>
        <v>0</v>
      </c>
      <c r="AO12" s="895"/>
      <c r="AP12" s="896"/>
      <c r="AU12" s="416"/>
      <c r="AV12" s="897">
        <f t="shared" si="1"/>
        <v>0</v>
      </c>
      <c r="AW12" s="898"/>
      <c r="AX12" s="899"/>
    </row>
    <row r="13" spans="3:52" s="51" customFormat="1" ht="18" customHeight="1" x14ac:dyDescent="0.15">
      <c r="C13" s="464">
        <v>2070</v>
      </c>
      <c r="D13" s="434"/>
      <c r="E13" s="604"/>
      <c r="F13" s="604"/>
      <c r="G13" s="604"/>
      <c r="H13" s="604"/>
      <c r="I13" s="604"/>
      <c r="J13" s="604"/>
      <c r="K13" s="604"/>
      <c r="L13" s="604"/>
      <c r="M13" s="604"/>
      <c r="N13" s="604"/>
      <c r="O13" s="333"/>
      <c r="P13" s="903"/>
      <c r="Q13" s="903"/>
      <c r="R13" s="334" t="s">
        <v>117</v>
      </c>
      <c r="S13" s="891"/>
      <c r="T13" s="891"/>
      <c r="U13" s="335" t="s">
        <v>143</v>
      </c>
      <c r="V13" s="336"/>
      <c r="W13" s="904">
        <f t="shared" si="2"/>
        <v>0</v>
      </c>
      <c r="X13" s="904"/>
      <c r="Y13" s="904"/>
      <c r="Z13" s="905"/>
      <c r="AB13" s="888">
        <v>0</v>
      </c>
      <c r="AC13" s="889"/>
      <c r="AD13" s="890"/>
      <c r="AF13" s="888">
        <f t="shared" si="3"/>
        <v>0</v>
      </c>
      <c r="AG13" s="889"/>
      <c r="AH13" s="890"/>
      <c r="AM13" s="415"/>
      <c r="AN13" s="894">
        <f t="shared" si="0"/>
        <v>0</v>
      </c>
      <c r="AO13" s="895"/>
      <c r="AP13" s="896"/>
      <c r="AU13" s="416"/>
      <c r="AV13" s="897">
        <f t="shared" si="1"/>
        <v>0</v>
      </c>
      <c r="AW13" s="898"/>
      <c r="AX13" s="899"/>
    </row>
    <row r="14" spans="3:52" s="51" customFormat="1" ht="18" customHeight="1" x14ac:dyDescent="0.15">
      <c r="C14" s="464">
        <v>2080</v>
      </c>
      <c r="D14" s="434"/>
      <c r="E14" s="604"/>
      <c r="F14" s="604"/>
      <c r="G14" s="604"/>
      <c r="H14" s="604"/>
      <c r="I14" s="604"/>
      <c r="J14" s="604"/>
      <c r="K14" s="604"/>
      <c r="L14" s="604"/>
      <c r="M14" s="604"/>
      <c r="N14" s="604"/>
      <c r="O14" s="333"/>
      <c r="P14" s="903"/>
      <c r="Q14" s="903"/>
      <c r="R14" s="334" t="s">
        <v>117</v>
      </c>
      <c r="S14" s="891"/>
      <c r="T14" s="891"/>
      <c r="U14" s="335" t="s">
        <v>143</v>
      </c>
      <c r="V14" s="336"/>
      <c r="W14" s="904">
        <f t="shared" si="2"/>
        <v>0</v>
      </c>
      <c r="X14" s="904"/>
      <c r="Y14" s="904"/>
      <c r="Z14" s="905"/>
      <c r="AB14" s="888">
        <v>0</v>
      </c>
      <c r="AC14" s="889"/>
      <c r="AD14" s="890"/>
      <c r="AF14" s="888">
        <f t="shared" si="3"/>
        <v>0</v>
      </c>
      <c r="AG14" s="889"/>
      <c r="AH14" s="890"/>
      <c r="AM14" s="415"/>
      <c r="AN14" s="894">
        <f t="shared" si="0"/>
        <v>0</v>
      </c>
      <c r="AO14" s="895"/>
      <c r="AP14" s="896"/>
      <c r="AU14" s="416"/>
      <c r="AV14" s="897">
        <f t="shared" si="1"/>
        <v>0</v>
      </c>
      <c r="AW14" s="898"/>
      <c r="AX14" s="899"/>
    </row>
    <row r="15" spans="3:52" s="51" customFormat="1" ht="18" customHeight="1" x14ac:dyDescent="0.15">
      <c r="C15" s="464">
        <v>2090</v>
      </c>
      <c r="D15" s="434"/>
      <c r="E15" s="604"/>
      <c r="F15" s="604"/>
      <c r="G15" s="604"/>
      <c r="H15" s="604"/>
      <c r="I15" s="604"/>
      <c r="J15" s="604"/>
      <c r="K15" s="604"/>
      <c r="L15" s="604"/>
      <c r="M15" s="604"/>
      <c r="N15" s="604"/>
      <c r="O15" s="333"/>
      <c r="P15" s="903"/>
      <c r="Q15" s="903"/>
      <c r="R15" s="334" t="s">
        <v>117</v>
      </c>
      <c r="S15" s="891"/>
      <c r="T15" s="891"/>
      <c r="U15" s="335" t="s">
        <v>143</v>
      </c>
      <c r="V15" s="336"/>
      <c r="W15" s="904">
        <f t="shared" si="2"/>
        <v>0</v>
      </c>
      <c r="X15" s="904"/>
      <c r="Y15" s="904"/>
      <c r="Z15" s="905"/>
      <c r="AB15" s="888">
        <v>0</v>
      </c>
      <c r="AC15" s="889"/>
      <c r="AD15" s="890"/>
      <c r="AF15" s="888">
        <f t="shared" si="3"/>
        <v>0</v>
      </c>
      <c r="AG15" s="889"/>
      <c r="AH15" s="890"/>
      <c r="AM15" s="415"/>
      <c r="AN15" s="894">
        <f t="shared" si="0"/>
        <v>0</v>
      </c>
      <c r="AO15" s="895"/>
      <c r="AP15" s="896"/>
      <c r="AU15" s="416"/>
      <c r="AV15" s="897">
        <f t="shared" si="1"/>
        <v>0</v>
      </c>
      <c r="AW15" s="898"/>
      <c r="AX15" s="899"/>
    </row>
    <row r="16" spans="3:52" s="51" customFormat="1" ht="18" customHeight="1" x14ac:dyDescent="0.15">
      <c r="C16" s="464">
        <v>2110</v>
      </c>
      <c r="D16" s="434"/>
      <c r="E16" s="604" t="s">
        <v>452</v>
      </c>
      <c r="F16" s="604"/>
      <c r="G16" s="604"/>
      <c r="H16" s="604"/>
      <c r="I16" s="604"/>
      <c r="J16" s="604"/>
      <c r="K16" s="604"/>
      <c r="L16" s="604"/>
      <c r="M16" s="604"/>
      <c r="N16" s="604"/>
      <c r="O16" s="333"/>
      <c r="P16" s="903" t="s">
        <v>116</v>
      </c>
      <c r="Q16" s="903"/>
      <c r="R16" s="334" t="s">
        <v>117</v>
      </c>
      <c r="S16" s="891"/>
      <c r="T16" s="891"/>
      <c r="U16" s="335" t="s">
        <v>143</v>
      </c>
      <c r="V16" s="336"/>
      <c r="W16" s="904">
        <f t="shared" si="2"/>
        <v>0</v>
      </c>
      <c r="X16" s="904"/>
      <c r="Y16" s="904"/>
      <c r="Z16" s="905"/>
      <c r="AB16" s="888">
        <v>0</v>
      </c>
      <c r="AC16" s="889"/>
      <c r="AD16" s="890"/>
      <c r="AF16" s="888">
        <f t="shared" si="3"/>
        <v>0</v>
      </c>
      <c r="AG16" s="889"/>
      <c r="AH16" s="890"/>
      <c r="AM16" s="415"/>
      <c r="AN16" s="894">
        <f t="shared" si="0"/>
        <v>0</v>
      </c>
      <c r="AO16" s="895"/>
      <c r="AP16" s="896"/>
      <c r="AU16" s="416"/>
      <c r="AV16" s="897">
        <f t="shared" si="1"/>
        <v>0</v>
      </c>
      <c r="AW16" s="898"/>
      <c r="AX16" s="899"/>
    </row>
    <row r="17" spans="3:56" s="51" customFormat="1" ht="18" customHeight="1" x14ac:dyDescent="0.15">
      <c r="C17" s="464">
        <v>2120</v>
      </c>
      <c r="D17" s="434"/>
      <c r="E17" s="604" t="s">
        <v>453</v>
      </c>
      <c r="F17" s="604"/>
      <c r="G17" s="604"/>
      <c r="H17" s="604"/>
      <c r="I17" s="604"/>
      <c r="J17" s="604"/>
      <c r="K17" s="604"/>
      <c r="L17" s="604"/>
      <c r="M17" s="604"/>
      <c r="N17" s="604"/>
      <c r="O17" s="330"/>
      <c r="P17" s="903" t="s">
        <v>116</v>
      </c>
      <c r="Q17" s="903"/>
      <c r="R17" s="334" t="s">
        <v>117</v>
      </c>
      <c r="S17" s="891"/>
      <c r="T17" s="891"/>
      <c r="U17" s="335" t="s">
        <v>143</v>
      </c>
      <c r="V17" s="336"/>
      <c r="W17" s="904">
        <f t="shared" si="2"/>
        <v>0</v>
      </c>
      <c r="X17" s="904"/>
      <c r="Y17" s="904"/>
      <c r="Z17" s="905"/>
      <c r="AB17" s="888">
        <v>0</v>
      </c>
      <c r="AC17" s="889"/>
      <c r="AD17" s="890"/>
      <c r="AF17" s="888">
        <f t="shared" si="3"/>
        <v>0</v>
      </c>
      <c r="AG17" s="889"/>
      <c r="AH17" s="890"/>
      <c r="AM17" s="415"/>
      <c r="AN17" s="894">
        <f t="shared" si="0"/>
        <v>0</v>
      </c>
      <c r="AO17" s="895"/>
      <c r="AP17" s="896"/>
      <c r="AU17" s="416"/>
      <c r="AV17" s="897">
        <f t="shared" si="1"/>
        <v>0</v>
      </c>
      <c r="AW17" s="898"/>
      <c r="AX17" s="899"/>
    </row>
    <row r="18" spans="3:56" s="51" customFormat="1" ht="18" customHeight="1" x14ac:dyDescent="0.15">
      <c r="C18" s="464">
        <v>2130</v>
      </c>
      <c r="D18" s="434"/>
      <c r="E18" s="604" t="s">
        <v>163</v>
      </c>
      <c r="F18" s="604"/>
      <c r="G18" s="604"/>
      <c r="H18" s="604"/>
      <c r="I18" s="604"/>
      <c r="J18" s="604"/>
      <c r="K18" s="604"/>
      <c r="L18" s="604"/>
      <c r="M18" s="604"/>
      <c r="N18" s="604"/>
      <c r="O18" s="330"/>
      <c r="P18" s="903" t="s">
        <v>451</v>
      </c>
      <c r="Q18" s="903"/>
      <c r="R18" s="334" t="s">
        <v>117</v>
      </c>
      <c r="S18" s="891"/>
      <c r="T18" s="891"/>
      <c r="U18" s="335" t="s">
        <v>143</v>
      </c>
      <c r="V18" s="336"/>
      <c r="W18" s="904">
        <f t="shared" si="2"/>
        <v>0</v>
      </c>
      <c r="X18" s="904"/>
      <c r="Y18" s="904"/>
      <c r="Z18" s="905"/>
      <c r="AB18" s="888">
        <v>0</v>
      </c>
      <c r="AC18" s="889"/>
      <c r="AD18" s="890"/>
      <c r="AF18" s="888">
        <f t="shared" si="3"/>
        <v>0</v>
      </c>
      <c r="AG18" s="889"/>
      <c r="AH18" s="890"/>
      <c r="AM18" s="415"/>
      <c r="AN18" s="894">
        <f t="shared" si="0"/>
        <v>0</v>
      </c>
      <c r="AO18" s="895"/>
      <c r="AP18" s="896"/>
      <c r="AU18" s="416"/>
      <c r="AV18" s="897">
        <f t="shared" si="1"/>
        <v>0</v>
      </c>
      <c r="AW18" s="898"/>
      <c r="AX18" s="899"/>
    </row>
    <row r="19" spans="3:56" s="51" customFormat="1" ht="18" customHeight="1" x14ac:dyDescent="0.15">
      <c r="C19" s="464">
        <v>2140</v>
      </c>
      <c r="D19" s="434"/>
      <c r="E19" s="604" t="s">
        <v>157</v>
      </c>
      <c r="F19" s="604"/>
      <c r="G19" s="604"/>
      <c r="H19" s="604"/>
      <c r="I19" s="604"/>
      <c r="J19" s="604"/>
      <c r="K19" s="604"/>
      <c r="L19" s="604"/>
      <c r="M19" s="604"/>
      <c r="N19" s="604"/>
      <c r="O19" s="330"/>
      <c r="P19" s="903" t="s">
        <v>448</v>
      </c>
      <c r="Q19" s="903"/>
      <c r="R19" s="334" t="s">
        <v>117</v>
      </c>
      <c r="S19" s="891"/>
      <c r="T19" s="891"/>
      <c r="U19" s="335" t="s">
        <v>143</v>
      </c>
      <c r="V19" s="336"/>
      <c r="W19" s="904">
        <f t="shared" si="2"/>
        <v>0</v>
      </c>
      <c r="X19" s="904"/>
      <c r="Y19" s="904"/>
      <c r="Z19" s="905"/>
      <c r="AB19" s="888">
        <v>0</v>
      </c>
      <c r="AC19" s="889"/>
      <c r="AD19" s="890"/>
      <c r="AF19" s="888">
        <f t="shared" si="3"/>
        <v>0</v>
      </c>
      <c r="AG19" s="889"/>
      <c r="AH19" s="890"/>
      <c r="AM19" s="415"/>
      <c r="AN19" s="894">
        <f t="shared" si="0"/>
        <v>0</v>
      </c>
      <c r="AO19" s="895"/>
      <c r="AP19" s="896"/>
      <c r="AU19" s="416"/>
      <c r="AV19" s="897">
        <f t="shared" si="1"/>
        <v>0</v>
      </c>
      <c r="AW19" s="898"/>
      <c r="AX19" s="899"/>
    </row>
    <row r="20" spans="3:56" s="51" customFormat="1" ht="18" customHeight="1" x14ac:dyDescent="0.15">
      <c r="C20" s="464">
        <v>2150</v>
      </c>
      <c r="D20" s="434"/>
      <c r="E20" s="604" t="s">
        <v>454</v>
      </c>
      <c r="F20" s="604"/>
      <c r="G20" s="604"/>
      <c r="H20" s="604"/>
      <c r="I20" s="604"/>
      <c r="J20" s="604"/>
      <c r="K20" s="604"/>
      <c r="L20" s="604"/>
      <c r="M20" s="604"/>
      <c r="N20" s="604"/>
      <c r="O20" s="330"/>
      <c r="P20" s="903" t="s">
        <v>448</v>
      </c>
      <c r="Q20" s="903"/>
      <c r="R20" s="334" t="s">
        <v>117</v>
      </c>
      <c r="S20" s="891"/>
      <c r="T20" s="891"/>
      <c r="U20" s="335" t="s">
        <v>143</v>
      </c>
      <c r="V20" s="336"/>
      <c r="W20" s="904">
        <f t="shared" si="2"/>
        <v>0</v>
      </c>
      <c r="X20" s="904"/>
      <c r="Y20" s="904"/>
      <c r="Z20" s="905"/>
      <c r="AB20" s="888">
        <v>0</v>
      </c>
      <c r="AC20" s="889"/>
      <c r="AD20" s="890"/>
      <c r="AF20" s="888">
        <f t="shared" si="3"/>
        <v>0</v>
      </c>
      <c r="AG20" s="889"/>
      <c r="AH20" s="890"/>
      <c r="AM20" s="415"/>
      <c r="AN20" s="894">
        <f t="shared" si="0"/>
        <v>0</v>
      </c>
      <c r="AO20" s="895"/>
      <c r="AP20" s="896"/>
      <c r="AU20" s="416"/>
      <c r="AV20" s="897">
        <f t="shared" si="1"/>
        <v>0</v>
      </c>
      <c r="AW20" s="898"/>
      <c r="AX20" s="899"/>
    </row>
    <row r="21" spans="3:56" s="51" customFormat="1" ht="18" customHeight="1" x14ac:dyDescent="0.15">
      <c r="C21" s="464">
        <v>2160</v>
      </c>
      <c r="D21" s="434"/>
      <c r="E21" s="604"/>
      <c r="F21" s="604"/>
      <c r="G21" s="604"/>
      <c r="H21" s="604"/>
      <c r="I21" s="604"/>
      <c r="J21" s="604"/>
      <c r="K21" s="604"/>
      <c r="L21" s="604"/>
      <c r="M21" s="604"/>
      <c r="N21" s="604"/>
      <c r="O21" s="330"/>
      <c r="P21" s="903"/>
      <c r="Q21" s="903"/>
      <c r="R21" s="334" t="s">
        <v>117</v>
      </c>
      <c r="S21" s="891"/>
      <c r="T21" s="891"/>
      <c r="U21" s="335" t="s">
        <v>143</v>
      </c>
      <c r="V21" s="336"/>
      <c r="W21" s="904">
        <f t="shared" si="2"/>
        <v>0</v>
      </c>
      <c r="X21" s="904"/>
      <c r="Y21" s="904"/>
      <c r="Z21" s="905"/>
      <c r="AB21" s="888">
        <v>0</v>
      </c>
      <c r="AC21" s="889"/>
      <c r="AD21" s="890"/>
      <c r="AF21" s="888">
        <f t="shared" si="3"/>
        <v>0</v>
      </c>
      <c r="AG21" s="889"/>
      <c r="AH21" s="890"/>
      <c r="AM21" s="415"/>
      <c r="AN21" s="894">
        <f t="shared" si="0"/>
        <v>0</v>
      </c>
      <c r="AO21" s="895"/>
      <c r="AP21" s="896"/>
      <c r="AU21" s="416"/>
      <c r="AV21" s="897">
        <f t="shared" si="1"/>
        <v>0</v>
      </c>
      <c r="AW21" s="898"/>
      <c r="AX21" s="899"/>
      <c r="BD21" s="51" t="s">
        <v>421</v>
      </c>
    </row>
    <row r="22" spans="3:56" s="51" customFormat="1" ht="18" customHeight="1" x14ac:dyDescent="0.15">
      <c r="C22" s="464">
        <v>2170</v>
      </c>
      <c r="D22" s="434"/>
      <c r="E22" s="604"/>
      <c r="F22" s="604"/>
      <c r="G22" s="604"/>
      <c r="H22" s="604"/>
      <c r="I22" s="604"/>
      <c r="J22" s="604"/>
      <c r="K22" s="604"/>
      <c r="L22" s="604"/>
      <c r="M22" s="604"/>
      <c r="N22" s="604"/>
      <c r="O22" s="330"/>
      <c r="P22" s="903"/>
      <c r="Q22" s="903"/>
      <c r="R22" s="334" t="s">
        <v>117</v>
      </c>
      <c r="S22" s="891"/>
      <c r="T22" s="891"/>
      <c r="U22" s="335" t="s">
        <v>143</v>
      </c>
      <c r="V22" s="336"/>
      <c r="W22" s="904">
        <f t="shared" si="2"/>
        <v>0</v>
      </c>
      <c r="X22" s="904"/>
      <c r="Y22" s="904"/>
      <c r="Z22" s="905"/>
      <c r="AB22" s="888">
        <v>0</v>
      </c>
      <c r="AC22" s="889"/>
      <c r="AD22" s="890"/>
      <c r="AF22" s="888">
        <f t="shared" si="3"/>
        <v>0</v>
      </c>
      <c r="AG22" s="889"/>
      <c r="AH22" s="890"/>
      <c r="AM22" s="415"/>
      <c r="AN22" s="894">
        <f t="shared" si="0"/>
        <v>0</v>
      </c>
      <c r="AO22" s="895"/>
      <c r="AP22" s="896"/>
      <c r="AU22" s="416"/>
      <c r="AV22" s="897">
        <f t="shared" si="1"/>
        <v>0</v>
      </c>
      <c r="AW22" s="898"/>
      <c r="AX22" s="899"/>
      <c r="BD22" s="51" t="s">
        <v>421</v>
      </c>
    </row>
    <row r="23" spans="3:56" s="51" customFormat="1" ht="18" customHeight="1" x14ac:dyDescent="0.15">
      <c r="C23" s="464">
        <v>2180</v>
      </c>
      <c r="D23" s="434"/>
      <c r="E23" s="604"/>
      <c r="F23" s="604"/>
      <c r="G23" s="604"/>
      <c r="H23" s="604"/>
      <c r="I23" s="604"/>
      <c r="J23" s="604"/>
      <c r="K23" s="604"/>
      <c r="L23" s="604"/>
      <c r="M23" s="604"/>
      <c r="N23" s="604"/>
      <c r="O23" s="330"/>
      <c r="P23" s="903"/>
      <c r="Q23" s="903"/>
      <c r="R23" s="334" t="s">
        <v>117</v>
      </c>
      <c r="S23" s="891"/>
      <c r="T23" s="891"/>
      <c r="U23" s="335" t="s">
        <v>143</v>
      </c>
      <c r="V23" s="336"/>
      <c r="W23" s="904">
        <f t="shared" si="2"/>
        <v>0</v>
      </c>
      <c r="X23" s="904"/>
      <c r="Y23" s="904"/>
      <c r="Z23" s="905"/>
      <c r="AB23" s="888">
        <v>0</v>
      </c>
      <c r="AC23" s="889"/>
      <c r="AD23" s="890"/>
      <c r="AF23" s="888">
        <f t="shared" si="3"/>
        <v>0</v>
      </c>
      <c r="AG23" s="889"/>
      <c r="AH23" s="890"/>
      <c r="AM23" s="415"/>
      <c r="AN23" s="894">
        <f t="shared" si="0"/>
        <v>0</v>
      </c>
      <c r="AO23" s="895"/>
      <c r="AP23" s="896"/>
      <c r="AU23" s="416"/>
      <c r="AV23" s="897">
        <f t="shared" si="1"/>
        <v>0</v>
      </c>
      <c r="AW23" s="898"/>
      <c r="AX23" s="899"/>
      <c r="BD23" s="51" t="s">
        <v>421</v>
      </c>
    </row>
    <row r="24" spans="3:56" s="51" customFormat="1" ht="18" customHeight="1" x14ac:dyDescent="0.15">
      <c r="C24" s="464">
        <v>2190</v>
      </c>
      <c r="D24" s="434"/>
      <c r="E24" s="604"/>
      <c r="F24" s="604"/>
      <c r="G24" s="604"/>
      <c r="H24" s="604"/>
      <c r="I24" s="604"/>
      <c r="J24" s="604"/>
      <c r="K24" s="604"/>
      <c r="L24" s="604"/>
      <c r="M24" s="604"/>
      <c r="N24" s="604"/>
      <c r="O24" s="330"/>
      <c r="P24" s="903"/>
      <c r="Q24" s="903"/>
      <c r="R24" s="334" t="s">
        <v>117</v>
      </c>
      <c r="S24" s="891"/>
      <c r="T24" s="891"/>
      <c r="U24" s="335" t="s">
        <v>143</v>
      </c>
      <c r="V24" s="336"/>
      <c r="W24" s="904">
        <f t="shared" si="2"/>
        <v>0</v>
      </c>
      <c r="X24" s="904"/>
      <c r="Y24" s="904"/>
      <c r="Z24" s="905"/>
      <c r="AB24" s="888">
        <v>0</v>
      </c>
      <c r="AC24" s="889"/>
      <c r="AD24" s="890"/>
      <c r="AF24" s="888">
        <f t="shared" si="3"/>
        <v>0</v>
      </c>
      <c r="AG24" s="889"/>
      <c r="AH24" s="890"/>
      <c r="AM24" s="415"/>
      <c r="AN24" s="894">
        <f t="shared" si="0"/>
        <v>0</v>
      </c>
      <c r="AO24" s="895"/>
      <c r="AP24" s="896"/>
      <c r="AU24" s="416"/>
      <c r="AV24" s="897">
        <f t="shared" si="1"/>
        <v>0</v>
      </c>
      <c r="AW24" s="898"/>
      <c r="AX24" s="899"/>
      <c r="BD24" s="51" t="s">
        <v>421</v>
      </c>
    </row>
    <row r="25" spans="3:56" s="51" customFormat="1" ht="18" customHeight="1" x14ac:dyDescent="0.15">
      <c r="C25" s="464">
        <v>2210</v>
      </c>
      <c r="D25" s="434"/>
      <c r="E25" s="604" t="s">
        <v>160</v>
      </c>
      <c r="F25" s="604"/>
      <c r="G25" s="604"/>
      <c r="H25" s="604"/>
      <c r="I25" s="604"/>
      <c r="J25" s="604"/>
      <c r="K25" s="604"/>
      <c r="L25" s="604"/>
      <c r="M25" s="604"/>
      <c r="N25" s="604"/>
      <c r="O25" s="330"/>
      <c r="P25" s="903" t="s">
        <v>455</v>
      </c>
      <c r="Q25" s="903"/>
      <c r="R25" s="334" t="s">
        <v>117</v>
      </c>
      <c r="S25" s="891"/>
      <c r="T25" s="891"/>
      <c r="U25" s="335" t="s">
        <v>143</v>
      </c>
      <c r="V25" s="336"/>
      <c r="W25" s="892">
        <f t="shared" si="2"/>
        <v>0</v>
      </c>
      <c r="X25" s="892"/>
      <c r="Y25" s="892"/>
      <c r="Z25" s="893"/>
      <c r="AB25" s="888">
        <v>0</v>
      </c>
      <c r="AC25" s="889"/>
      <c r="AD25" s="890"/>
      <c r="AF25" s="888">
        <f t="shared" si="3"/>
        <v>0</v>
      </c>
      <c r="AG25" s="889"/>
      <c r="AH25" s="890"/>
      <c r="AM25" s="415"/>
      <c r="AN25" s="894">
        <f t="shared" si="0"/>
        <v>0</v>
      </c>
      <c r="AO25" s="895"/>
      <c r="AP25" s="896"/>
      <c r="AU25" s="416"/>
      <c r="AV25" s="897">
        <f t="shared" si="1"/>
        <v>0</v>
      </c>
      <c r="AW25" s="898"/>
      <c r="AX25" s="899"/>
      <c r="BD25" s="51" t="s">
        <v>421</v>
      </c>
    </row>
    <row r="26" spans="3:56" s="51" customFormat="1" ht="18" customHeight="1" x14ac:dyDescent="0.15">
      <c r="C26" s="464">
        <v>2220</v>
      </c>
      <c r="D26" s="434"/>
      <c r="E26" s="604" t="s">
        <v>161</v>
      </c>
      <c r="F26" s="604"/>
      <c r="G26" s="604"/>
      <c r="H26" s="604"/>
      <c r="I26" s="604"/>
      <c r="J26" s="604"/>
      <c r="K26" s="604"/>
      <c r="L26" s="604"/>
      <c r="M26" s="604"/>
      <c r="N26" s="604"/>
      <c r="O26" s="330"/>
      <c r="P26" s="903" t="s">
        <v>455</v>
      </c>
      <c r="Q26" s="903"/>
      <c r="R26" s="334" t="s">
        <v>117</v>
      </c>
      <c r="S26" s="891"/>
      <c r="T26" s="891"/>
      <c r="U26" s="335" t="s">
        <v>143</v>
      </c>
      <c r="V26" s="336"/>
      <c r="W26" s="892">
        <f t="shared" si="2"/>
        <v>0</v>
      </c>
      <c r="X26" s="892"/>
      <c r="Y26" s="892"/>
      <c r="Z26" s="893"/>
      <c r="AB26" s="888">
        <v>0</v>
      </c>
      <c r="AC26" s="889"/>
      <c r="AD26" s="890"/>
      <c r="AF26" s="888">
        <f t="shared" si="3"/>
        <v>0</v>
      </c>
      <c r="AG26" s="889"/>
      <c r="AH26" s="890"/>
      <c r="AM26" s="415"/>
      <c r="AN26" s="894">
        <f t="shared" si="0"/>
        <v>0</v>
      </c>
      <c r="AO26" s="895"/>
      <c r="AP26" s="896"/>
      <c r="AU26" s="416"/>
      <c r="AV26" s="897">
        <f t="shared" si="1"/>
        <v>0</v>
      </c>
      <c r="AW26" s="898"/>
      <c r="AX26" s="899"/>
      <c r="BD26" s="51" t="s">
        <v>421</v>
      </c>
    </row>
    <row r="27" spans="3:56" s="51" customFormat="1" ht="18" customHeight="1" x14ac:dyDescent="0.15">
      <c r="C27" s="464">
        <v>2230</v>
      </c>
      <c r="D27" s="434"/>
      <c r="E27" s="604" t="s">
        <v>162</v>
      </c>
      <c r="F27" s="604"/>
      <c r="G27" s="604"/>
      <c r="H27" s="604"/>
      <c r="I27" s="604"/>
      <c r="J27" s="604"/>
      <c r="K27" s="604"/>
      <c r="L27" s="604"/>
      <c r="M27" s="604"/>
      <c r="N27" s="604"/>
      <c r="O27" s="330"/>
      <c r="P27" s="903" t="s">
        <v>455</v>
      </c>
      <c r="Q27" s="903"/>
      <c r="R27" s="334" t="s">
        <v>117</v>
      </c>
      <c r="S27" s="891"/>
      <c r="T27" s="891"/>
      <c r="U27" s="335" t="s">
        <v>143</v>
      </c>
      <c r="V27" s="336"/>
      <c r="W27" s="892">
        <f t="shared" si="2"/>
        <v>0</v>
      </c>
      <c r="X27" s="892"/>
      <c r="Y27" s="892"/>
      <c r="Z27" s="893"/>
      <c r="AB27" s="888">
        <v>0</v>
      </c>
      <c r="AC27" s="889"/>
      <c r="AD27" s="890"/>
      <c r="AF27" s="888">
        <f t="shared" si="3"/>
        <v>0</v>
      </c>
      <c r="AG27" s="889"/>
      <c r="AH27" s="890"/>
      <c r="AM27" s="415"/>
      <c r="AN27" s="894">
        <f t="shared" si="0"/>
        <v>0</v>
      </c>
      <c r="AO27" s="895"/>
      <c r="AP27" s="896"/>
      <c r="AU27" s="416"/>
      <c r="AV27" s="897">
        <f t="shared" si="1"/>
        <v>0</v>
      </c>
      <c r="AW27" s="898"/>
      <c r="AX27" s="899"/>
      <c r="BD27" s="51" t="s">
        <v>421</v>
      </c>
    </row>
    <row r="28" spans="3:56" s="51" customFormat="1" ht="18" customHeight="1" x14ac:dyDescent="0.15">
      <c r="C28" s="464">
        <v>2240</v>
      </c>
      <c r="D28" s="434"/>
      <c r="E28" s="604" t="s">
        <v>456</v>
      </c>
      <c r="F28" s="604"/>
      <c r="G28" s="604"/>
      <c r="H28" s="604"/>
      <c r="I28" s="604"/>
      <c r="J28" s="604"/>
      <c r="K28" s="604"/>
      <c r="L28" s="604"/>
      <c r="M28" s="604"/>
      <c r="N28" s="604"/>
      <c r="O28" s="330"/>
      <c r="P28" s="903" t="s">
        <v>455</v>
      </c>
      <c r="Q28" s="903"/>
      <c r="R28" s="334" t="s">
        <v>117</v>
      </c>
      <c r="S28" s="891"/>
      <c r="T28" s="891"/>
      <c r="U28" s="335" t="s">
        <v>143</v>
      </c>
      <c r="V28" s="336"/>
      <c r="W28" s="892">
        <f t="shared" si="2"/>
        <v>0</v>
      </c>
      <c r="X28" s="892"/>
      <c r="Y28" s="892"/>
      <c r="Z28" s="893"/>
      <c r="AB28" s="888">
        <v>0</v>
      </c>
      <c r="AC28" s="889"/>
      <c r="AD28" s="890"/>
      <c r="AF28" s="888">
        <f t="shared" si="3"/>
        <v>0</v>
      </c>
      <c r="AG28" s="889"/>
      <c r="AH28" s="890"/>
      <c r="AM28" s="415"/>
      <c r="AN28" s="894">
        <f t="shared" si="0"/>
        <v>0</v>
      </c>
      <c r="AO28" s="895"/>
      <c r="AP28" s="896"/>
      <c r="AU28" s="416"/>
      <c r="AV28" s="897">
        <f t="shared" si="1"/>
        <v>0</v>
      </c>
      <c r="AW28" s="898"/>
      <c r="AX28" s="899"/>
      <c r="BD28" s="51" t="s">
        <v>421</v>
      </c>
    </row>
    <row r="29" spans="3:56" s="51" customFormat="1" ht="18" customHeight="1" x14ac:dyDescent="0.15">
      <c r="C29" s="464">
        <v>2250</v>
      </c>
      <c r="D29" s="434"/>
      <c r="E29" s="604"/>
      <c r="F29" s="604"/>
      <c r="G29" s="604"/>
      <c r="H29" s="604"/>
      <c r="I29" s="604"/>
      <c r="J29" s="604"/>
      <c r="K29" s="604"/>
      <c r="L29" s="604"/>
      <c r="M29" s="604"/>
      <c r="N29" s="604"/>
      <c r="O29" s="330"/>
      <c r="P29" s="903"/>
      <c r="Q29" s="903"/>
      <c r="R29" s="334" t="s">
        <v>117</v>
      </c>
      <c r="S29" s="891"/>
      <c r="T29" s="891"/>
      <c r="U29" s="335" t="s">
        <v>143</v>
      </c>
      <c r="V29" s="336"/>
      <c r="W29" s="892">
        <f t="shared" si="2"/>
        <v>0</v>
      </c>
      <c r="X29" s="892"/>
      <c r="Y29" s="892"/>
      <c r="Z29" s="893"/>
      <c r="AB29" s="888">
        <v>0</v>
      </c>
      <c r="AC29" s="889"/>
      <c r="AD29" s="890"/>
      <c r="AF29" s="888">
        <f t="shared" si="3"/>
        <v>0</v>
      </c>
      <c r="AG29" s="889"/>
      <c r="AH29" s="890"/>
      <c r="AM29" s="415"/>
      <c r="AN29" s="894">
        <f t="shared" si="0"/>
        <v>0</v>
      </c>
      <c r="AO29" s="895"/>
      <c r="AP29" s="896"/>
      <c r="AU29" s="416"/>
      <c r="AV29" s="897">
        <f t="shared" si="1"/>
        <v>0</v>
      </c>
      <c r="AW29" s="898"/>
      <c r="AX29" s="899"/>
      <c r="BD29" s="51" t="s">
        <v>421</v>
      </c>
    </row>
    <row r="30" spans="3:56" s="51" customFormat="1" ht="18" customHeight="1" x14ac:dyDescent="0.15">
      <c r="C30" s="464">
        <v>2260</v>
      </c>
      <c r="D30" s="434"/>
      <c r="E30" s="604"/>
      <c r="F30" s="604"/>
      <c r="G30" s="604"/>
      <c r="H30" s="604"/>
      <c r="I30" s="604"/>
      <c r="J30" s="604"/>
      <c r="K30" s="604"/>
      <c r="L30" s="604"/>
      <c r="M30" s="604"/>
      <c r="N30" s="604"/>
      <c r="O30" s="330"/>
      <c r="P30" s="903"/>
      <c r="Q30" s="903"/>
      <c r="R30" s="334" t="s">
        <v>117</v>
      </c>
      <c r="S30" s="891"/>
      <c r="T30" s="891"/>
      <c r="U30" s="335" t="s">
        <v>143</v>
      </c>
      <c r="V30" s="336"/>
      <c r="W30" s="892">
        <f t="shared" si="2"/>
        <v>0</v>
      </c>
      <c r="X30" s="892"/>
      <c r="Y30" s="892"/>
      <c r="Z30" s="893"/>
      <c r="AB30" s="888">
        <v>0</v>
      </c>
      <c r="AC30" s="889"/>
      <c r="AD30" s="890"/>
      <c r="AF30" s="888">
        <f t="shared" si="3"/>
        <v>0</v>
      </c>
      <c r="AG30" s="889"/>
      <c r="AH30" s="890"/>
      <c r="AM30" s="415"/>
      <c r="AN30" s="894">
        <f t="shared" si="0"/>
        <v>0</v>
      </c>
      <c r="AO30" s="895"/>
      <c r="AP30" s="896"/>
      <c r="AU30" s="416"/>
      <c r="AV30" s="897">
        <f t="shared" si="1"/>
        <v>0</v>
      </c>
      <c r="AW30" s="898"/>
      <c r="AX30" s="899"/>
      <c r="BD30" s="51" t="s">
        <v>421</v>
      </c>
    </row>
    <row r="31" spans="3:56" s="51" customFormat="1" ht="18" customHeight="1" x14ac:dyDescent="0.15">
      <c r="C31" s="464">
        <v>2270</v>
      </c>
      <c r="D31" s="434"/>
      <c r="E31" s="604"/>
      <c r="F31" s="604"/>
      <c r="G31" s="604"/>
      <c r="H31" s="604"/>
      <c r="I31" s="604"/>
      <c r="J31" s="604"/>
      <c r="K31" s="604"/>
      <c r="L31" s="604"/>
      <c r="M31" s="604"/>
      <c r="N31" s="604"/>
      <c r="O31" s="330"/>
      <c r="P31" s="903"/>
      <c r="Q31" s="903"/>
      <c r="R31" s="334" t="s">
        <v>117</v>
      </c>
      <c r="S31" s="891"/>
      <c r="T31" s="891"/>
      <c r="U31" s="335" t="s">
        <v>143</v>
      </c>
      <c r="V31" s="336"/>
      <c r="W31" s="892">
        <f t="shared" si="2"/>
        <v>0</v>
      </c>
      <c r="X31" s="892"/>
      <c r="Y31" s="892"/>
      <c r="Z31" s="893"/>
      <c r="AB31" s="888">
        <v>0</v>
      </c>
      <c r="AC31" s="889"/>
      <c r="AD31" s="890"/>
      <c r="AF31" s="888">
        <f t="shared" si="3"/>
        <v>0</v>
      </c>
      <c r="AG31" s="889"/>
      <c r="AH31" s="890"/>
      <c r="AM31" s="415"/>
      <c r="AN31" s="894">
        <f t="shared" si="0"/>
        <v>0</v>
      </c>
      <c r="AO31" s="895"/>
      <c r="AP31" s="896"/>
      <c r="AU31" s="416"/>
      <c r="AV31" s="897">
        <f t="shared" si="1"/>
        <v>0</v>
      </c>
      <c r="AW31" s="898"/>
      <c r="AX31" s="899"/>
      <c r="BD31" s="51" t="s">
        <v>421</v>
      </c>
    </row>
    <row r="32" spans="3:56" s="51" customFormat="1" ht="18" customHeight="1" x14ac:dyDescent="0.15">
      <c r="C32" s="464">
        <v>2280</v>
      </c>
      <c r="D32" s="434"/>
      <c r="E32" s="604"/>
      <c r="F32" s="604"/>
      <c r="G32" s="604"/>
      <c r="H32" s="604"/>
      <c r="I32" s="604"/>
      <c r="J32" s="604"/>
      <c r="K32" s="604"/>
      <c r="L32" s="604"/>
      <c r="M32" s="604"/>
      <c r="N32" s="604"/>
      <c r="O32" s="330"/>
      <c r="P32" s="903"/>
      <c r="Q32" s="903"/>
      <c r="R32" s="334" t="s">
        <v>117</v>
      </c>
      <c r="S32" s="891"/>
      <c r="T32" s="891"/>
      <c r="U32" s="335" t="s">
        <v>143</v>
      </c>
      <c r="V32" s="336"/>
      <c r="W32" s="892">
        <f t="shared" si="2"/>
        <v>0</v>
      </c>
      <c r="X32" s="892"/>
      <c r="Y32" s="892"/>
      <c r="Z32" s="893"/>
      <c r="AB32" s="888">
        <v>0</v>
      </c>
      <c r="AC32" s="889"/>
      <c r="AD32" s="890"/>
      <c r="AF32" s="888">
        <f t="shared" si="3"/>
        <v>0</v>
      </c>
      <c r="AG32" s="889"/>
      <c r="AH32" s="890"/>
      <c r="AM32" s="415"/>
      <c r="AN32" s="894">
        <f t="shared" si="0"/>
        <v>0</v>
      </c>
      <c r="AO32" s="895"/>
      <c r="AP32" s="896"/>
      <c r="AU32" s="416"/>
      <c r="AV32" s="897">
        <f t="shared" si="1"/>
        <v>0</v>
      </c>
      <c r="AW32" s="898"/>
      <c r="AX32" s="899"/>
      <c r="BD32" s="51" t="s">
        <v>421</v>
      </c>
    </row>
    <row r="33" spans="3:56" s="51" customFormat="1" ht="18" customHeight="1" x14ac:dyDescent="0.15">
      <c r="C33" s="464">
        <v>2290</v>
      </c>
      <c r="D33" s="434"/>
      <c r="E33" s="604"/>
      <c r="F33" s="604"/>
      <c r="G33" s="604"/>
      <c r="H33" s="604"/>
      <c r="I33" s="604"/>
      <c r="J33" s="604"/>
      <c r="K33" s="604"/>
      <c r="L33" s="604"/>
      <c r="M33" s="604"/>
      <c r="N33" s="604"/>
      <c r="O33" s="330"/>
      <c r="P33" s="903"/>
      <c r="Q33" s="903"/>
      <c r="R33" s="334" t="s">
        <v>117</v>
      </c>
      <c r="S33" s="891"/>
      <c r="T33" s="891"/>
      <c r="U33" s="335" t="s">
        <v>143</v>
      </c>
      <c r="V33" s="336"/>
      <c r="W33" s="892">
        <f t="shared" si="2"/>
        <v>0</v>
      </c>
      <c r="X33" s="892"/>
      <c r="Y33" s="892"/>
      <c r="Z33" s="893"/>
      <c r="AB33" s="888">
        <v>0</v>
      </c>
      <c r="AC33" s="889"/>
      <c r="AD33" s="890"/>
      <c r="AF33" s="888">
        <f t="shared" si="3"/>
        <v>0</v>
      </c>
      <c r="AG33" s="889"/>
      <c r="AH33" s="890"/>
      <c r="AM33" s="415"/>
      <c r="AN33" s="894">
        <f t="shared" si="0"/>
        <v>0</v>
      </c>
      <c r="AO33" s="895"/>
      <c r="AP33" s="896"/>
      <c r="AU33" s="416"/>
      <c r="AV33" s="897">
        <f t="shared" si="1"/>
        <v>0</v>
      </c>
      <c r="AW33" s="898"/>
      <c r="AX33" s="899"/>
      <c r="BD33" s="51" t="s">
        <v>421</v>
      </c>
    </row>
    <row r="34" spans="3:56" s="51" customFormat="1" ht="18" customHeight="1" x14ac:dyDescent="0.15">
      <c r="C34" s="464">
        <v>2310</v>
      </c>
      <c r="D34" s="434"/>
      <c r="E34" s="604" t="s">
        <v>219</v>
      </c>
      <c r="F34" s="604"/>
      <c r="G34" s="604"/>
      <c r="H34" s="604"/>
      <c r="I34" s="604"/>
      <c r="J34" s="604"/>
      <c r="K34" s="604"/>
      <c r="L34" s="604"/>
      <c r="M34" s="604"/>
      <c r="N34" s="604"/>
      <c r="O34" s="330"/>
      <c r="P34" s="903" t="s">
        <v>116</v>
      </c>
      <c r="Q34" s="903"/>
      <c r="R34" s="334" t="s">
        <v>117</v>
      </c>
      <c r="S34" s="891"/>
      <c r="T34" s="891"/>
      <c r="U34" s="335" t="s">
        <v>143</v>
      </c>
      <c r="V34" s="336"/>
      <c r="W34" s="892">
        <f t="shared" si="2"/>
        <v>0</v>
      </c>
      <c r="X34" s="892"/>
      <c r="Y34" s="892"/>
      <c r="Z34" s="893"/>
      <c r="AB34" s="888">
        <v>0</v>
      </c>
      <c r="AC34" s="889"/>
      <c r="AD34" s="890"/>
      <c r="AF34" s="888">
        <f t="shared" si="3"/>
        <v>0</v>
      </c>
      <c r="AG34" s="889"/>
      <c r="AH34" s="890"/>
      <c r="AM34" s="415"/>
      <c r="AN34" s="894">
        <f t="shared" si="0"/>
        <v>0</v>
      </c>
      <c r="AO34" s="895"/>
      <c r="AP34" s="896"/>
      <c r="AU34" s="416"/>
      <c r="AV34" s="897">
        <f t="shared" si="1"/>
        <v>0</v>
      </c>
      <c r="AW34" s="898"/>
      <c r="AX34" s="899"/>
    </row>
    <row r="35" spans="3:56" s="51" customFormat="1" ht="18" customHeight="1" x14ac:dyDescent="0.15">
      <c r="C35" s="464">
        <v>2320</v>
      </c>
      <c r="D35" s="434"/>
      <c r="E35" s="604" t="s">
        <v>457</v>
      </c>
      <c r="F35" s="604"/>
      <c r="G35" s="604"/>
      <c r="H35" s="604"/>
      <c r="I35" s="604"/>
      <c r="J35" s="604"/>
      <c r="K35" s="604"/>
      <c r="L35" s="604"/>
      <c r="M35" s="604"/>
      <c r="N35" s="604"/>
      <c r="O35" s="330"/>
      <c r="P35" s="903" t="s">
        <v>455</v>
      </c>
      <c r="Q35" s="903"/>
      <c r="R35" s="334" t="s">
        <v>117</v>
      </c>
      <c r="S35" s="891"/>
      <c r="T35" s="891"/>
      <c r="U35" s="335" t="s">
        <v>143</v>
      </c>
      <c r="V35" s="336"/>
      <c r="W35" s="892">
        <f t="shared" si="2"/>
        <v>0</v>
      </c>
      <c r="X35" s="892"/>
      <c r="Y35" s="892"/>
      <c r="Z35" s="893"/>
      <c r="AB35" s="888">
        <v>0</v>
      </c>
      <c r="AC35" s="889"/>
      <c r="AD35" s="890"/>
      <c r="AF35" s="888">
        <f t="shared" si="3"/>
        <v>0</v>
      </c>
      <c r="AG35" s="889"/>
      <c r="AH35" s="890"/>
      <c r="AM35" s="415"/>
      <c r="AN35" s="894">
        <f t="shared" si="0"/>
        <v>0</v>
      </c>
      <c r="AO35" s="895"/>
      <c r="AP35" s="896"/>
      <c r="AU35" s="416"/>
      <c r="AV35" s="897">
        <f t="shared" si="1"/>
        <v>0</v>
      </c>
      <c r="AW35" s="898"/>
      <c r="AX35" s="899"/>
    </row>
    <row r="36" spans="3:56" s="51" customFormat="1" ht="18" customHeight="1" x14ac:dyDescent="0.15">
      <c r="C36" s="464">
        <v>2330</v>
      </c>
      <c r="D36" s="434"/>
      <c r="E36" s="604" t="s">
        <v>458</v>
      </c>
      <c r="F36" s="604"/>
      <c r="G36" s="604"/>
      <c r="H36" s="604"/>
      <c r="I36" s="604"/>
      <c r="J36" s="604"/>
      <c r="K36" s="604"/>
      <c r="L36" s="604"/>
      <c r="M36" s="604"/>
      <c r="N36" s="604"/>
      <c r="O36" s="330"/>
      <c r="P36" s="903" t="s">
        <v>455</v>
      </c>
      <c r="Q36" s="903"/>
      <c r="R36" s="334" t="s">
        <v>117</v>
      </c>
      <c r="S36" s="891"/>
      <c r="T36" s="891"/>
      <c r="U36" s="335" t="s">
        <v>143</v>
      </c>
      <c r="V36" s="336"/>
      <c r="W36" s="892">
        <f t="shared" si="2"/>
        <v>0</v>
      </c>
      <c r="X36" s="892"/>
      <c r="Y36" s="892"/>
      <c r="Z36" s="893"/>
      <c r="AB36" s="888">
        <v>0</v>
      </c>
      <c r="AC36" s="889"/>
      <c r="AD36" s="890"/>
      <c r="AF36" s="888">
        <f t="shared" si="3"/>
        <v>0</v>
      </c>
      <c r="AG36" s="889"/>
      <c r="AH36" s="890"/>
      <c r="AM36" s="415"/>
      <c r="AN36" s="894">
        <f t="shared" si="0"/>
        <v>0</v>
      </c>
      <c r="AO36" s="895"/>
      <c r="AP36" s="896"/>
      <c r="AU36" s="416"/>
      <c r="AV36" s="897">
        <f t="shared" si="1"/>
        <v>0</v>
      </c>
      <c r="AW36" s="898"/>
      <c r="AX36" s="899"/>
    </row>
    <row r="37" spans="3:56" s="51" customFormat="1" ht="18" customHeight="1" x14ac:dyDescent="0.15">
      <c r="C37" s="464">
        <v>2340</v>
      </c>
      <c r="D37" s="434"/>
      <c r="E37" s="604" t="s">
        <v>164</v>
      </c>
      <c r="F37" s="604"/>
      <c r="G37" s="604"/>
      <c r="H37" s="604"/>
      <c r="I37" s="604"/>
      <c r="J37" s="604"/>
      <c r="K37" s="604"/>
      <c r="L37" s="604"/>
      <c r="M37" s="604"/>
      <c r="N37" s="604"/>
      <c r="O37" s="330"/>
      <c r="P37" s="903" t="s">
        <v>455</v>
      </c>
      <c r="Q37" s="903"/>
      <c r="R37" s="334" t="s">
        <v>117</v>
      </c>
      <c r="S37" s="891"/>
      <c r="T37" s="891"/>
      <c r="U37" s="335" t="s">
        <v>143</v>
      </c>
      <c r="V37" s="336"/>
      <c r="W37" s="892">
        <f t="shared" si="2"/>
        <v>0</v>
      </c>
      <c r="X37" s="892"/>
      <c r="Y37" s="892"/>
      <c r="Z37" s="893"/>
      <c r="AB37" s="888">
        <v>0</v>
      </c>
      <c r="AC37" s="889"/>
      <c r="AD37" s="890"/>
      <c r="AF37" s="888">
        <f t="shared" si="3"/>
        <v>0</v>
      </c>
      <c r="AG37" s="889"/>
      <c r="AH37" s="890"/>
      <c r="AM37" s="415"/>
      <c r="AN37" s="894">
        <f t="shared" si="0"/>
        <v>0</v>
      </c>
      <c r="AO37" s="895"/>
      <c r="AP37" s="896"/>
      <c r="AU37" s="416"/>
      <c r="AV37" s="897">
        <f t="shared" si="1"/>
        <v>0</v>
      </c>
      <c r="AW37" s="898"/>
      <c r="AX37" s="899"/>
    </row>
    <row r="38" spans="3:56" s="51" customFormat="1" ht="18" customHeight="1" x14ac:dyDescent="0.15">
      <c r="C38" s="464">
        <v>2350</v>
      </c>
      <c r="D38" s="434"/>
      <c r="E38" s="604" t="s">
        <v>154</v>
      </c>
      <c r="F38" s="604"/>
      <c r="G38" s="604"/>
      <c r="H38" s="604"/>
      <c r="I38" s="604"/>
      <c r="J38" s="604"/>
      <c r="K38" s="604"/>
      <c r="L38" s="604"/>
      <c r="M38" s="604"/>
      <c r="N38" s="604"/>
      <c r="O38" s="330"/>
      <c r="P38" s="903" t="s">
        <v>455</v>
      </c>
      <c r="Q38" s="903"/>
      <c r="R38" s="334" t="s">
        <v>117</v>
      </c>
      <c r="S38" s="891"/>
      <c r="T38" s="891"/>
      <c r="U38" s="335" t="s">
        <v>143</v>
      </c>
      <c r="V38" s="336"/>
      <c r="W38" s="892">
        <f t="shared" si="2"/>
        <v>0</v>
      </c>
      <c r="X38" s="892"/>
      <c r="Y38" s="892"/>
      <c r="Z38" s="893"/>
      <c r="AB38" s="888">
        <v>0</v>
      </c>
      <c r="AC38" s="889"/>
      <c r="AD38" s="890"/>
      <c r="AF38" s="888">
        <f t="shared" si="3"/>
        <v>0</v>
      </c>
      <c r="AG38" s="889"/>
      <c r="AH38" s="890"/>
      <c r="AM38" s="415"/>
      <c r="AN38" s="894">
        <f t="shared" si="0"/>
        <v>0</v>
      </c>
      <c r="AO38" s="895"/>
      <c r="AP38" s="896"/>
      <c r="AU38" s="416"/>
      <c r="AV38" s="897">
        <f t="shared" si="1"/>
        <v>0</v>
      </c>
      <c r="AW38" s="898"/>
      <c r="AX38" s="899"/>
    </row>
    <row r="39" spans="3:56" s="51" customFormat="1" ht="18" customHeight="1" x14ac:dyDescent="0.15">
      <c r="C39" s="464">
        <v>2360</v>
      </c>
      <c r="D39" s="434"/>
      <c r="E39" s="604"/>
      <c r="F39" s="604"/>
      <c r="G39" s="604"/>
      <c r="H39" s="604"/>
      <c r="I39" s="604"/>
      <c r="J39" s="604"/>
      <c r="K39" s="604"/>
      <c r="L39" s="604"/>
      <c r="M39" s="604"/>
      <c r="N39" s="604"/>
      <c r="O39" s="330"/>
      <c r="P39" s="903"/>
      <c r="Q39" s="903"/>
      <c r="R39" s="334" t="s">
        <v>117</v>
      </c>
      <c r="S39" s="891"/>
      <c r="T39" s="891"/>
      <c r="U39" s="335" t="s">
        <v>143</v>
      </c>
      <c r="V39" s="336"/>
      <c r="W39" s="892">
        <f t="shared" si="2"/>
        <v>0</v>
      </c>
      <c r="X39" s="892"/>
      <c r="Y39" s="892"/>
      <c r="Z39" s="893"/>
      <c r="AB39" s="888">
        <v>0</v>
      </c>
      <c r="AC39" s="889"/>
      <c r="AD39" s="890"/>
      <c r="AF39" s="888">
        <f t="shared" si="3"/>
        <v>0</v>
      </c>
      <c r="AG39" s="889"/>
      <c r="AH39" s="890"/>
      <c r="AM39" s="415"/>
      <c r="AN39" s="894">
        <f t="shared" ref="AN39:AN60" si="4">IF(AM39="X",W39*Q_MU,0)</f>
        <v>0</v>
      </c>
      <c r="AO39" s="895"/>
      <c r="AP39" s="896"/>
      <c r="AU39" s="416"/>
      <c r="AV39" s="897">
        <f t="shared" ref="AV39:AV60" si="5">IF(AU39="X",W39*Q_TX,0)</f>
        <v>0</v>
      </c>
      <c r="AW39" s="898"/>
      <c r="AX39" s="899"/>
    </row>
    <row r="40" spans="3:56" s="51" customFormat="1" ht="18" customHeight="1" x14ac:dyDescent="0.15">
      <c r="C40" s="464">
        <v>2370</v>
      </c>
      <c r="D40" s="434"/>
      <c r="E40" s="604"/>
      <c r="F40" s="604"/>
      <c r="G40" s="604"/>
      <c r="H40" s="604"/>
      <c r="I40" s="604"/>
      <c r="J40" s="604"/>
      <c r="K40" s="604"/>
      <c r="L40" s="604"/>
      <c r="M40" s="604"/>
      <c r="N40" s="604"/>
      <c r="O40" s="330"/>
      <c r="P40" s="903"/>
      <c r="Q40" s="903"/>
      <c r="R40" s="334" t="s">
        <v>117</v>
      </c>
      <c r="S40" s="891"/>
      <c r="T40" s="891"/>
      <c r="U40" s="335" t="s">
        <v>143</v>
      </c>
      <c r="V40" s="336"/>
      <c r="W40" s="892">
        <f t="shared" si="2"/>
        <v>0</v>
      </c>
      <c r="X40" s="892"/>
      <c r="Y40" s="892"/>
      <c r="Z40" s="893"/>
      <c r="AB40" s="888">
        <v>0</v>
      </c>
      <c r="AC40" s="889"/>
      <c r="AD40" s="890"/>
      <c r="AF40" s="888">
        <f t="shared" si="3"/>
        <v>0</v>
      </c>
      <c r="AG40" s="889"/>
      <c r="AH40" s="890"/>
      <c r="AM40" s="415"/>
      <c r="AN40" s="894">
        <f t="shared" si="4"/>
        <v>0</v>
      </c>
      <c r="AO40" s="895"/>
      <c r="AP40" s="896"/>
      <c r="AU40" s="416"/>
      <c r="AV40" s="897">
        <f t="shared" si="5"/>
        <v>0</v>
      </c>
      <c r="AW40" s="898"/>
      <c r="AX40" s="899"/>
    </row>
    <row r="41" spans="3:56" s="51" customFormat="1" ht="18" customHeight="1" x14ac:dyDescent="0.15">
      <c r="C41" s="464">
        <v>2380</v>
      </c>
      <c r="D41" s="434"/>
      <c r="E41" s="604"/>
      <c r="F41" s="604"/>
      <c r="G41" s="604"/>
      <c r="H41" s="604"/>
      <c r="I41" s="604"/>
      <c r="J41" s="604"/>
      <c r="K41" s="604"/>
      <c r="L41" s="604"/>
      <c r="M41" s="604"/>
      <c r="N41" s="604"/>
      <c r="O41" s="330"/>
      <c r="P41" s="903"/>
      <c r="Q41" s="903"/>
      <c r="R41" s="334" t="s">
        <v>117</v>
      </c>
      <c r="S41" s="891"/>
      <c r="T41" s="891"/>
      <c r="U41" s="335" t="s">
        <v>143</v>
      </c>
      <c r="V41" s="336"/>
      <c r="W41" s="892">
        <f t="shared" si="2"/>
        <v>0</v>
      </c>
      <c r="X41" s="892"/>
      <c r="Y41" s="892"/>
      <c r="Z41" s="893"/>
      <c r="AB41" s="888">
        <v>0</v>
      </c>
      <c r="AC41" s="889"/>
      <c r="AD41" s="890"/>
      <c r="AF41" s="888">
        <f t="shared" si="3"/>
        <v>0</v>
      </c>
      <c r="AG41" s="889"/>
      <c r="AH41" s="890"/>
      <c r="AM41" s="415"/>
      <c r="AN41" s="894">
        <f t="shared" si="4"/>
        <v>0</v>
      </c>
      <c r="AO41" s="895"/>
      <c r="AP41" s="896"/>
      <c r="AU41" s="416"/>
      <c r="AV41" s="897">
        <f t="shared" si="5"/>
        <v>0</v>
      </c>
      <c r="AW41" s="898"/>
      <c r="AX41" s="899"/>
    </row>
    <row r="42" spans="3:56" s="51" customFormat="1" ht="18" customHeight="1" x14ac:dyDescent="0.15">
      <c r="C42" s="464">
        <v>2390</v>
      </c>
      <c r="D42" s="434"/>
      <c r="E42" s="604"/>
      <c r="F42" s="604"/>
      <c r="G42" s="604"/>
      <c r="H42" s="604"/>
      <c r="I42" s="604"/>
      <c r="J42" s="604"/>
      <c r="K42" s="604"/>
      <c r="L42" s="604"/>
      <c r="M42" s="604"/>
      <c r="N42" s="604"/>
      <c r="O42" s="330"/>
      <c r="P42" s="903"/>
      <c r="Q42" s="903"/>
      <c r="R42" s="334" t="s">
        <v>117</v>
      </c>
      <c r="S42" s="891"/>
      <c r="T42" s="891"/>
      <c r="U42" s="335" t="s">
        <v>143</v>
      </c>
      <c r="V42" s="336"/>
      <c r="W42" s="892">
        <f t="shared" si="2"/>
        <v>0</v>
      </c>
      <c r="X42" s="892"/>
      <c r="Y42" s="892"/>
      <c r="Z42" s="893"/>
      <c r="AB42" s="888">
        <v>0</v>
      </c>
      <c r="AC42" s="889"/>
      <c r="AD42" s="890"/>
      <c r="AF42" s="888">
        <f t="shared" si="3"/>
        <v>0</v>
      </c>
      <c r="AG42" s="889"/>
      <c r="AH42" s="890"/>
      <c r="AM42" s="415"/>
      <c r="AN42" s="894">
        <f t="shared" si="4"/>
        <v>0</v>
      </c>
      <c r="AO42" s="895"/>
      <c r="AP42" s="896"/>
      <c r="AU42" s="416"/>
      <c r="AV42" s="897">
        <f t="shared" si="5"/>
        <v>0</v>
      </c>
      <c r="AW42" s="898"/>
      <c r="AX42" s="899"/>
    </row>
    <row r="43" spans="3:56" s="51" customFormat="1" ht="18" customHeight="1" x14ac:dyDescent="0.15">
      <c r="C43" s="464">
        <v>2410</v>
      </c>
      <c r="D43" s="434"/>
      <c r="E43" s="604"/>
      <c r="F43" s="604"/>
      <c r="G43" s="604"/>
      <c r="H43" s="604"/>
      <c r="I43" s="604"/>
      <c r="J43" s="604"/>
      <c r="K43" s="604"/>
      <c r="L43" s="604"/>
      <c r="M43" s="604"/>
      <c r="N43" s="604"/>
      <c r="O43" s="330"/>
      <c r="P43" s="903" t="s">
        <v>451</v>
      </c>
      <c r="Q43" s="903"/>
      <c r="R43" s="334" t="s">
        <v>117</v>
      </c>
      <c r="S43" s="891"/>
      <c r="T43" s="891"/>
      <c r="U43" s="335" t="s">
        <v>143</v>
      </c>
      <c r="V43" s="336"/>
      <c r="W43" s="892">
        <f t="shared" si="2"/>
        <v>0</v>
      </c>
      <c r="X43" s="892"/>
      <c r="Y43" s="892"/>
      <c r="Z43" s="893"/>
      <c r="AB43" s="888">
        <v>0</v>
      </c>
      <c r="AC43" s="889"/>
      <c r="AD43" s="890"/>
      <c r="AF43" s="888">
        <f t="shared" si="3"/>
        <v>0</v>
      </c>
      <c r="AG43" s="889"/>
      <c r="AH43" s="890"/>
      <c r="AM43" s="415"/>
      <c r="AN43" s="894">
        <f t="shared" si="4"/>
        <v>0</v>
      </c>
      <c r="AO43" s="895"/>
      <c r="AP43" s="896"/>
      <c r="AU43" s="416"/>
      <c r="AV43" s="897">
        <f t="shared" si="5"/>
        <v>0</v>
      </c>
      <c r="AW43" s="898"/>
      <c r="AX43" s="899"/>
    </row>
    <row r="44" spans="3:56" s="51" customFormat="1" ht="18" customHeight="1" x14ac:dyDescent="0.15">
      <c r="C44" s="464">
        <v>2420</v>
      </c>
      <c r="D44" s="434"/>
      <c r="E44" s="604"/>
      <c r="F44" s="604"/>
      <c r="G44" s="604"/>
      <c r="H44" s="604"/>
      <c r="I44" s="604"/>
      <c r="J44" s="604"/>
      <c r="K44" s="604"/>
      <c r="L44" s="604"/>
      <c r="M44" s="604"/>
      <c r="N44" s="604"/>
      <c r="O44" s="330"/>
      <c r="P44" s="903" t="s">
        <v>451</v>
      </c>
      <c r="Q44" s="903"/>
      <c r="R44" s="334" t="s">
        <v>117</v>
      </c>
      <c r="S44" s="891"/>
      <c r="T44" s="891"/>
      <c r="U44" s="335" t="s">
        <v>143</v>
      </c>
      <c r="V44" s="336"/>
      <c r="W44" s="892">
        <f t="shared" si="2"/>
        <v>0</v>
      </c>
      <c r="X44" s="892"/>
      <c r="Y44" s="892"/>
      <c r="Z44" s="893"/>
      <c r="AB44" s="888">
        <v>0</v>
      </c>
      <c r="AC44" s="889"/>
      <c r="AD44" s="890"/>
      <c r="AF44" s="888">
        <f t="shared" si="3"/>
        <v>0</v>
      </c>
      <c r="AG44" s="889"/>
      <c r="AH44" s="890"/>
      <c r="AM44" s="415"/>
      <c r="AN44" s="894">
        <f t="shared" si="4"/>
        <v>0</v>
      </c>
      <c r="AO44" s="895"/>
      <c r="AP44" s="896"/>
      <c r="AU44" s="416"/>
      <c r="AV44" s="897">
        <f t="shared" si="5"/>
        <v>0</v>
      </c>
      <c r="AW44" s="898"/>
      <c r="AX44" s="899"/>
    </row>
    <row r="45" spans="3:56" s="51" customFormat="1" ht="18" customHeight="1" x14ac:dyDescent="0.15">
      <c r="C45" s="464">
        <v>2430</v>
      </c>
      <c r="D45" s="434"/>
      <c r="E45" s="604"/>
      <c r="F45" s="604"/>
      <c r="G45" s="604"/>
      <c r="H45" s="604"/>
      <c r="I45" s="604"/>
      <c r="J45" s="604"/>
      <c r="K45" s="604"/>
      <c r="L45" s="604"/>
      <c r="M45" s="604"/>
      <c r="N45" s="604"/>
      <c r="O45" s="330"/>
      <c r="P45" s="903" t="s">
        <v>455</v>
      </c>
      <c r="Q45" s="903"/>
      <c r="R45" s="334" t="s">
        <v>117</v>
      </c>
      <c r="S45" s="891"/>
      <c r="T45" s="891"/>
      <c r="U45" s="335" t="s">
        <v>143</v>
      </c>
      <c r="V45" s="336"/>
      <c r="W45" s="892">
        <f t="shared" si="2"/>
        <v>0</v>
      </c>
      <c r="X45" s="892"/>
      <c r="Y45" s="892"/>
      <c r="Z45" s="893"/>
      <c r="AB45" s="888">
        <v>0</v>
      </c>
      <c r="AC45" s="889"/>
      <c r="AD45" s="890"/>
      <c r="AF45" s="888">
        <f t="shared" si="3"/>
        <v>0</v>
      </c>
      <c r="AG45" s="889"/>
      <c r="AH45" s="890"/>
      <c r="AM45" s="415"/>
      <c r="AN45" s="894">
        <f t="shared" si="4"/>
        <v>0</v>
      </c>
      <c r="AO45" s="895"/>
      <c r="AP45" s="896"/>
      <c r="AU45" s="416"/>
      <c r="AV45" s="897">
        <f t="shared" si="5"/>
        <v>0</v>
      </c>
      <c r="AW45" s="898"/>
      <c r="AX45" s="899"/>
    </row>
    <row r="46" spans="3:56" s="51" customFormat="1" ht="18" customHeight="1" x14ac:dyDescent="0.15">
      <c r="C46" s="464">
        <v>2440</v>
      </c>
      <c r="D46" s="434"/>
      <c r="E46" s="604"/>
      <c r="F46" s="604"/>
      <c r="G46" s="604"/>
      <c r="H46" s="604"/>
      <c r="I46" s="604"/>
      <c r="J46" s="604"/>
      <c r="K46" s="604"/>
      <c r="L46" s="604"/>
      <c r="M46" s="604"/>
      <c r="N46" s="604"/>
      <c r="O46" s="330"/>
      <c r="P46" s="903" t="s">
        <v>451</v>
      </c>
      <c r="Q46" s="903"/>
      <c r="R46" s="334" t="s">
        <v>117</v>
      </c>
      <c r="S46" s="891"/>
      <c r="T46" s="891"/>
      <c r="U46" s="335" t="s">
        <v>143</v>
      </c>
      <c r="V46" s="336"/>
      <c r="W46" s="892">
        <f t="shared" si="2"/>
        <v>0</v>
      </c>
      <c r="X46" s="892"/>
      <c r="Y46" s="892"/>
      <c r="Z46" s="893"/>
      <c r="AB46" s="888">
        <v>0</v>
      </c>
      <c r="AC46" s="889"/>
      <c r="AD46" s="890"/>
      <c r="AF46" s="888">
        <f t="shared" si="3"/>
        <v>0</v>
      </c>
      <c r="AG46" s="889"/>
      <c r="AH46" s="890"/>
      <c r="AM46" s="415"/>
      <c r="AN46" s="894">
        <f t="shared" si="4"/>
        <v>0</v>
      </c>
      <c r="AO46" s="895"/>
      <c r="AP46" s="896"/>
      <c r="AU46" s="416"/>
      <c r="AV46" s="897">
        <f t="shared" si="5"/>
        <v>0</v>
      </c>
      <c r="AW46" s="898"/>
      <c r="AX46" s="899"/>
    </row>
    <row r="47" spans="3:56" s="51" customFormat="1" ht="18" customHeight="1" x14ac:dyDescent="0.15">
      <c r="C47" s="464">
        <v>2450</v>
      </c>
      <c r="D47" s="434"/>
      <c r="E47" s="604"/>
      <c r="F47" s="604"/>
      <c r="G47" s="604"/>
      <c r="H47" s="604"/>
      <c r="I47" s="604"/>
      <c r="J47" s="604"/>
      <c r="K47" s="604"/>
      <c r="L47" s="604"/>
      <c r="M47" s="604"/>
      <c r="N47" s="604"/>
      <c r="O47" s="330"/>
      <c r="P47" s="903" t="s">
        <v>451</v>
      </c>
      <c r="Q47" s="903"/>
      <c r="R47" s="334" t="s">
        <v>117</v>
      </c>
      <c r="S47" s="891"/>
      <c r="T47" s="891"/>
      <c r="U47" s="335" t="s">
        <v>143</v>
      </c>
      <c r="V47" s="336"/>
      <c r="W47" s="892">
        <f t="shared" si="2"/>
        <v>0</v>
      </c>
      <c r="X47" s="892"/>
      <c r="Y47" s="892"/>
      <c r="Z47" s="893"/>
      <c r="AB47" s="888">
        <v>0</v>
      </c>
      <c r="AC47" s="889"/>
      <c r="AD47" s="890"/>
      <c r="AF47" s="888">
        <f t="shared" si="3"/>
        <v>0</v>
      </c>
      <c r="AG47" s="889"/>
      <c r="AH47" s="890"/>
      <c r="AM47" s="415"/>
      <c r="AN47" s="894">
        <f t="shared" si="4"/>
        <v>0</v>
      </c>
      <c r="AO47" s="895"/>
      <c r="AP47" s="896"/>
      <c r="AU47" s="416"/>
      <c r="AV47" s="897">
        <f t="shared" si="5"/>
        <v>0</v>
      </c>
      <c r="AW47" s="898"/>
      <c r="AX47" s="899"/>
    </row>
    <row r="48" spans="3:56" s="51" customFormat="1" ht="18" customHeight="1" x14ac:dyDescent="0.15">
      <c r="C48" s="464">
        <v>2460</v>
      </c>
      <c r="D48" s="434"/>
      <c r="E48" s="604"/>
      <c r="F48" s="604"/>
      <c r="G48" s="604"/>
      <c r="H48" s="604"/>
      <c r="I48" s="604"/>
      <c r="J48" s="604"/>
      <c r="K48" s="604"/>
      <c r="L48" s="604"/>
      <c r="M48" s="604"/>
      <c r="N48" s="604"/>
      <c r="O48" s="330"/>
      <c r="P48" s="903"/>
      <c r="Q48" s="903"/>
      <c r="R48" s="334" t="s">
        <v>117</v>
      </c>
      <c r="S48" s="891"/>
      <c r="T48" s="891"/>
      <c r="U48" s="335" t="s">
        <v>143</v>
      </c>
      <c r="V48" s="336"/>
      <c r="W48" s="892">
        <f t="shared" si="2"/>
        <v>0</v>
      </c>
      <c r="X48" s="892"/>
      <c r="Y48" s="892"/>
      <c r="Z48" s="893"/>
      <c r="AB48" s="888">
        <v>0</v>
      </c>
      <c r="AC48" s="889"/>
      <c r="AD48" s="890"/>
      <c r="AF48" s="888">
        <f t="shared" si="3"/>
        <v>0</v>
      </c>
      <c r="AG48" s="889"/>
      <c r="AH48" s="890"/>
      <c r="AM48" s="415"/>
      <c r="AN48" s="894">
        <f t="shared" si="4"/>
        <v>0</v>
      </c>
      <c r="AO48" s="895"/>
      <c r="AP48" s="896"/>
      <c r="AU48" s="416"/>
      <c r="AV48" s="897">
        <f t="shared" si="5"/>
        <v>0</v>
      </c>
      <c r="AW48" s="898"/>
      <c r="AX48" s="899"/>
    </row>
    <row r="49" spans="3:56" s="51" customFormat="1" ht="18" customHeight="1" x14ac:dyDescent="0.15">
      <c r="C49" s="464">
        <v>2470</v>
      </c>
      <c r="D49" s="434"/>
      <c r="E49" s="604"/>
      <c r="F49" s="604"/>
      <c r="G49" s="604"/>
      <c r="H49" s="604"/>
      <c r="I49" s="604"/>
      <c r="J49" s="604"/>
      <c r="K49" s="604"/>
      <c r="L49" s="604"/>
      <c r="M49" s="604"/>
      <c r="N49" s="604"/>
      <c r="O49" s="330"/>
      <c r="P49" s="903"/>
      <c r="Q49" s="903"/>
      <c r="R49" s="334" t="s">
        <v>117</v>
      </c>
      <c r="S49" s="891"/>
      <c r="T49" s="891"/>
      <c r="U49" s="335" t="s">
        <v>143</v>
      </c>
      <c r="V49" s="336"/>
      <c r="W49" s="892">
        <f t="shared" si="2"/>
        <v>0</v>
      </c>
      <c r="X49" s="892"/>
      <c r="Y49" s="892"/>
      <c r="Z49" s="893"/>
      <c r="AB49" s="888">
        <v>0</v>
      </c>
      <c r="AC49" s="889"/>
      <c r="AD49" s="890"/>
      <c r="AF49" s="888">
        <f t="shared" si="3"/>
        <v>0</v>
      </c>
      <c r="AG49" s="889"/>
      <c r="AH49" s="890"/>
      <c r="AM49" s="415"/>
      <c r="AN49" s="894">
        <f t="shared" si="4"/>
        <v>0</v>
      </c>
      <c r="AO49" s="895"/>
      <c r="AP49" s="896"/>
      <c r="AU49" s="416"/>
      <c r="AV49" s="897">
        <f t="shared" si="5"/>
        <v>0</v>
      </c>
      <c r="AW49" s="898"/>
      <c r="AX49" s="899"/>
    </row>
    <row r="50" spans="3:56" s="51" customFormat="1" ht="18" customHeight="1" x14ac:dyDescent="0.15">
      <c r="C50" s="464">
        <v>2480</v>
      </c>
      <c r="D50" s="434"/>
      <c r="E50" s="604"/>
      <c r="F50" s="604"/>
      <c r="G50" s="604"/>
      <c r="H50" s="604"/>
      <c r="I50" s="604"/>
      <c r="J50" s="604"/>
      <c r="K50" s="604"/>
      <c r="L50" s="604"/>
      <c r="M50" s="604"/>
      <c r="N50" s="604"/>
      <c r="O50" s="330"/>
      <c r="P50" s="903"/>
      <c r="Q50" s="903"/>
      <c r="R50" s="334" t="s">
        <v>117</v>
      </c>
      <c r="S50" s="891"/>
      <c r="T50" s="891"/>
      <c r="U50" s="335" t="s">
        <v>143</v>
      </c>
      <c r="V50" s="336"/>
      <c r="W50" s="892">
        <f t="shared" si="2"/>
        <v>0</v>
      </c>
      <c r="X50" s="892"/>
      <c r="Y50" s="892"/>
      <c r="Z50" s="893"/>
      <c r="AB50" s="888">
        <v>0</v>
      </c>
      <c r="AC50" s="889"/>
      <c r="AD50" s="890"/>
      <c r="AF50" s="888">
        <f t="shared" si="3"/>
        <v>0</v>
      </c>
      <c r="AG50" s="889"/>
      <c r="AH50" s="890"/>
      <c r="AM50" s="415"/>
      <c r="AN50" s="894">
        <f t="shared" si="4"/>
        <v>0</v>
      </c>
      <c r="AO50" s="895"/>
      <c r="AP50" s="896"/>
      <c r="AU50" s="416"/>
      <c r="AV50" s="897">
        <f t="shared" si="5"/>
        <v>0</v>
      </c>
      <c r="AW50" s="898"/>
      <c r="AX50" s="899"/>
    </row>
    <row r="51" spans="3:56" s="51" customFormat="1" ht="18" customHeight="1" x14ac:dyDescent="0.15">
      <c r="C51" s="464">
        <v>2490</v>
      </c>
      <c r="D51" s="434"/>
      <c r="E51" s="604"/>
      <c r="F51" s="604"/>
      <c r="G51" s="604"/>
      <c r="H51" s="604"/>
      <c r="I51" s="604"/>
      <c r="J51" s="604"/>
      <c r="K51" s="604"/>
      <c r="L51" s="604"/>
      <c r="M51" s="604"/>
      <c r="N51" s="604"/>
      <c r="O51" s="330"/>
      <c r="P51" s="903"/>
      <c r="Q51" s="903"/>
      <c r="R51" s="334" t="s">
        <v>117</v>
      </c>
      <c r="S51" s="891"/>
      <c r="T51" s="891"/>
      <c r="U51" s="335" t="s">
        <v>143</v>
      </c>
      <c r="V51" s="336"/>
      <c r="W51" s="892">
        <f t="shared" si="2"/>
        <v>0</v>
      </c>
      <c r="X51" s="892"/>
      <c r="Y51" s="892"/>
      <c r="Z51" s="893"/>
      <c r="AB51" s="888">
        <v>0</v>
      </c>
      <c r="AC51" s="889"/>
      <c r="AD51" s="890"/>
      <c r="AF51" s="888">
        <f t="shared" si="3"/>
        <v>0</v>
      </c>
      <c r="AG51" s="889"/>
      <c r="AH51" s="890"/>
      <c r="AM51" s="415"/>
      <c r="AN51" s="894">
        <f t="shared" si="4"/>
        <v>0</v>
      </c>
      <c r="AO51" s="895"/>
      <c r="AP51" s="896"/>
      <c r="AU51" s="416"/>
      <c r="AV51" s="897">
        <f t="shared" si="5"/>
        <v>0</v>
      </c>
      <c r="AW51" s="898"/>
      <c r="AX51" s="899"/>
    </row>
    <row r="52" spans="3:56" s="51" customFormat="1" ht="18" customHeight="1" x14ac:dyDescent="0.15">
      <c r="C52" s="464">
        <v>2510</v>
      </c>
      <c r="D52" s="434"/>
      <c r="E52" s="604"/>
      <c r="F52" s="604"/>
      <c r="G52" s="604"/>
      <c r="H52" s="604"/>
      <c r="I52" s="604"/>
      <c r="J52" s="604"/>
      <c r="K52" s="604"/>
      <c r="L52" s="604"/>
      <c r="M52" s="604"/>
      <c r="N52" s="604"/>
      <c r="O52" s="330"/>
      <c r="P52" s="903" t="s">
        <v>140</v>
      </c>
      <c r="Q52" s="903"/>
      <c r="R52" s="334" t="s">
        <v>117</v>
      </c>
      <c r="S52" s="891"/>
      <c r="T52" s="891"/>
      <c r="U52" s="335" t="s">
        <v>143</v>
      </c>
      <c r="V52" s="336"/>
      <c r="W52" s="892">
        <f t="shared" si="2"/>
        <v>0</v>
      </c>
      <c r="X52" s="892"/>
      <c r="Y52" s="892"/>
      <c r="Z52" s="893"/>
      <c r="AB52" s="888">
        <v>0</v>
      </c>
      <c r="AC52" s="889"/>
      <c r="AD52" s="890"/>
      <c r="AF52" s="888">
        <f t="shared" si="3"/>
        <v>0</v>
      </c>
      <c r="AG52" s="889"/>
      <c r="AH52" s="890"/>
      <c r="AM52" s="415"/>
      <c r="AN52" s="894">
        <f t="shared" si="4"/>
        <v>0</v>
      </c>
      <c r="AO52" s="895"/>
      <c r="AP52" s="896"/>
      <c r="AU52" s="416"/>
      <c r="AV52" s="897">
        <f t="shared" si="5"/>
        <v>0</v>
      </c>
      <c r="AW52" s="898"/>
      <c r="AX52" s="899"/>
    </row>
    <row r="53" spans="3:56" s="51" customFormat="1" ht="18" customHeight="1" x14ac:dyDescent="0.15">
      <c r="C53" s="464">
        <v>2520</v>
      </c>
      <c r="D53" s="434"/>
      <c r="E53" s="604"/>
      <c r="F53" s="604"/>
      <c r="G53" s="604"/>
      <c r="H53" s="604"/>
      <c r="I53" s="604"/>
      <c r="J53" s="604"/>
      <c r="K53" s="604"/>
      <c r="L53" s="604"/>
      <c r="M53" s="604"/>
      <c r="N53" s="604"/>
      <c r="O53" s="330"/>
      <c r="P53" s="903" t="s">
        <v>116</v>
      </c>
      <c r="Q53" s="903"/>
      <c r="R53" s="334" t="s">
        <v>117</v>
      </c>
      <c r="S53" s="891"/>
      <c r="T53" s="891"/>
      <c r="U53" s="335" t="s">
        <v>143</v>
      </c>
      <c r="V53" s="336"/>
      <c r="W53" s="892">
        <f t="shared" si="2"/>
        <v>0</v>
      </c>
      <c r="X53" s="892"/>
      <c r="Y53" s="892"/>
      <c r="Z53" s="893"/>
      <c r="AB53" s="888">
        <v>0</v>
      </c>
      <c r="AC53" s="889"/>
      <c r="AD53" s="890"/>
      <c r="AF53" s="888">
        <f t="shared" si="3"/>
        <v>0</v>
      </c>
      <c r="AG53" s="889"/>
      <c r="AH53" s="890"/>
      <c r="AM53" s="415"/>
      <c r="AN53" s="894">
        <f t="shared" si="4"/>
        <v>0</v>
      </c>
      <c r="AO53" s="895"/>
      <c r="AP53" s="896"/>
      <c r="AU53" s="416"/>
      <c r="AV53" s="897">
        <f t="shared" si="5"/>
        <v>0</v>
      </c>
      <c r="AW53" s="898"/>
      <c r="AX53" s="899"/>
    </row>
    <row r="54" spans="3:56" s="51" customFormat="1" ht="18" customHeight="1" x14ac:dyDescent="0.15">
      <c r="C54" s="464">
        <v>2530</v>
      </c>
      <c r="D54" s="434"/>
      <c r="E54" s="604"/>
      <c r="F54" s="604"/>
      <c r="G54" s="604"/>
      <c r="H54" s="604"/>
      <c r="I54" s="604"/>
      <c r="J54" s="604"/>
      <c r="K54" s="604"/>
      <c r="L54" s="604"/>
      <c r="M54" s="604"/>
      <c r="N54" s="604"/>
      <c r="O54" s="330"/>
      <c r="P54" s="903" t="s">
        <v>116</v>
      </c>
      <c r="Q54" s="903"/>
      <c r="R54" s="334" t="s">
        <v>117</v>
      </c>
      <c r="S54" s="891"/>
      <c r="T54" s="891"/>
      <c r="U54" s="335" t="s">
        <v>143</v>
      </c>
      <c r="V54" s="336"/>
      <c r="W54" s="892">
        <f t="shared" si="2"/>
        <v>0</v>
      </c>
      <c r="X54" s="892"/>
      <c r="Y54" s="892"/>
      <c r="Z54" s="893"/>
      <c r="AB54" s="888">
        <v>0</v>
      </c>
      <c r="AC54" s="889"/>
      <c r="AD54" s="890"/>
      <c r="AF54" s="888">
        <f t="shared" si="3"/>
        <v>0</v>
      </c>
      <c r="AG54" s="889"/>
      <c r="AH54" s="890"/>
      <c r="AM54" s="415"/>
      <c r="AN54" s="894">
        <f t="shared" si="4"/>
        <v>0</v>
      </c>
      <c r="AO54" s="895"/>
      <c r="AP54" s="896"/>
      <c r="AU54" s="416"/>
      <c r="AV54" s="897">
        <f t="shared" si="5"/>
        <v>0</v>
      </c>
      <c r="AW54" s="898"/>
      <c r="AX54" s="899"/>
    </row>
    <row r="55" spans="3:56" s="51" customFormat="1" ht="18" customHeight="1" x14ac:dyDescent="0.15">
      <c r="C55" s="464">
        <v>2540</v>
      </c>
      <c r="D55" s="434"/>
      <c r="E55" s="604"/>
      <c r="F55" s="604"/>
      <c r="G55" s="604"/>
      <c r="H55" s="604"/>
      <c r="I55" s="604"/>
      <c r="J55" s="604"/>
      <c r="K55" s="604"/>
      <c r="L55" s="604"/>
      <c r="M55" s="604"/>
      <c r="N55" s="604"/>
      <c r="O55" s="330"/>
      <c r="P55" s="903" t="s">
        <v>451</v>
      </c>
      <c r="Q55" s="903"/>
      <c r="R55" s="334" t="s">
        <v>117</v>
      </c>
      <c r="S55" s="891"/>
      <c r="T55" s="891"/>
      <c r="U55" s="335" t="s">
        <v>143</v>
      </c>
      <c r="V55" s="336"/>
      <c r="W55" s="892">
        <f t="shared" si="2"/>
        <v>0</v>
      </c>
      <c r="X55" s="892"/>
      <c r="Y55" s="892"/>
      <c r="Z55" s="893"/>
      <c r="AB55" s="888">
        <v>0</v>
      </c>
      <c r="AC55" s="889"/>
      <c r="AD55" s="890"/>
      <c r="AF55" s="888">
        <f t="shared" si="3"/>
        <v>0</v>
      </c>
      <c r="AG55" s="889"/>
      <c r="AH55" s="890"/>
      <c r="AM55" s="415"/>
      <c r="AN55" s="894">
        <f t="shared" si="4"/>
        <v>0</v>
      </c>
      <c r="AO55" s="895"/>
      <c r="AP55" s="896"/>
      <c r="AU55" s="416"/>
      <c r="AV55" s="897">
        <f t="shared" si="5"/>
        <v>0</v>
      </c>
      <c r="AW55" s="898"/>
      <c r="AX55" s="899"/>
    </row>
    <row r="56" spans="3:56" s="51" customFormat="1" ht="18" customHeight="1" x14ac:dyDescent="0.15">
      <c r="C56" s="464">
        <v>2550</v>
      </c>
      <c r="D56" s="434"/>
      <c r="E56" s="604"/>
      <c r="F56" s="604"/>
      <c r="G56" s="604"/>
      <c r="H56" s="604"/>
      <c r="I56" s="604"/>
      <c r="J56" s="604"/>
      <c r="K56" s="604"/>
      <c r="L56" s="604"/>
      <c r="M56" s="604"/>
      <c r="N56" s="604"/>
      <c r="O56" s="330"/>
      <c r="P56" s="903" t="s">
        <v>451</v>
      </c>
      <c r="Q56" s="903"/>
      <c r="R56" s="334" t="s">
        <v>117</v>
      </c>
      <c r="S56" s="891"/>
      <c r="T56" s="891"/>
      <c r="U56" s="335" t="s">
        <v>143</v>
      </c>
      <c r="V56" s="336"/>
      <c r="W56" s="892">
        <f t="shared" si="2"/>
        <v>0</v>
      </c>
      <c r="X56" s="892"/>
      <c r="Y56" s="892"/>
      <c r="Z56" s="893"/>
      <c r="AB56" s="888">
        <v>0</v>
      </c>
      <c r="AC56" s="889"/>
      <c r="AD56" s="890"/>
      <c r="AF56" s="888">
        <f t="shared" si="3"/>
        <v>0</v>
      </c>
      <c r="AG56" s="889"/>
      <c r="AH56" s="890"/>
      <c r="AM56" s="415"/>
      <c r="AN56" s="894">
        <f t="shared" si="4"/>
        <v>0</v>
      </c>
      <c r="AO56" s="895"/>
      <c r="AP56" s="896"/>
      <c r="AU56" s="416"/>
      <c r="AV56" s="897">
        <f t="shared" si="5"/>
        <v>0</v>
      </c>
      <c r="AW56" s="898"/>
      <c r="AX56" s="899"/>
    </row>
    <row r="57" spans="3:56" s="51" customFormat="1" ht="18" customHeight="1" x14ac:dyDescent="0.15">
      <c r="C57" s="464">
        <v>2560</v>
      </c>
      <c r="D57" s="434"/>
      <c r="E57" s="604"/>
      <c r="F57" s="604"/>
      <c r="G57" s="604"/>
      <c r="H57" s="604"/>
      <c r="I57" s="604"/>
      <c r="J57" s="604"/>
      <c r="K57" s="604"/>
      <c r="L57" s="604"/>
      <c r="M57" s="604"/>
      <c r="N57" s="604"/>
      <c r="O57" s="330"/>
      <c r="P57" s="903" t="s">
        <v>451</v>
      </c>
      <c r="Q57" s="903"/>
      <c r="R57" s="334"/>
      <c r="S57" s="891"/>
      <c r="T57" s="891"/>
      <c r="U57" s="335"/>
      <c r="V57" s="336"/>
      <c r="W57" s="892">
        <f>O57*S57*(IF(ISNUMBER(V57),V57,IF(ISNUMBER(O57),1,0)))</f>
        <v>0</v>
      </c>
      <c r="X57" s="892"/>
      <c r="Y57" s="892"/>
      <c r="Z57" s="893"/>
      <c r="AB57" s="888">
        <v>0</v>
      </c>
      <c r="AC57" s="889"/>
      <c r="AD57" s="890"/>
      <c r="AF57" s="888">
        <f t="shared" si="3"/>
        <v>0</v>
      </c>
      <c r="AG57" s="889"/>
      <c r="AH57" s="890"/>
      <c r="AM57" s="415"/>
      <c r="AN57" s="894">
        <f t="shared" si="4"/>
        <v>0</v>
      </c>
      <c r="AO57" s="895"/>
      <c r="AP57" s="896"/>
      <c r="AU57" s="416"/>
      <c r="AV57" s="897">
        <f t="shared" si="5"/>
        <v>0</v>
      </c>
      <c r="AW57" s="898"/>
      <c r="AX57" s="899"/>
    </row>
    <row r="58" spans="3:56" s="51" customFormat="1" ht="18" customHeight="1" x14ac:dyDescent="0.15">
      <c r="C58" s="464">
        <v>2570</v>
      </c>
      <c r="D58" s="434"/>
      <c r="E58" s="604"/>
      <c r="F58" s="604"/>
      <c r="G58" s="604"/>
      <c r="H58" s="604"/>
      <c r="I58" s="604"/>
      <c r="J58" s="604"/>
      <c r="K58" s="604"/>
      <c r="L58" s="604"/>
      <c r="M58" s="604"/>
      <c r="N58" s="604"/>
      <c r="O58" s="330"/>
      <c r="P58" s="903" t="s">
        <v>451</v>
      </c>
      <c r="Q58" s="903"/>
      <c r="R58" s="334" t="s">
        <v>117</v>
      </c>
      <c r="S58" s="891"/>
      <c r="T58" s="891"/>
      <c r="U58" s="335" t="s">
        <v>143</v>
      </c>
      <c r="V58" s="336"/>
      <c r="W58" s="892">
        <f>O58*S58*(IF(ISNUMBER(V58),V58,IF(ISNUMBER(O58),1,0)))</f>
        <v>0</v>
      </c>
      <c r="X58" s="892"/>
      <c r="Y58" s="892"/>
      <c r="Z58" s="893"/>
      <c r="AB58" s="888">
        <v>0</v>
      </c>
      <c r="AC58" s="889"/>
      <c r="AD58" s="890"/>
      <c r="AF58" s="888">
        <f t="shared" si="3"/>
        <v>0</v>
      </c>
      <c r="AG58" s="889"/>
      <c r="AH58" s="890"/>
      <c r="AM58" s="415"/>
      <c r="AN58" s="894">
        <f t="shared" si="4"/>
        <v>0</v>
      </c>
      <c r="AO58" s="895"/>
      <c r="AP58" s="896"/>
      <c r="AU58" s="416"/>
      <c r="AV58" s="897">
        <f t="shared" si="5"/>
        <v>0</v>
      </c>
      <c r="AW58" s="898"/>
      <c r="AX58" s="899"/>
    </row>
    <row r="59" spans="3:56" s="51" customFormat="1" ht="18" customHeight="1" x14ac:dyDescent="0.15">
      <c r="C59" s="464">
        <v>2580</v>
      </c>
      <c r="D59" s="434"/>
      <c r="E59" s="604"/>
      <c r="F59" s="604"/>
      <c r="G59" s="604"/>
      <c r="H59" s="604"/>
      <c r="I59" s="604"/>
      <c r="J59" s="604"/>
      <c r="K59" s="604"/>
      <c r="L59" s="604"/>
      <c r="M59" s="604"/>
      <c r="N59" s="604"/>
      <c r="O59" s="330"/>
      <c r="P59" s="903" t="s">
        <v>451</v>
      </c>
      <c r="Q59" s="903"/>
      <c r="R59" s="334"/>
      <c r="S59" s="891"/>
      <c r="T59" s="891"/>
      <c r="U59" s="335"/>
      <c r="V59" s="336"/>
      <c r="W59" s="892">
        <f>O59*S59*(IF(ISNUMBER(V59),V59,IF(ISNUMBER(O59),1,0)))</f>
        <v>0</v>
      </c>
      <c r="X59" s="892"/>
      <c r="Y59" s="892"/>
      <c r="Z59" s="893"/>
      <c r="AB59" s="888">
        <v>0</v>
      </c>
      <c r="AC59" s="889"/>
      <c r="AD59" s="890"/>
      <c r="AF59" s="888">
        <f t="shared" si="3"/>
        <v>0</v>
      </c>
      <c r="AG59" s="889"/>
      <c r="AH59" s="890"/>
      <c r="AM59" s="415"/>
      <c r="AN59" s="894">
        <f t="shared" si="4"/>
        <v>0</v>
      </c>
      <c r="AO59" s="895"/>
      <c r="AP59" s="896"/>
      <c r="AU59" s="416"/>
      <c r="AV59" s="897">
        <f t="shared" si="5"/>
        <v>0</v>
      </c>
      <c r="AW59" s="898"/>
      <c r="AX59" s="899"/>
    </row>
    <row r="60" spans="3:56" s="51" customFormat="1" ht="18" customHeight="1" x14ac:dyDescent="0.15">
      <c r="C60" s="464">
        <v>2590</v>
      </c>
      <c r="D60" s="434"/>
      <c r="E60" s="604"/>
      <c r="F60" s="604"/>
      <c r="G60" s="604"/>
      <c r="H60" s="604"/>
      <c r="I60" s="604"/>
      <c r="J60" s="604"/>
      <c r="K60" s="604"/>
      <c r="L60" s="604"/>
      <c r="M60" s="604"/>
      <c r="N60" s="604"/>
      <c r="O60" s="330"/>
      <c r="P60" s="903" t="s">
        <v>116</v>
      </c>
      <c r="Q60" s="903"/>
      <c r="R60" s="334"/>
      <c r="S60" s="891"/>
      <c r="T60" s="891"/>
      <c r="U60" s="335"/>
      <c r="V60" s="336"/>
      <c r="W60" s="892">
        <f>O60*S60*(IF(ISNUMBER(V60),V60,IF(ISNUMBER(O60),1,0)))</f>
        <v>0</v>
      </c>
      <c r="X60" s="892"/>
      <c r="Y60" s="892"/>
      <c r="Z60" s="893"/>
      <c r="AB60" s="888">
        <v>0</v>
      </c>
      <c r="AC60" s="889"/>
      <c r="AD60" s="890"/>
      <c r="AF60" s="888">
        <f t="shared" si="3"/>
        <v>0</v>
      </c>
      <c r="AG60" s="889"/>
      <c r="AH60" s="890"/>
      <c r="AM60" s="415"/>
      <c r="AN60" s="894">
        <f t="shared" si="4"/>
        <v>0</v>
      </c>
      <c r="AO60" s="895"/>
      <c r="AP60" s="896"/>
      <c r="AU60" s="416"/>
      <c r="AV60" s="897">
        <f t="shared" si="5"/>
        <v>0</v>
      </c>
      <c r="AW60" s="898"/>
      <c r="AX60" s="899"/>
    </row>
    <row r="61" spans="3:56" s="322" customFormat="1" ht="18" customHeight="1" x14ac:dyDescent="0.2">
      <c r="O61" s="779" t="s">
        <v>235</v>
      </c>
      <c r="P61" s="779"/>
      <c r="Q61" s="779"/>
      <c r="R61" s="779"/>
      <c r="S61" s="779"/>
      <c r="T61" s="779"/>
      <c r="U61" s="779"/>
      <c r="V61" s="780"/>
      <c r="W61" s="720">
        <f>SUM(W7:Z60)</f>
        <v>0</v>
      </c>
      <c r="X61" s="721"/>
      <c r="Y61" s="721"/>
      <c r="Z61" s="722"/>
      <c r="AB61" s="912">
        <f>SUM(AB7:AD60)</f>
        <v>0</v>
      </c>
      <c r="AC61" s="913"/>
      <c r="AD61" s="914"/>
      <c r="AF61" s="900">
        <f t="shared" ref="AF61" si="6">AB61-W61</f>
        <v>0</v>
      </c>
      <c r="AG61" s="901"/>
      <c r="AH61" s="902"/>
      <c r="AM61" s="278" t="s">
        <v>401</v>
      </c>
      <c r="AN61" s="720">
        <f>SUM(AN7:AP60)</f>
        <v>0</v>
      </c>
      <c r="AO61" s="721"/>
      <c r="AP61" s="722"/>
      <c r="AU61" s="282" t="s">
        <v>402</v>
      </c>
      <c r="AV61" s="720">
        <f>SUM(AV7:AX60)</f>
        <v>0</v>
      </c>
      <c r="AW61" s="721"/>
      <c r="AX61" s="722"/>
      <c r="AY61" s="393"/>
      <c r="AZ61" s="393"/>
    </row>
    <row r="62" spans="3:56" ht="16.25" customHeight="1" x14ac:dyDescent="0.25">
      <c r="U62"/>
      <c r="V62"/>
      <c r="X62"/>
      <c r="BC62" s="8"/>
      <c r="BD62" s="8"/>
    </row>
    <row r="63" spans="3:56" ht="16.25" customHeight="1" x14ac:dyDescent="0.2"/>
  </sheetData>
  <sheetProtection selectLockedCells="1"/>
  <mergeCells count="504">
    <mergeCell ref="AB55:AD55"/>
    <mergeCell ref="AF54:AH54"/>
    <mergeCell ref="AC5:AX5"/>
    <mergeCell ref="AN61:AP61"/>
    <mergeCell ref="AV61:AX61"/>
    <mergeCell ref="AB60:AD60"/>
    <mergeCell ref="AN60:AP60"/>
    <mergeCell ref="AV60:AX60"/>
    <mergeCell ref="AV56:AX56"/>
    <mergeCell ref="AN58:AP58"/>
    <mergeCell ref="AV58:AX58"/>
    <mergeCell ref="AN54:AP54"/>
    <mergeCell ref="AV54:AX54"/>
    <mergeCell ref="AB59:AD59"/>
    <mergeCell ref="AN59:AP59"/>
    <mergeCell ref="AV59:AX59"/>
    <mergeCell ref="AB61:AD61"/>
    <mergeCell ref="AB57:AD57"/>
    <mergeCell ref="AN57:AP57"/>
    <mergeCell ref="AV57:AX57"/>
    <mergeCell ref="AN53:AP53"/>
    <mergeCell ref="AV53:AX53"/>
    <mergeCell ref="AN39:AP39"/>
    <mergeCell ref="AB44:AD44"/>
    <mergeCell ref="AN55:AP55"/>
    <mergeCell ref="AN44:AP44"/>
    <mergeCell ref="AV44:AX44"/>
    <mergeCell ref="AN37:AP37"/>
    <mergeCell ref="AV37:AX37"/>
    <mergeCell ref="AN38:AP38"/>
    <mergeCell ref="AV38:AX38"/>
    <mergeCell ref="AV43:AX43"/>
    <mergeCell ref="AF40:AH40"/>
    <mergeCell ref="AV39:AX39"/>
    <mergeCell ref="AV55:AX55"/>
    <mergeCell ref="AN40:AP40"/>
    <mergeCell ref="AV40:AX40"/>
    <mergeCell ref="AN52:AP52"/>
    <mergeCell ref="AF49:AH49"/>
    <mergeCell ref="AV41:AX41"/>
    <mergeCell ref="AN42:AP42"/>
    <mergeCell ref="AV42:AX42"/>
    <mergeCell ref="AN43:AP43"/>
    <mergeCell ref="AN41:AP41"/>
    <mergeCell ref="AF50:AH50"/>
    <mergeCell ref="AF51:AH51"/>
    <mergeCell ref="AF52:AH52"/>
    <mergeCell ref="AV32:AX32"/>
    <mergeCell ref="AN33:AP33"/>
    <mergeCell ref="AV33:AX33"/>
    <mergeCell ref="AF30:AH30"/>
    <mergeCell ref="AF32:AH32"/>
    <mergeCell ref="AF33:AH33"/>
    <mergeCell ref="AF34:AH34"/>
    <mergeCell ref="AF35:AH35"/>
    <mergeCell ref="AV35:AX35"/>
    <mergeCell ref="AN34:AP34"/>
    <mergeCell ref="AV34:AX34"/>
    <mergeCell ref="AN35:AP35"/>
    <mergeCell ref="AN31:AP31"/>
    <mergeCell ref="AV31:AX31"/>
    <mergeCell ref="AB15:AD15"/>
    <mergeCell ref="AB25:AD25"/>
    <mergeCell ref="AB31:AD31"/>
    <mergeCell ref="S23:T23"/>
    <mergeCell ref="S24:T24"/>
    <mergeCell ref="AN22:AP22"/>
    <mergeCell ref="AN28:AP28"/>
    <mergeCell ref="AV28:AX28"/>
    <mergeCell ref="AN29:AP29"/>
    <mergeCell ref="AV29:AX29"/>
    <mergeCell ref="AN30:AP30"/>
    <mergeCell ref="AV30:AX30"/>
    <mergeCell ref="AB16:AD16"/>
    <mergeCell ref="AB17:AD17"/>
    <mergeCell ref="AB18:AD18"/>
    <mergeCell ref="AB21:AD21"/>
    <mergeCell ref="AB22:AD22"/>
    <mergeCell ref="AB23:AD23"/>
    <mergeCell ref="AB24:AD24"/>
    <mergeCell ref="AB20:AD20"/>
    <mergeCell ref="AB29:AD29"/>
    <mergeCell ref="W25:Z25"/>
    <mergeCell ref="S26:T26"/>
    <mergeCell ref="W26:Z26"/>
    <mergeCell ref="O6:Q6"/>
    <mergeCell ref="AB6:AD6"/>
    <mergeCell ref="AB7:AD7"/>
    <mergeCell ref="AB8:AD8"/>
    <mergeCell ref="AB9:AD9"/>
    <mergeCell ref="AB10:AD10"/>
    <mergeCell ref="AB11:AD11"/>
    <mergeCell ref="AB12:AD12"/>
    <mergeCell ref="AB13:AD13"/>
    <mergeCell ref="P7:Q7"/>
    <mergeCell ref="S7:T7"/>
    <mergeCell ref="W7:Z7"/>
    <mergeCell ref="P8:Q8"/>
    <mergeCell ref="S8:T8"/>
    <mergeCell ref="W8:Z8"/>
    <mergeCell ref="P9:Q9"/>
    <mergeCell ref="S9:T9"/>
    <mergeCell ref="W9:Z9"/>
    <mergeCell ref="P10:Q10"/>
    <mergeCell ref="S10:T10"/>
    <mergeCell ref="W10:Z10"/>
    <mergeCell ref="P11:Q11"/>
    <mergeCell ref="S11:T11"/>
    <mergeCell ref="W11:Z11"/>
    <mergeCell ref="E7:N7"/>
    <mergeCell ref="E8:N8"/>
    <mergeCell ref="E9:N9"/>
    <mergeCell ref="E10:N10"/>
    <mergeCell ref="E11:N11"/>
    <mergeCell ref="E12:N12"/>
    <mergeCell ref="E13:N13"/>
    <mergeCell ref="E14:N14"/>
    <mergeCell ref="E21:N21"/>
    <mergeCell ref="AV14:AX14"/>
    <mergeCell ref="AV26:AX26"/>
    <mergeCell ref="AN27:AP27"/>
    <mergeCell ref="AV27:AX27"/>
    <mergeCell ref="AV15:AX15"/>
    <mergeCell ref="AV22:AX22"/>
    <mergeCell ref="AN17:AP17"/>
    <mergeCell ref="AN18:AP18"/>
    <mergeCell ref="AV17:AX17"/>
    <mergeCell ref="AV18:AX18"/>
    <mergeCell ref="AV19:AX19"/>
    <mergeCell ref="AN16:AP16"/>
    <mergeCell ref="AV16:AX16"/>
    <mergeCell ref="AV24:AX24"/>
    <mergeCell ref="AN23:AP23"/>
    <mergeCell ref="AV23:AX23"/>
    <mergeCell ref="AN20:AP20"/>
    <mergeCell ref="AV20:AX20"/>
    <mergeCell ref="AN21:AP21"/>
    <mergeCell ref="AV21:AX21"/>
    <mergeCell ref="AN25:AP25"/>
    <mergeCell ref="AV25:AX25"/>
    <mergeCell ref="AN26:AP26"/>
    <mergeCell ref="AN24:AP24"/>
    <mergeCell ref="AV36:AX36"/>
    <mergeCell ref="AN56:AP56"/>
    <mergeCell ref="E19:N19"/>
    <mergeCell ref="E20:N20"/>
    <mergeCell ref="AN15:AP15"/>
    <mergeCell ref="AB56:AD56"/>
    <mergeCell ref="AB51:AD51"/>
    <mergeCell ref="AF20:AH20"/>
    <mergeCell ref="AF21:AH21"/>
    <mergeCell ref="AF22:AH22"/>
    <mergeCell ref="W17:Z17"/>
    <mergeCell ref="P18:Q18"/>
    <mergeCell ref="S18:T18"/>
    <mergeCell ref="W18:Z18"/>
    <mergeCell ref="P19:Q19"/>
    <mergeCell ref="S19:T19"/>
    <mergeCell ref="W19:Z19"/>
    <mergeCell ref="P20:Q20"/>
    <mergeCell ref="S20:T20"/>
    <mergeCell ref="W20:Z20"/>
    <mergeCell ref="S53:T53"/>
    <mergeCell ref="W53:Z53"/>
    <mergeCell ref="S25:T25"/>
    <mergeCell ref="AB40:AD40"/>
    <mergeCell ref="AV13:AX13"/>
    <mergeCell ref="AN14:AP14"/>
    <mergeCell ref="AN19:AP19"/>
    <mergeCell ref="W23:Z23"/>
    <mergeCell ref="E35:N35"/>
    <mergeCell ref="E37:N37"/>
    <mergeCell ref="W24:Z24"/>
    <mergeCell ref="P28:Q28"/>
    <mergeCell ref="S28:T28"/>
    <mergeCell ref="W28:Z28"/>
    <mergeCell ref="P29:Q29"/>
    <mergeCell ref="S29:T29"/>
    <mergeCell ref="W29:Z29"/>
    <mergeCell ref="P30:Q30"/>
    <mergeCell ref="E17:N17"/>
    <mergeCell ref="E18:N18"/>
    <mergeCell ref="E25:N25"/>
    <mergeCell ref="AB26:AD26"/>
    <mergeCell ref="AB27:AD27"/>
    <mergeCell ref="AB28:AD28"/>
    <mergeCell ref="AF17:AH17"/>
    <mergeCell ref="AF18:AH18"/>
    <mergeCell ref="AF19:AH19"/>
    <mergeCell ref="AF15:AH15"/>
    <mergeCell ref="AR7:AT7"/>
    <mergeCell ref="AN7:AP7"/>
    <mergeCell ref="AV7:AX7"/>
    <mergeCell ref="AN8:AP8"/>
    <mergeCell ref="AV8:AX8"/>
    <mergeCell ref="AV10:AX10"/>
    <mergeCell ref="AN11:AP11"/>
    <mergeCell ref="AV11:AX11"/>
    <mergeCell ref="AN12:AP12"/>
    <mergeCell ref="AV12:AX12"/>
    <mergeCell ref="AN10:AP10"/>
    <mergeCell ref="AV9:AX9"/>
    <mergeCell ref="AN36:AP36"/>
    <mergeCell ref="AB34:AD34"/>
    <mergeCell ref="E29:N29"/>
    <mergeCell ref="E30:N30"/>
    <mergeCell ref="E22:N22"/>
    <mergeCell ref="E23:N23"/>
    <mergeCell ref="E24:N24"/>
    <mergeCell ref="E26:N26"/>
    <mergeCell ref="E27:N27"/>
    <mergeCell ref="P23:Q23"/>
    <mergeCell ref="P25:Q25"/>
    <mergeCell ref="P24:Q24"/>
    <mergeCell ref="P27:Q27"/>
    <mergeCell ref="P26:Q26"/>
    <mergeCell ref="AN32:AP32"/>
    <mergeCell ref="E28:N28"/>
    <mergeCell ref="AN13:AP13"/>
    <mergeCell ref="AF7:AH7"/>
    <mergeCell ref="AF8:AH8"/>
    <mergeCell ref="AF9:AH9"/>
    <mergeCell ref="AF10:AH10"/>
    <mergeCell ref="AF11:AH11"/>
    <mergeCell ref="AF12:AH12"/>
    <mergeCell ref="AF13:AH13"/>
    <mergeCell ref="AJ7:AL7"/>
    <mergeCell ref="C23:D23"/>
    <mergeCell ref="C32:D32"/>
    <mergeCell ref="C25:D25"/>
    <mergeCell ref="C34:D34"/>
    <mergeCell ref="C31:D31"/>
    <mergeCell ref="C36:D36"/>
    <mergeCell ref="AB38:AD38"/>
    <mergeCell ref="P38:Q38"/>
    <mergeCell ref="S38:T38"/>
    <mergeCell ref="W38:Z38"/>
    <mergeCell ref="AB30:AD30"/>
    <mergeCell ref="AB33:AD33"/>
    <mergeCell ref="AB35:AD35"/>
    <mergeCell ref="AB37:AD37"/>
    <mergeCell ref="AB32:AD32"/>
    <mergeCell ref="P34:Q34"/>
    <mergeCell ref="S34:T34"/>
    <mergeCell ref="W34:Z34"/>
    <mergeCell ref="E34:N34"/>
    <mergeCell ref="W52:Z52"/>
    <mergeCell ref="AB58:AD58"/>
    <mergeCell ref="AB54:AD54"/>
    <mergeCell ref="C28:D28"/>
    <mergeCell ref="C42:D42"/>
    <mergeCell ref="C41:D41"/>
    <mergeCell ref="C29:D29"/>
    <mergeCell ref="C27:D27"/>
    <mergeCell ref="C26:D26"/>
    <mergeCell ref="P39:Q39"/>
    <mergeCell ref="S39:T39"/>
    <mergeCell ref="W39:Z39"/>
    <mergeCell ref="P42:Q42"/>
    <mergeCell ref="C44:D44"/>
    <mergeCell ref="E44:N44"/>
    <mergeCell ref="AB39:AD39"/>
    <mergeCell ref="AB43:AD43"/>
    <mergeCell ref="AB41:AD41"/>
    <mergeCell ref="AB42:AD42"/>
    <mergeCell ref="AB53:AD53"/>
    <mergeCell ref="AB52:AD52"/>
    <mergeCell ref="AB49:AD49"/>
    <mergeCell ref="AB50:AD50"/>
    <mergeCell ref="AB45:AD45"/>
    <mergeCell ref="C54:D54"/>
    <mergeCell ref="E54:N54"/>
    <mergeCell ref="P54:Q54"/>
    <mergeCell ref="S54:T54"/>
    <mergeCell ref="W54:Z54"/>
    <mergeCell ref="P49:Q49"/>
    <mergeCell ref="P50:Q50"/>
    <mergeCell ref="C56:D56"/>
    <mergeCell ref="E56:N56"/>
    <mergeCell ref="P56:Q56"/>
    <mergeCell ref="E51:N51"/>
    <mergeCell ref="P52:Q52"/>
    <mergeCell ref="W55:Z55"/>
    <mergeCell ref="C52:D52"/>
    <mergeCell ref="E52:N52"/>
    <mergeCell ref="C49:D49"/>
    <mergeCell ref="E49:N49"/>
    <mergeCell ref="C50:D50"/>
    <mergeCell ref="E50:N50"/>
    <mergeCell ref="S56:T56"/>
    <mergeCell ref="W56:Z56"/>
    <mergeCell ref="W51:Z51"/>
    <mergeCell ref="S52:T52"/>
    <mergeCell ref="W50:Z50"/>
    <mergeCell ref="C53:D53"/>
    <mergeCell ref="E53:N53"/>
    <mergeCell ref="P53:Q53"/>
    <mergeCell ref="C7:D7"/>
    <mergeCell ref="C8:D8"/>
    <mergeCell ref="C20:D20"/>
    <mergeCell ref="C9:D9"/>
    <mergeCell ref="C18:D18"/>
    <mergeCell ref="C17:D17"/>
    <mergeCell ref="C11:D11"/>
    <mergeCell ref="C10:D10"/>
    <mergeCell ref="C14:D14"/>
    <mergeCell ref="C13:D13"/>
    <mergeCell ref="C12:D12"/>
    <mergeCell ref="C16:D16"/>
    <mergeCell ref="C22:D22"/>
    <mergeCell ref="C19:D19"/>
    <mergeCell ref="C21:D21"/>
    <mergeCell ref="C15:D15"/>
    <mergeCell ref="E15:N15"/>
    <mergeCell ref="E16:N16"/>
    <mergeCell ref="C30:D30"/>
    <mergeCell ref="C33:D33"/>
    <mergeCell ref="C24:D24"/>
    <mergeCell ref="AB14:AD14"/>
    <mergeCell ref="AB19:AD19"/>
    <mergeCell ref="AF36:AH36"/>
    <mergeCell ref="AF37:AH37"/>
    <mergeCell ref="AF38:AH38"/>
    <mergeCell ref="AF39:AH39"/>
    <mergeCell ref="AF31:AH31"/>
    <mergeCell ref="P14:Q14"/>
    <mergeCell ref="S14:T14"/>
    <mergeCell ref="W14:Z14"/>
    <mergeCell ref="P15:Q15"/>
    <mergeCell ref="S15:T15"/>
    <mergeCell ref="W15:Z15"/>
    <mergeCell ref="P16:Q16"/>
    <mergeCell ref="S16:T16"/>
    <mergeCell ref="W16:Z16"/>
    <mergeCell ref="P17:Q17"/>
    <mergeCell ref="S17:T17"/>
    <mergeCell ref="P21:Q21"/>
    <mergeCell ref="S21:T21"/>
    <mergeCell ref="W21:Z21"/>
    <mergeCell ref="P22:Q22"/>
    <mergeCell ref="S22:T22"/>
    <mergeCell ref="W22:Z22"/>
    <mergeCell ref="W48:Z48"/>
    <mergeCell ref="E40:N40"/>
    <mergeCell ref="W41:Z41"/>
    <mergeCell ref="S42:T42"/>
    <mergeCell ref="W42:Z42"/>
    <mergeCell ref="E41:N41"/>
    <mergeCell ref="P35:Q35"/>
    <mergeCell ref="S35:T35"/>
    <mergeCell ref="W35:Z35"/>
    <mergeCell ref="W40:Z40"/>
    <mergeCell ref="E42:N42"/>
    <mergeCell ref="P40:Q40"/>
    <mergeCell ref="S40:T40"/>
    <mergeCell ref="W45:Z45"/>
    <mergeCell ref="P37:Q37"/>
    <mergeCell ref="S37:T37"/>
    <mergeCell ref="W37:Z37"/>
    <mergeCell ref="E38:N38"/>
    <mergeCell ref="W47:Z47"/>
    <mergeCell ref="P36:Q36"/>
    <mergeCell ref="S36:T36"/>
    <mergeCell ref="W36:Z36"/>
    <mergeCell ref="W46:Z46"/>
    <mergeCell ref="S41:T41"/>
    <mergeCell ref="C60:D60"/>
    <mergeCell ref="E60:N60"/>
    <mergeCell ref="P60:Q60"/>
    <mergeCell ref="S60:T60"/>
    <mergeCell ref="W60:Z60"/>
    <mergeCell ref="C57:D57"/>
    <mergeCell ref="E57:N57"/>
    <mergeCell ref="P57:Q57"/>
    <mergeCell ref="S57:T57"/>
    <mergeCell ref="W57:Z57"/>
    <mergeCell ref="C58:D58"/>
    <mergeCell ref="E58:N58"/>
    <mergeCell ref="P58:Q58"/>
    <mergeCell ref="S58:T58"/>
    <mergeCell ref="W58:Z58"/>
    <mergeCell ref="C59:D59"/>
    <mergeCell ref="E59:N59"/>
    <mergeCell ref="P59:Q59"/>
    <mergeCell ref="S59:T59"/>
    <mergeCell ref="W59:Z59"/>
    <mergeCell ref="C39:D39"/>
    <mergeCell ref="E39:N39"/>
    <mergeCell ref="C38:D38"/>
    <mergeCell ref="E31:N31"/>
    <mergeCell ref="P31:Q31"/>
    <mergeCell ref="S31:T31"/>
    <mergeCell ref="W31:Z31"/>
    <mergeCell ref="P32:Q32"/>
    <mergeCell ref="S32:T32"/>
    <mergeCell ref="W32:Z32"/>
    <mergeCell ref="E32:N32"/>
    <mergeCell ref="E36:N36"/>
    <mergeCell ref="P33:Q33"/>
    <mergeCell ref="S33:T33"/>
    <mergeCell ref="W33:Z33"/>
    <mergeCell ref="E33:N33"/>
    <mergeCell ref="C35:D35"/>
    <mergeCell ref="C37:D37"/>
    <mergeCell ref="C55:D55"/>
    <mergeCell ref="E55:N55"/>
    <mergeCell ref="P55:Q55"/>
    <mergeCell ref="S55:T55"/>
    <mergeCell ref="AF58:AH58"/>
    <mergeCell ref="P12:Q12"/>
    <mergeCell ref="S12:T12"/>
    <mergeCell ref="W12:Z12"/>
    <mergeCell ref="P13:Q13"/>
    <mergeCell ref="S13:T13"/>
    <mergeCell ref="W13:Z13"/>
    <mergeCell ref="C45:D45"/>
    <mergeCell ref="E45:N45"/>
    <mergeCell ref="C47:D47"/>
    <mergeCell ref="E47:N47"/>
    <mergeCell ref="P43:Q43"/>
    <mergeCell ref="S43:T43"/>
    <mergeCell ref="W43:Z43"/>
    <mergeCell ref="P44:Q44"/>
    <mergeCell ref="S44:T44"/>
    <mergeCell ref="W44:Z44"/>
    <mergeCell ref="P45:Q45"/>
    <mergeCell ref="C40:D40"/>
    <mergeCell ref="AF45:AH45"/>
    <mergeCell ref="AB46:AD46"/>
    <mergeCell ref="AF46:AH46"/>
    <mergeCell ref="AB47:AD47"/>
    <mergeCell ref="AF47:AH47"/>
    <mergeCell ref="AB48:AD48"/>
    <mergeCell ref="AF48:AH48"/>
    <mergeCell ref="AF41:AH41"/>
    <mergeCell ref="AF42:AH42"/>
    <mergeCell ref="AF43:AH43"/>
    <mergeCell ref="AF44:AH44"/>
    <mergeCell ref="C48:D48"/>
    <mergeCell ref="E48:N48"/>
    <mergeCell ref="P41:Q41"/>
    <mergeCell ref="C51:D51"/>
    <mergeCell ref="S51:T51"/>
    <mergeCell ref="C46:D46"/>
    <mergeCell ref="E46:N46"/>
    <mergeCell ref="P46:Q46"/>
    <mergeCell ref="S46:T46"/>
    <mergeCell ref="S49:T49"/>
    <mergeCell ref="P51:Q51"/>
    <mergeCell ref="S50:T50"/>
    <mergeCell ref="C43:D43"/>
    <mergeCell ref="P48:Q48"/>
    <mergeCell ref="S48:T48"/>
    <mergeCell ref="E43:N43"/>
    <mergeCell ref="S45:T45"/>
    <mergeCell ref="P47:Q47"/>
    <mergeCell ref="W61:Z61"/>
    <mergeCell ref="AV45:AX45"/>
    <mergeCell ref="AV46:AX46"/>
    <mergeCell ref="AV47:AX47"/>
    <mergeCell ref="AV48:AX48"/>
    <mergeCell ref="AV49:AX49"/>
    <mergeCell ref="AV50:AX50"/>
    <mergeCell ref="AV51:AX51"/>
    <mergeCell ref="AV52:AX52"/>
    <mergeCell ref="AN45:AP45"/>
    <mergeCell ref="AN46:AP46"/>
    <mergeCell ref="AN47:AP47"/>
    <mergeCell ref="AN48:AP48"/>
    <mergeCell ref="AN49:AP49"/>
    <mergeCell ref="AN50:AP50"/>
    <mergeCell ref="AN51:AP51"/>
    <mergeCell ref="AF59:AH59"/>
    <mergeCell ref="AF60:AH60"/>
    <mergeCell ref="AF61:AH61"/>
    <mergeCell ref="AF53:AH53"/>
    <mergeCell ref="AF55:AH55"/>
    <mergeCell ref="AF56:AH56"/>
    <mergeCell ref="AF57:AH57"/>
    <mergeCell ref="W49:Z49"/>
    <mergeCell ref="O61:V61"/>
    <mergeCell ref="AV6:AX6"/>
    <mergeCell ref="AR6:AT6"/>
    <mergeCell ref="AN6:AP6"/>
    <mergeCell ref="AJ6:AL6"/>
    <mergeCell ref="AF6:AH6"/>
    <mergeCell ref="X6:Z6"/>
    <mergeCell ref="R6:S6"/>
    <mergeCell ref="AB36:AD36"/>
    <mergeCell ref="S47:T47"/>
    <mergeCell ref="AF23:AH23"/>
    <mergeCell ref="AF24:AH24"/>
    <mergeCell ref="AF26:AH26"/>
    <mergeCell ref="AF27:AH27"/>
    <mergeCell ref="AF28:AH28"/>
    <mergeCell ref="AF29:AH29"/>
    <mergeCell ref="AF25:AH25"/>
    <mergeCell ref="AF14:AH14"/>
    <mergeCell ref="AF16:AH16"/>
    <mergeCell ref="S27:T27"/>
    <mergeCell ref="W27:Z27"/>
    <mergeCell ref="S30:T30"/>
    <mergeCell ref="W30:Z30"/>
    <mergeCell ref="AN9:AP9"/>
  </mergeCells>
  <pageMargins left="0.7" right="0.7" top="0.75" bottom="0.75" header="0.3" footer="0.3"/>
  <pageSetup scale="70"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608972-0A2A-403B-9DC7-50ED996C75E4}">
  <sheetPr codeName="Sheet22">
    <pageSetUpPr fitToPage="1"/>
  </sheetPr>
  <dimension ref="C3:BL63"/>
  <sheetViews>
    <sheetView zoomScale="110" zoomScaleNormal="110" workbookViewId="0">
      <selection activeCell="C7" sqref="C7:D7"/>
    </sheetView>
  </sheetViews>
  <sheetFormatPr baseColWidth="10" defaultColWidth="11" defaultRowHeight="16" x14ac:dyDescent="0.2"/>
  <cols>
    <col min="1" max="17" width="4.6640625" customWidth="1"/>
    <col min="18" max="18" width="4.6640625" style="37" customWidth="1"/>
    <col min="19" max="19" width="4.6640625" style="270" customWidth="1"/>
    <col min="20" max="20" width="4.6640625" style="75" customWidth="1"/>
    <col min="21" max="21" width="4.6640625" style="70" customWidth="1"/>
    <col min="22" max="22" width="4.6640625" style="45" customWidth="1"/>
    <col min="23" max="23" width="4.6640625" customWidth="1"/>
    <col min="24" max="24" width="4.6640625" style="20" customWidth="1"/>
    <col min="25" max="49" width="4.6640625" customWidth="1"/>
    <col min="50" max="52" width="4.6640625" style="38" customWidth="1"/>
    <col min="53" max="91" width="4.6640625" customWidth="1"/>
  </cols>
  <sheetData>
    <row r="3" spans="3:52" ht="16.25" customHeight="1" x14ac:dyDescent="0.2">
      <c r="U3" s="37"/>
      <c r="V3"/>
      <c r="X3"/>
      <c r="AX3"/>
      <c r="AY3"/>
      <c r="AZ3"/>
    </row>
    <row r="4" spans="3:52" ht="16.25" customHeight="1" x14ac:dyDescent="0.2">
      <c r="U4" s="37"/>
      <c r="V4"/>
      <c r="X4"/>
    </row>
    <row r="5" spans="3:52" s="323" customFormat="1" ht="20" customHeight="1" x14ac:dyDescent="0.2">
      <c r="C5" s="4" t="s">
        <v>199</v>
      </c>
      <c r="D5" s="5" t="s">
        <v>473</v>
      </c>
      <c r="E5" s="5"/>
      <c r="F5" s="5"/>
      <c r="G5" s="5"/>
      <c r="H5" s="5"/>
      <c r="I5" s="5"/>
      <c r="J5" s="5"/>
      <c r="K5" s="5"/>
      <c r="L5" s="5"/>
      <c r="M5" s="5"/>
      <c r="N5" s="5"/>
      <c r="O5" s="5"/>
      <c r="P5" s="5"/>
      <c r="Q5" s="5"/>
      <c r="R5" s="40"/>
      <c r="S5" s="271"/>
      <c r="T5" s="272"/>
      <c r="U5" s="40"/>
      <c r="V5" s="5"/>
      <c r="W5" s="5"/>
      <c r="X5" s="5"/>
      <c r="Y5" s="5"/>
      <c r="Z5" s="69"/>
      <c r="AB5" s="923"/>
      <c r="AC5" s="911"/>
      <c r="AD5" s="911"/>
      <c r="AE5" s="911"/>
      <c r="AF5" s="911"/>
      <c r="AG5" s="911"/>
      <c r="AH5" s="911"/>
      <c r="AI5" s="911"/>
      <c r="AJ5" s="911"/>
      <c r="AK5" s="911"/>
      <c r="AL5" s="911"/>
      <c r="AM5" s="911"/>
      <c r="AN5" s="911"/>
      <c r="AO5" s="911"/>
      <c r="AP5" s="911"/>
      <c r="AQ5" s="911"/>
      <c r="AR5" s="911"/>
      <c r="AS5" s="911"/>
      <c r="AT5" s="911"/>
      <c r="AU5" s="911"/>
      <c r="AV5" s="911"/>
      <c r="AW5" s="911"/>
      <c r="AX5" s="911"/>
      <c r="AY5" s="358"/>
      <c r="AZ5" s="358"/>
    </row>
    <row r="6" spans="3:52" s="110" customFormat="1" ht="16.25" customHeight="1" x14ac:dyDescent="0.15">
      <c r="C6" s="128"/>
      <c r="D6" s="116"/>
      <c r="E6" s="116" t="s">
        <v>384</v>
      </c>
      <c r="F6" s="116"/>
      <c r="G6" s="116"/>
      <c r="H6" s="116"/>
      <c r="I6" s="116"/>
      <c r="J6" s="116"/>
      <c r="K6" s="116"/>
      <c r="L6" s="116"/>
      <c r="M6" s="116"/>
      <c r="N6" s="116"/>
      <c r="O6" s="910" t="s">
        <v>375</v>
      </c>
      <c r="P6" s="910"/>
      <c r="Q6" s="119"/>
      <c r="R6" s="887" t="s">
        <v>220</v>
      </c>
      <c r="S6" s="887"/>
      <c r="T6" s="273"/>
      <c r="U6" s="118" t="s">
        <v>400</v>
      </c>
      <c r="V6" s="119"/>
      <c r="W6" s="120"/>
      <c r="X6" s="885" t="s">
        <v>370</v>
      </c>
      <c r="Y6" s="885"/>
      <c r="Z6" s="886"/>
      <c r="AB6" s="884" t="s">
        <v>363</v>
      </c>
      <c r="AC6" s="885"/>
      <c r="AD6" s="886"/>
      <c r="AF6" s="884" t="s">
        <v>447</v>
      </c>
      <c r="AG6" s="885"/>
      <c r="AH6" s="886"/>
      <c r="AJ6" s="919" t="s">
        <v>295</v>
      </c>
      <c r="AK6" s="919"/>
      <c r="AL6" s="919"/>
      <c r="AM6" s="129" t="s">
        <v>290</v>
      </c>
      <c r="AN6" s="920" t="s">
        <v>293</v>
      </c>
      <c r="AO6" s="920"/>
      <c r="AP6" s="920"/>
      <c r="AR6" s="919" t="s">
        <v>297</v>
      </c>
      <c r="AS6" s="919"/>
      <c r="AT6" s="919"/>
      <c r="AU6" s="127" t="s">
        <v>291</v>
      </c>
      <c r="AV6" s="920" t="s">
        <v>294</v>
      </c>
      <c r="AW6" s="920"/>
      <c r="AX6" s="920"/>
      <c r="AY6" s="114"/>
      <c r="AZ6" s="114"/>
    </row>
    <row r="7" spans="3:52" s="51" customFormat="1" ht="18" customHeight="1" x14ac:dyDescent="0.15">
      <c r="C7" s="708">
        <v>3010</v>
      </c>
      <c r="D7" s="709"/>
      <c r="E7" s="700" t="s">
        <v>168</v>
      </c>
      <c r="F7" s="700"/>
      <c r="G7" s="700"/>
      <c r="H7" s="700"/>
      <c r="I7" s="700"/>
      <c r="J7" s="700"/>
      <c r="K7" s="700"/>
      <c r="L7" s="700"/>
      <c r="M7" s="700"/>
      <c r="N7" s="700"/>
      <c r="O7" s="309"/>
      <c r="P7" s="917" t="s">
        <v>448</v>
      </c>
      <c r="Q7" s="917"/>
      <c r="R7" s="310" t="s">
        <v>117</v>
      </c>
      <c r="S7" s="918"/>
      <c r="T7" s="918"/>
      <c r="U7" s="338" t="s">
        <v>143</v>
      </c>
      <c r="V7" s="311"/>
      <c r="W7" s="915">
        <f>O7*S7*(IF(ISNUMBER(V7),V7,IF(ISNUMBER(O7),1,0)))</f>
        <v>0</v>
      </c>
      <c r="X7" s="915"/>
      <c r="Y7" s="915"/>
      <c r="Z7" s="916"/>
      <c r="AB7" s="888">
        <v>0</v>
      </c>
      <c r="AC7" s="889"/>
      <c r="AD7" s="890"/>
      <c r="AF7" s="888">
        <f>AB7-W7</f>
        <v>0</v>
      </c>
      <c r="AG7" s="889"/>
      <c r="AH7" s="890"/>
      <c r="AJ7" s="921">
        <v>0</v>
      </c>
      <c r="AK7" s="921"/>
      <c r="AL7" s="921"/>
      <c r="AM7" s="415"/>
      <c r="AN7" s="894">
        <f t="shared" ref="AN7:AN38" si="0">IF(AM7="X",W7*R_MU,0)</f>
        <v>0</v>
      </c>
      <c r="AO7" s="895"/>
      <c r="AP7" s="896"/>
      <c r="AR7" s="922">
        <v>0</v>
      </c>
      <c r="AS7" s="922"/>
      <c r="AT7" s="922"/>
      <c r="AU7" s="416"/>
      <c r="AV7" s="897">
        <f t="shared" ref="AV7:AV38" si="1">IF(AU7="X",W7*R_TX,0)</f>
        <v>0</v>
      </c>
      <c r="AW7" s="898"/>
      <c r="AX7" s="899"/>
      <c r="AY7" s="337"/>
      <c r="AZ7" s="337"/>
    </row>
    <row r="8" spans="3:52" s="51" customFormat="1" ht="18" customHeight="1" x14ac:dyDescent="0.15">
      <c r="C8" s="708">
        <v>3020</v>
      </c>
      <c r="D8" s="709"/>
      <c r="E8" s="700" t="s">
        <v>175</v>
      </c>
      <c r="F8" s="700"/>
      <c r="G8" s="700"/>
      <c r="H8" s="700"/>
      <c r="I8" s="700"/>
      <c r="J8" s="700"/>
      <c r="K8" s="700"/>
      <c r="L8" s="700"/>
      <c r="M8" s="700"/>
      <c r="N8" s="700"/>
      <c r="O8" s="309"/>
      <c r="P8" s="917" t="s">
        <v>448</v>
      </c>
      <c r="Q8" s="917"/>
      <c r="R8" s="310" t="s">
        <v>117</v>
      </c>
      <c r="S8" s="918"/>
      <c r="T8" s="918"/>
      <c r="U8" s="338" t="s">
        <v>143</v>
      </c>
      <c r="V8" s="311"/>
      <c r="W8" s="915">
        <f t="shared" ref="W8:W60" si="2">O8*S8*(IF(ISNUMBER(V8),V8,IF(ISNUMBER(O8),1,0)))</f>
        <v>0</v>
      </c>
      <c r="X8" s="915"/>
      <c r="Y8" s="915"/>
      <c r="Z8" s="916"/>
      <c r="AB8" s="888">
        <v>0</v>
      </c>
      <c r="AC8" s="889"/>
      <c r="AD8" s="890"/>
      <c r="AF8" s="888">
        <f t="shared" ref="AF8:AF61" si="3">AB8-W8</f>
        <v>0</v>
      </c>
      <c r="AG8" s="889"/>
      <c r="AH8" s="890"/>
      <c r="AM8" s="415"/>
      <c r="AN8" s="894">
        <f t="shared" si="0"/>
        <v>0</v>
      </c>
      <c r="AO8" s="895"/>
      <c r="AP8" s="896"/>
      <c r="AU8" s="416"/>
      <c r="AV8" s="897">
        <f t="shared" si="1"/>
        <v>0</v>
      </c>
      <c r="AW8" s="898"/>
      <c r="AX8" s="899"/>
    </row>
    <row r="9" spans="3:52" s="51" customFormat="1" ht="18" customHeight="1" x14ac:dyDescent="0.15">
      <c r="C9" s="708">
        <v>3030</v>
      </c>
      <c r="D9" s="709"/>
      <c r="E9" s="700" t="s">
        <v>149</v>
      </c>
      <c r="F9" s="700"/>
      <c r="G9" s="700"/>
      <c r="H9" s="700"/>
      <c r="I9" s="700"/>
      <c r="J9" s="700"/>
      <c r="K9" s="700"/>
      <c r="L9" s="700"/>
      <c r="M9" s="700"/>
      <c r="N9" s="700"/>
      <c r="O9" s="309"/>
      <c r="P9" s="917" t="s">
        <v>448</v>
      </c>
      <c r="Q9" s="917"/>
      <c r="R9" s="310" t="s">
        <v>117</v>
      </c>
      <c r="S9" s="918"/>
      <c r="T9" s="918"/>
      <c r="U9" s="338" t="s">
        <v>143</v>
      </c>
      <c r="V9" s="311"/>
      <c r="W9" s="915">
        <f t="shared" si="2"/>
        <v>0</v>
      </c>
      <c r="X9" s="915"/>
      <c r="Y9" s="915"/>
      <c r="Z9" s="916"/>
      <c r="AB9" s="888">
        <v>0</v>
      </c>
      <c r="AC9" s="889"/>
      <c r="AD9" s="890"/>
      <c r="AF9" s="888">
        <f t="shared" si="3"/>
        <v>0</v>
      </c>
      <c r="AG9" s="889"/>
      <c r="AH9" s="890"/>
      <c r="AM9" s="415"/>
      <c r="AN9" s="894">
        <f t="shared" si="0"/>
        <v>0</v>
      </c>
      <c r="AO9" s="895"/>
      <c r="AP9" s="896"/>
      <c r="AU9" s="416"/>
      <c r="AV9" s="897">
        <f t="shared" si="1"/>
        <v>0</v>
      </c>
      <c r="AW9" s="898"/>
      <c r="AX9" s="899"/>
    </row>
    <row r="10" spans="3:52" s="51" customFormat="1" ht="18" customHeight="1" x14ac:dyDescent="0.15">
      <c r="C10" s="708">
        <v>3040</v>
      </c>
      <c r="D10" s="709"/>
      <c r="E10" s="700" t="s">
        <v>169</v>
      </c>
      <c r="F10" s="700"/>
      <c r="G10" s="700"/>
      <c r="H10" s="700"/>
      <c r="I10" s="700"/>
      <c r="J10" s="700"/>
      <c r="K10" s="700"/>
      <c r="L10" s="700"/>
      <c r="M10" s="700"/>
      <c r="N10" s="700"/>
      <c r="O10" s="309"/>
      <c r="P10" s="917" t="s">
        <v>448</v>
      </c>
      <c r="Q10" s="917"/>
      <c r="R10" s="310" t="s">
        <v>117</v>
      </c>
      <c r="S10" s="918"/>
      <c r="T10" s="918"/>
      <c r="U10" s="338" t="s">
        <v>143</v>
      </c>
      <c r="V10" s="311"/>
      <c r="W10" s="915">
        <f t="shared" si="2"/>
        <v>0</v>
      </c>
      <c r="X10" s="915"/>
      <c r="Y10" s="915"/>
      <c r="Z10" s="916"/>
      <c r="AB10" s="888">
        <v>0</v>
      </c>
      <c r="AC10" s="889"/>
      <c r="AD10" s="890"/>
      <c r="AF10" s="888">
        <f t="shared" si="3"/>
        <v>0</v>
      </c>
      <c r="AG10" s="889"/>
      <c r="AH10" s="890"/>
      <c r="AM10" s="415"/>
      <c r="AN10" s="894">
        <f t="shared" si="0"/>
        <v>0</v>
      </c>
      <c r="AO10" s="895"/>
      <c r="AP10" s="896"/>
      <c r="AU10" s="416"/>
      <c r="AV10" s="897">
        <f t="shared" si="1"/>
        <v>0</v>
      </c>
      <c r="AW10" s="898"/>
      <c r="AX10" s="899"/>
    </row>
    <row r="11" spans="3:52" s="51" customFormat="1" ht="18" customHeight="1" x14ac:dyDescent="0.15">
      <c r="C11" s="708">
        <v>3050</v>
      </c>
      <c r="D11" s="709"/>
      <c r="E11" s="700" t="s">
        <v>806</v>
      </c>
      <c r="F11" s="700"/>
      <c r="G11" s="700"/>
      <c r="H11" s="700"/>
      <c r="I11" s="700"/>
      <c r="J11" s="700"/>
      <c r="K11" s="700"/>
      <c r="L11" s="700"/>
      <c r="M11" s="700"/>
      <c r="N11" s="700"/>
      <c r="O11" s="309"/>
      <c r="P11" s="917" t="s">
        <v>455</v>
      </c>
      <c r="Q11" s="917"/>
      <c r="R11" s="310" t="s">
        <v>117</v>
      </c>
      <c r="S11" s="918"/>
      <c r="T11" s="918"/>
      <c r="U11" s="338" t="s">
        <v>143</v>
      </c>
      <c r="V11" s="311"/>
      <c r="W11" s="915">
        <f t="shared" si="2"/>
        <v>0</v>
      </c>
      <c r="X11" s="915"/>
      <c r="Y11" s="915"/>
      <c r="Z11" s="916"/>
      <c r="AB11" s="888">
        <v>0</v>
      </c>
      <c r="AC11" s="889"/>
      <c r="AD11" s="890"/>
      <c r="AF11" s="888">
        <f t="shared" si="3"/>
        <v>0</v>
      </c>
      <c r="AG11" s="889"/>
      <c r="AH11" s="890"/>
      <c r="AM11" s="415"/>
      <c r="AN11" s="894">
        <f t="shared" si="0"/>
        <v>0</v>
      </c>
      <c r="AO11" s="895"/>
      <c r="AP11" s="896"/>
      <c r="AU11" s="416"/>
      <c r="AV11" s="897">
        <f t="shared" si="1"/>
        <v>0</v>
      </c>
      <c r="AW11" s="898"/>
      <c r="AX11" s="899"/>
    </row>
    <row r="12" spans="3:52" s="51" customFormat="1" ht="18" customHeight="1" x14ac:dyDescent="0.15">
      <c r="C12" s="708">
        <v>3060</v>
      </c>
      <c r="D12" s="709"/>
      <c r="E12" s="700"/>
      <c r="F12" s="700"/>
      <c r="G12" s="700"/>
      <c r="H12" s="700"/>
      <c r="I12" s="700"/>
      <c r="J12" s="700"/>
      <c r="K12" s="700"/>
      <c r="L12" s="700"/>
      <c r="M12" s="700"/>
      <c r="N12" s="700"/>
      <c r="O12" s="309"/>
      <c r="P12" s="917"/>
      <c r="Q12" s="917"/>
      <c r="R12" s="310" t="s">
        <v>117</v>
      </c>
      <c r="S12" s="918"/>
      <c r="T12" s="918"/>
      <c r="U12" s="338" t="s">
        <v>143</v>
      </c>
      <c r="V12" s="311"/>
      <c r="W12" s="915">
        <f t="shared" si="2"/>
        <v>0</v>
      </c>
      <c r="X12" s="915"/>
      <c r="Y12" s="915"/>
      <c r="Z12" s="916"/>
      <c r="AB12" s="888">
        <v>0</v>
      </c>
      <c r="AC12" s="889"/>
      <c r="AD12" s="890"/>
      <c r="AF12" s="888">
        <f t="shared" si="3"/>
        <v>0</v>
      </c>
      <c r="AG12" s="889"/>
      <c r="AH12" s="890"/>
      <c r="AM12" s="415"/>
      <c r="AN12" s="894">
        <f t="shared" si="0"/>
        <v>0</v>
      </c>
      <c r="AO12" s="895"/>
      <c r="AP12" s="896"/>
      <c r="AU12" s="416"/>
      <c r="AV12" s="897">
        <f t="shared" si="1"/>
        <v>0</v>
      </c>
      <c r="AW12" s="898"/>
      <c r="AX12" s="899"/>
      <c r="AY12" s="337"/>
      <c r="AZ12" s="337"/>
    </row>
    <row r="13" spans="3:52" s="51" customFormat="1" ht="18" customHeight="1" x14ac:dyDescent="0.15">
      <c r="C13" s="708">
        <v>3070</v>
      </c>
      <c r="D13" s="709"/>
      <c r="E13" s="700"/>
      <c r="F13" s="700"/>
      <c r="G13" s="700"/>
      <c r="H13" s="700"/>
      <c r="I13" s="700"/>
      <c r="J13" s="700"/>
      <c r="K13" s="700"/>
      <c r="L13" s="700"/>
      <c r="M13" s="700"/>
      <c r="N13" s="700"/>
      <c r="O13" s="309"/>
      <c r="P13" s="917"/>
      <c r="Q13" s="917"/>
      <c r="R13" s="310" t="s">
        <v>117</v>
      </c>
      <c r="S13" s="918"/>
      <c r="T13" s="918"/>
      <c r="U13" s="338" t="s">
        <v>143</v>
      </c>
      <c r="V13" s="311"/>
      <c r="W13" s="915">
        <f t="shared" si="2"/>
        <v>0</v>
      </c>
      <c r="X13" s="915"/>
      <c r="Y13" s="915"/>
      <c r="Z13" s="916"/>
      <c r="AB13" s="888">
        <v>0</v>
      </c>
      <c r="AC13" s="889"/>
      <c r="AD13" s="890"/>
      <c r="AF13" s="888">
        <f t="shared" si="3"/>
        <v>0</v>
      </c>
      <c r="AG13" s="889"/>
      <c r="AH13" s="890"/>
      <c r="AM13" s="415"/>
      <c r="AN13" s="894">
        <f t="shared" si="0"/>
        <v>0</v>
      </c>
      <c r="AO13" s="895"/>
      <c r="AP13" s="896"/>
      <c r="AU13" s="416"/>
      <c r="AV13" s="897">
        <f t="shared" si="1"/>
        <v>0</v>
      </c>
      <c r="AW13" s="898"/>
      <c r="AX13" s="899"/>
    </row>
    <row r="14" spans="3:52" s="51" customFormat="1" ht="18" customHeight="1" x14ac:dyDescent="0.15">
      <c r="C14" s="708">
        <v>3080</v>
      </c>
      <c r="D14" s="709"/>
      <c r="E14" s="700"/>
      <c r="F14" s="700"/>
      <c r="G14" s="700"/>
      <c r="H14" s="700"/>
      <c r="I14" s="700"/>
      <c r="J14" s="700"/>
      <c r="K14" s="700"/>
      <c r="L14" s="700"/>
      <c r="M14" s="700"/>
      <c r="N14" s="700"/>
      <c r="O14" s="309"/>
      <c r="P14" s="917"/>
      <c r="Q14" s="917"/>
      <c r="R14" s="310" t="s">
        <v>117</v>
      </c>
      <c r="S14" s="918"/>
      <c r="T14" s="918"/>
      <c r="U14" s="338" t="s">
        <v>143</v>
      </c>
      <c r="V14" s="311"/>
      <c r="W14" s="915">
        <f t="shared" si="2"/>
        <v>0</v>
      </c>
      <c r="X14" s="915"/>
      <c r="Y14" s="915"/>
      <c r="Z14" s="916"/>
      <c r="AB14" s="888">
        <v>0</v>
      </c>
      <c r="AC14" s="889"/>
      <c r="AD14" s="890"/>
      <c r="AF14" s="888">
        <f t="shared" si="3"/>
        <v>0</v>
      </c>
      <c r="AG14" s="889"/>
      <c r="AH14" s="890"/>
      <c r="AM14" s="415"/>
      <c r="AN14" s="894">
        <f t="shared" si="0"/>
        <v>0</v>
      </c>
      <c r="AO14" s="895"/>
      <c r="AP14" s="896"/>
      <c r="AU14" s="416"/>
      <c r="AV14" s="897">
        <f t="shared" si="1"/>
        <v>0</v>
      </c>
      <c r="AW14" s="898"/>
      <c r="AX14" s="899"/>
    </row>
    <row r="15" spans="3:52" s="51" customFormat="1" ht="18" customHeight="1" x14ac:dyDescent="0.15">
      <c r="C15" s="708">
        <v>3090</v>
      </c>
      <c r="D15" s="709"/>
      <c r="E15" s="700"/>
      <c r="F15" s="700"/>
      <c r="G15" s="700"/>
      <c r="H15" s="700"/>
      <c r="I15" s="700"/>
      <c r="J15" s="700"/>
      <c r="K15" s="700"/>
      <c r="L15" s="700"/>
      <c r="M15" s="700"/>
      <c r="N15" s="700"/>
      <c r="O15" s="309"/>
      <c r="P15" s="917"/>
      <c r="Q15" s="917"/>
      <c r="R15" s="310" t="s">
        <v>117</v>
      </c>
      <c r="S15" s="918"/>
      <c r="T15" s="918"/>
      <c r="U15" s="338" t="s">
        <v>143</v>
      </c>
      <c r="V15" s="311"/>
      <c r="W15" s="915">
        <f t="shared" si="2"/>
        <v>0</v>
      </c>
      <c r="X15" s="915"/>
      <c r="Y15" s="915"/>
      <c r="Z15" s="916"/>
      <c r="AB15" s="888">
        <v>0</v>
      </c>
      <c r="AC15" s="889"/>
      <c r="AD15" s="890"/>
      <c r="AF15" s="888">
        <f t="shared" si="3"/>
        <v>0</v>
      </c>
      <c r="AG15" s="889"/>
      <c r="AH15" s="890"/>
      <c r="AM15" s="415"/>
      <c r="AN15" s="894">
        <f t="shared" si="0"/>
        <v>0</v>
      </c>
      <c r="AO15" s="895"/>
      <c r="AP15" s="896"/>
      <c r="AU15" s="416"/>
      <c r="AV15" s="897">
        <f t="shared" si="1"/>
        <v>0</v>
      </c>
      <c r="AW15" s="898"/>
      <c r="AX15" s="899"/>
    </row>
    <row r="16" spans="3:52" s="51" customFormat="1" ht="18" customHeight="1" x14ac:dyDescent="0.15">
      <c r="C16" s="708">
        <v>3110</v>
      </c>
      <c r="D16" s="709"/>
      <c r="E16" s="700" t="s">
        <v>173</v>
      </c>
      <c r="F16" s="700"/>
      <c r="G16" s="700"/>
      <c r="H16" s="700"/>
      <c r="I16" s="700"/>
      <c r="J16" s="700"/>
      <c r="K16" s="700"/>
      <c r="L16" s="700"/>
      <c r="M16" s="700"/>
      <c r="N16" s="700"/>
      <c r="O16" s="309"/>
      <c r="P16" s="917" t="s">
        <v>448</v>
      </c>
      <c r="Q16" s="917"/>
      <c r="R16" s="310" t="s">
        <v>117</v>
      </c>
      <c r="S16" s="918"/>
      <c r="T16" s="918"/>
      <c r="U16" s="338" t="s">
        <v>143</v>
      </c>
      <c r="V16" s="311"/>
      <c r="W16" s="915">
        <f t="shared" si="2"/>
        <v>0</v>
      </c>
      <c r="X16" s="915"/>
      <c r="Y16" s="915"/>
      <c r="Z16" s="916"/>
      <c r="AB16" s="888">
        <v>0</v>
      </c>
      <c r="AC16" s="889"/>
      <c r="AD16" s="890"/>
      <c r="AF16" s="888">
        <f t="shared" si="3"/>
        <v>0</v>
      </c>
      <c r="AG16" s="889"/>
      <c r="AH16" s="890"/>
      <c r="AM16" s="415"/>
      <c r="AN16" s="894">
        <f t="shared" si="0"/>
        <v>0</v>
      </c>
      <c r="AO16" s="895"/>
      <c r="AP16" s="896"/>
      <c r="AU16" s="416"/>
      <c r="AV16" s="897">
        <f t="shared" si="1"/>
        <v>0</v>
      </c>
      <c r="AW16" s="898"/>
      <c r="AX16" s="899"/>
    </row>
    <row r="17" spans="3:64" s="51" customFormat="1" ht="18" customHeight="1" x14ac:dyDescent="0.15">
      <c r="C17" s="708">
        <v>3120</v>
      </c>
      <c r="D17" s="709"/>
      <c r="E17" s="700" t="s">
        <v>176</v>
      </c>
      <c r="F17" s="700"/>
      <c r="G17" s="700"/>
      <c r="H17" s="700"/>
      <c r="I17" s="700"/>
      <c r="J17" s="700"/>
      <c r="K17" s="700"/>
      <c r="L17" s="700"/>
      <c r="M17" s="700"/>
      <c r="N17" s="700"/>
      <c r="O17" s="309"/>
      <c r="P17" s="917" t="s">
        <v>448</v>
      </c>
      <c r="Q17" s="917"/>
      <c r="R17" s="310" t="s">
        <v>117</v>
      </c>
      <c r="S17" s="918"/>
      <c r="T17" s="918"/>
      <c r="U17" s="338" t="s">
        <v>143</v>
      </c>
      <c r="V17" s="311"/>
      <c r="W17" s="915">
        <f t="shared" si="2"/>
        <v>0</v>
      </c>
      <c r="X17" s="915"/>
      <c r="Y17" s="915"/>
      <c r="Z17" s="916"/>
      <c r="AB17" s="888">
        <v>0</v>
      </c>
      <c r="AC17" s="889"/>
      <c r="AD17" s="890"/>
      <c r="AF17" s="888">
        <f t="shared" si="3"/>
        <v>0</v>
      </c>
      <c r="AG17" s="889"/>
      <c r="AH17" s="890"/>
      <c r="AM17" s="415"/>
      <c r="AN17" s="894">
        <f t="shared" si="0"/>
        <v>0</v>
      </c>
      <c r="AO17" s="895"/>
      <c r="AP17" s="896"/>
      <c r="AU17" s="416"/>
      <c r="AV17" s="897">
        <f t="shared" si="1"/>
        <v>0</v>
      </c>
      <c r="AW17" s="898"/>
      <c r="AX17" s="899"/>
    </row>
    <row r="18" spans="3:64" s="51" customFormat="1" ht="18" customHeight="1" x14ac:dyDescent="0.15">
      <c r="C18" s="708">
        <v>3130</v>
      </c>
      <c r="D18" s="709"/>
      <c r="E18" s="700" t="s">
        <v>465</v>
      </c>
      <c r="F18" s="700"/>
      <c r="G18" s="700"/>
      <c r="H18" s="700"/>
      <c r="I18" s="700"/>
      <c r="J18" s="700"/>
      <c r="K18" s="700"/>
      <c r="L18" s="700"/>
      <c r="M18" s="700"/>
      <c r="N18" s="700"/>
      <c r="O18" s="309"/>
      <c r="P18" s="917" t="s">
        <v>448</v>
      </c>
      <c r="Q18" s="917"/>
      <c r="R18" s="310" t="s">
        <v>117</v>
      </c>
      <c r="S18" s="918"/>
      <c r="T18" s="918"/>
      <c r="U18" s="338" t="s">
        <v>143</v>
      </c>
      <c r="V18" s="311"/>
      <c r="W18" s="915">
        <f t="shared" si="2"/>
        <v>0</v>
      </c>
      <c r="X18" s="915"/>
      <c r="Y18" s="915"/>
      <c r="Z18" s="916"/>
      <c r="AB18" s="888">
        <v>0</v>
      </c>
      <c r="AC18" s="889"/>
      <c r="AD18" s="890"/>
      <c r="AF18" s="888">
        <f t="shared" si="3"/>
        <v>0</v>
      </c>
      <c r="AG18" s="889"/>
      <c r="AH18" s="890"/>
      <c r="AM18" s="415"/>
      <c r="AN18" s="894">
        <f t="shared" si="0"/>
        <v>0</v>
      </c>
      <c r="AO18" s="895"/>
      <c r="AP18" s="896"/>
      <c r="AU18" s="416"/>
      <c r="AV18" s="897">
        <f t="shared" si="1"/>
        <v>0</v>
      </c>
      <c r="AW18" s="898"/>
      <c r="AX18" s="899"/>
    </row>
    <row r="19" spans="3:64" s="51" customFormat="1" ht="18" customHeight="1" x14ac:dyDescent="0.15">
      <c r="C19" s="708">
        <v>3140</v>
      </c>
      <c r="D19" s="709"/>
      <c r="E19" s="700" t="s">
        <v>466</v>
      </c>
      <c r="F19" s="700"/>
      <c r="G19" s="700"/>
      <c r="H19" s="700"/>
      <c r="I19" s="700"/>
      <c r="J19" s="700"/>
      <c r="K19" s="700"/>
      <c r="L19" s="700"/>
      <c r="M19" s="700"/>
      <c r="N19" s="700"/>
      <c r="O19" s="309"/>
      <c r="P19" s="917" t="s">
        <v>448</v>
      </c>
      <c r="Q19" s="917"/>
      <c r="R19" s="310" t="s">
        <v>117</v>
      </c>
      <c r="S19" s="918"/>
      <c r="T19" s="918"/>
      <c r="U19" s="338" t="s">
        <v>143</v>
      </c>
      <c r="V19" s="311"/>
      <c r="W19" s="915">
        <f t="shared" si="2"/>
        <v>0</v>
      </c>
      <c r="X19" s="915"/>
      <c r="Y19" s="915"/>
      <c r="Z19" s="916"/>
      <c r="AB19" s="888">
        <v>0</v>
      </c>
      <c r="AC19" s="889"/>
      <c r="AD19" s="890"/>
      <c r="AF19" s="888">
        <f t="shared" si="3"/>
        <v>0</v>
      </c>
      <c r="AG19" s="889"/>
      <c r="AH19" s="890"/>
      <c r="AM19" s="415"/>
      <c r="AN19" s="894">
        <f t="shared" si="0"/>
        <v>0</v>
      </c>
      <c r="AO19" s="895"/>
      <c r="AP19" s="896"/>
      <c r="AU19" s="416"/>
      <c r="AV19" s="897">
        <f t="shared" si="1"/>
        <v>0</v>
      </c>
      <c r="AW19" s="898"/>
      <c r="AX19" s="899"/>
    </row>
    <row r="20" spans="3:64" s="51" customFormat="1" ht="18" customHeight="1" x14ac:dyDescent="0.15">
      <c r="C20" s="708">
        <v>3150</v>
      </c>
      <c r="D20" s="709"/>
      <c r="E20" s="700" t="s">
        <v>467</v>
      </c>
      <c r="F20" s="700"/>
      <c r="G20" s="700"/>
      <c r="H20" s="700"/>
      <c r="I20" s="700"/>
      <c r="J20" s="700"/>
      <c r="K20" s="700"/>
      <c r="L20" s="700"/>
      <c r="M20" s="700"/>
      <c r="N20" s="700"/>
      <c r="O20" s="309"/>
      <c r="P20" s="917" t="s">
        <v>448</v>
      </c>
      <c r="Q20" s="917"/>
      <c r="R20" s="310" t="s">
        <v>117</v>
      </c>
      <c r="S20" s="918"/>
      <c r="T20" s="918"/>
      <c r="U20" s="338" t="s">
        <v>143</v>
      </c>
      <c r="V20" s="311"/>
      <c r="W20" s="915">
        <f t="shared" si="2"/>
        <v>0</v>
      </c>
      <c r="X20" s="915"/>
      <c r="Y20" s="915"/>
      <c r="Z20" s="916"/>
      <c r="AB20" s="888">
        <v>0</v>
      </c>
      <c r="AC20" s="889"/>
      <c r="AD20" s="890"/>
      <c r="AF20" s="888">
        <f t="shared" si="3"/>
        <v>0</v>
      </c>
      <c r="AG20" s="889"/>
      <c r="AH20" s="890"/>
      <c r="AM20" s="415"/>
      <c r="AN20" s="894">
        <f t="shared" si="0"/>
        <v>0</v>
      </c>
      <c r="AO20" s="895"/>
      <c r="AP20" s="896"/>
      <c r="AU20" s="416"/>
      <c r="AV20" s="897">
        <f t="shared" si="1"/>
        <v>0</v>
      </c>
      <c r="AW20" s="898"/>
      <c r="AX20" s="899"/>
    </row>
    <row r="21" spans="3:64" s="51" customFormat="1" ht="18" customHeight="1" x14ac:dyDescent="0.15">
      <c r="C21" s="708">
        <v>3160</v>
      </c>
      <c r="D21" s="709"/>
      <c r="E21" s="700" t="s">
        <v>468</v>
      </c>
      <c r="F21" s="700"/>
      <c r="G21" s="700"/>
      <c r="H21" s="700"/>
      <c r="I21" s="700"/>
      <c r="J21" s="700"/>
      <c r="K21" s="700"/>
      <c r="L21" s="700"/>
      <c r="M21" s="700"/>
      <c r="N21" s="700"/>
      <c r="O21" s="309"/>
      <c r="P21" s="917" t="s">
        <v>448</v>
      </c>
      <c r="Q21" s="917"/>
      <c r="R21" s="310" t="s">
        <v>117</v>
      </c>
      <c r="S21" s="918"/>
      <c r="T21" s="918"/>
      <c r="U21" s="338" t="s">
        <v>143</v>
      </c>
      <c r="V21" s="311"/>
      <c r="W21" s="915">
        <f t="shared" si="2"/>
        <v>0</v>
      </c>
      <c r="X21" s="915"/>
      <c r="Y21" s="915"/>
      <c r="Z21" s="916"/>
      <c r="AB21" s="888">
        <v>0</v>
      </c>
      <c r="AC21" s="889"/>
      <c r="AD21" s="890"/>
      <c r="AF21" s="888">
        <f t="shared" si="3"/>
        <v>0</v>
      </c>
      <c r="AG21" s="889"/>
      <c r="AH21" s="890"/>
      <c r="AM21" s="415"/>
      <c r="AN21" s="894">
        <f t="shared" si="0"/>
        <v>0</v>
      </c>
      <c r="AO21" s="895"/>
      <c r="AP21" s="896"/>
      <c r="AU21" s="416"/>
      <c r="AV21" s="897">
        <f t="shared" si="1"/>
        <v>0</v>
      </c>
      <c r="AW21" s="898"/>
      <c r="AX21" s="899"/>
    </row>
    <row r="22" spans="3:64" s="51" customFormat="1" ht="18" customHeight="1" x14ac:dyDescent="0.15">
      <c r="C22" s="708">
        <v>3170</v>
      </c>
      <c r="D22" s="709"/>
      <c r="E22" s="700"/>
      <c r="F22" s="700"/>
      <c r="G22" s="700"/>
      <c r="H22" s="700"/>
      <c r="I22" s="700"/>
      <c r="J22" s="700"/>
      <c r="K22" s="700"/>
      <c r="L22" s="700"/>
      <c r="M22" s="700"/>
      <c r="N22" s="700"/>
      <c r="O22" s="309"/>
      <c r="P22" s="917" t="s">
        <v>448</v>
      </c>
      <c r="Q22" s="917"/>
      <c r="R22" s="310" t="s">
        <v>117</v>
      </c>
      <c r="S22" s="918"/>
      <c r="T22" s="918"/>
      <c r="U22" s="338" t="s">
        <v>143</v>
      </c>
      <c r="V22" s="311"/>
      <c r="W22" s="915">
        <f t="shared" si="2"/>
        <v>0</v>
      </c>
      <c r="X22" s="915"/>
      <c r="Y22" s="915"/>
      <c r="Z22" s="916"/>
      <c r="AB22" s="888">
        <v>0</v>
      </c>
      <c r="AC22" s="889"/>
      <c r="AD22" s="890"/>
      <c r="AF22" s="888">
        <f t="shared" si="3"/>
        <v>0</v>
      </c>
      <c r="AG22" s="889"/>
      <c r="AH22" s="890"/>
      <c r="AM22" s="415"/>
      <c r="AN22" s="894">
        <f t="shared" si="0"/>
        <v>0</v>
      </c>
      <c r="AO22" s="895"/>
      <c r="AP22" s="896"/>
      <c r="AU22" s="416"/>
      <c r="AV22" s="897">
        <f t="shared" si="1"/>
        <v>0</v>
      </c>
      <c r="AW22" s="898"/>
      <c r="AX22" s="899"/>
    </row>
    <row r="23" spans="3:64" s="51" customFormat="1" ht="18" customHeight="1" x14ac:dyDescent="0.15">
      <c r="C23" s="708">
        <v>3180</v>
      </c>
      <c r="D23" s="709"/>
      <c r="E23" s="700"/>
      <c r="F23" s="700"/>
      <c r="G23" s="700"/>
      <c r="H23" s="700"/>
      <c r="I23" s="700"/>
      <c r="J23" s="700"/>
      <c r="K23" s="700"/>
      <c r="L23" s="700"/>
      <c r="M23" s="700"/>
      <c r="N23" s="700"/>
      <c r="O23" s="309"/>
      <c r="P23" s="917"/>
      <c r="Q23" s="917"/>
      <c r="R23" s="310" t="s">
        <v>117</v>
      </c>
      <c r="S23" s="918"/>
      <c r="T23" s="918"/>
      <c r="U23" s="338" t="s">
        <v>143</v>
      </c>
      <c r="V23" s="311"/>
      <c r="W23" s="915">
        <f t="shared" si="2"/>
        <v>0</v>
      </c>
      <c r="X23" s="915"/>
      <c r="Y23" s="915"/>
      <c r="Z23" s="916"/>
      <c r="AB23" s="888">
        <v>0</v>
      </c>
      <c r="AC23" s="889"/>
      <c r="AD23" s="890"/>
      <c r="AF23" s="888">
        <f t="shared" si="3"/>
        <v>0</v>
      </c>
      <c r="AG23" s="889"/>
      <c r="AH23" s="890"/>
      <c r="AM23" s="415"/>
      <c r="AN23" s="894">
        <f t="shared" si="0"/>
        <v>0</v>
      </c>
      <c r="AO23" s="895"/>
      <c r="AP23" s="896"/>
      <c r="AU23" s="416"/>
      <c r="AV23" s="897">
        <f t="shared" si="1"/>
        <v>0</v>
      </c>
      <c r="AW23" s="898"/>
      <c r="AX23" s="899"/>
    </row>
    <row r="24" spans="3:64" s="51" customFormat="1" ht="18" customHeight="1" x14ac:dyDescent="0.15">
      <c r="C24" s="708">
        <v>3190</v>
      </c>
      <c r="D24" s="709"/>
      <c r="E24" s="700"/>
      <c r="F24" s="700"/>
      <c r="G24" s="700"/>
      <c r="H24" s="700"/>
      <c r="I24" s="700"/>
      <c r="J24" s="700"/>
      <c r="K24" s="700"/>
      <c r="L24" s="700"/>
      <c r="M24" s="700"/>
      <c r="N24" s="700"/>
      <c r="O24" s="309"/>
      <c r="P24" s="917"/>
      <c r="Q24" s="917"/>
      <c r="R24" s="310" t="s">
        <v>117</v>
      </c>
      <c r="S24" s="918"/>
      <c r="T24" s="918"/>
      <c r="U24" s="338" t="s">
        <v>143</v>
      </c>
      <c r="V24" s="311"/>
      <c r="W24" s="915">
        <f t="shared" si="2"/>
        <v>0</v>
      </c>
      <c r="X24" s="915"/>
      <c r="Y24" s="915"/>
      <c r="Z24" s="916"/>
      <c r="AB24" s="888">
        <v>0</v>
      </c>
      <c r="AC24" s="889"/>
      <c r="AD24" s="890"/>
      <c r="AF24" s="888">
        <f t="shared" si="3"/>
        <v>0</v>
      </c>
      <c r="AG24" s="889"/>
      <c r="AH24" s="890"/>
      <c r="AM24" s="415"/>
      <c r="AN24" s="894">
        <f t="shared" si="0"/>
        <v>0</v>
      </c>
      <c r="AO24" s="895"/>
      <c r="AP24" s="896"/>
      <c r="AU24" s="416"/>
      <c r="AV24" s="897">
        <f t="shared" si="1"/>
        <v>0</v>
      </c>
      <c r="AW24" s="898"/>
      <c r="AX24" s="899"/>
    </row>
    <row r="25" spans="3:64" s="51" customFormat="1" ht="18" customHeight="1" x14ac:dyDescent="0.15">
      <c r="C25" s="708">
        <v>3210</v>
      </c>
      <c r="D25" s="709"/>
      <c r="E25" s="700" t="s">
        <v>469</v>
      </c>
      <c r="F25" s="700"/>
      <c r="G25" s="700"/>
      <c r="H25" s="700"/>
      <c r="I25" s="700"/>
      <c r="J25" s="700"/>
      <c r="K25" s="700"/>
      <c r="L25" s="700"/>
      <c r="M25" s="700"/>
      <c r="N25" s="700"/>
      <c r="O25" s="309"/>
      <c r="P25" s="917" t="s">
        <v>448</v>
      </c>
      <c r="Q25" s="917"/>
      <c r="R25" s="310" t="s">
        <v>117</v>
      </c>
      <c r="S25" s="918"/>
      <c r="T25" s="918"/>
      <c r="U25" s="338" t="s">
        <v>143</v>
      </c>
      <c r="V25" s="311"/>
      <c r="W25" s="915">
        <f t="shared" si="2"/>
        <v>0</v>
      </c>
      <c r="X25" s="915"/>
      <c r="Y25" s="915"/>
      <c r="Z25" s="916"/>
      <c r="AB25" s="888">
        <v>0</v>
      </c>
      <c r="AC25" s="889"/>
      <c r="AD25" s="890"/>
      <c r="AF25" s="888">
        <f t="shared" si="3"/>
        <v>0</v>
      </c>
      <c r="AG25" s="889"/>
      <c r="AH25" s="890"/>
      <c r="AM25" s="415"/>
      <c r="AN25" s="894">
        <f t="shared" si="0"/>
        <v>0</v>
      </c>
      <c r="AO25" s="895"/>
      <c r="AP25" s="896"/>
      <c r="AU25" s="416"/>
      <c r="AV25" s="897">
        <f t="shared" si="1"/>
        <v>0</v>
      </c>
      <c r="AW25" s="898"/>
      <c r="AX25" s="899"/>
    </row>
    <row r="26" spans="3:64" s="51" customFormat="1" ht="18" customHeight="1" x14ac:dyDescent="0.15">
      <c r="C26" s="708">
        <v>3220</v>
      </c>
      <c r="D26" s="709"/>
      <c r="E26" s="700" t="s">
        <v>470</v>
      </c>
      <c r="F26" s="700"/>
      <c r="G26" s="700"/>
      <c r="H26" s="700"/>
      <c r="I26" s="700"/>
      <c r="J26" s="700"/>
      <c r="K26" s="700"/>
      <c r="L26" s="700"/>
      <c r="M26" s="700"/>
      <c r="N26" s="700"/>
      <c r="O26" s="309"/>
      <c r="P26" s="917" t="s">
        <v>448</v>
      </c>
      <c r="Q26" s="917"/>
      <c r="R26" s="310" t="s">
        <v>117</v>
      </c>
      <c r="S26" s="918"/>
      <c r="T26" s="918"/>
      <c r="U26" s="338" t="s">
        <v>143</v>
      </c>
      <c r="V26" s="311"/>
      <c r="W26" s="915">
        <f t="shared" si="2"/>
        <v>0</v>
      </c>
      <c r="X26" s="915"/>
      <c r="Y26" s="915"/>
      <c r="Z26" s="916"/>
      <c r="AB26" s="888">
        <v>0</v>
      </c>
      <c r="AC26" s="889"/>
      <c r="AD26" s="890"/>
      <c r="AF26" s="888">
        <f t="shared" si="3"/>
        <v>0</v>
      </c>
      <c r="AG26" s="889"/>
      <c r="AH26" s="890"/>
      <c r="AM26" s="415"/>
      <c r="AN26" s="894">
        <f t="shared" si="0"/>
        <v>0</v>
      </c>
      <c r="AO26" s="895"/>
      <c r="AP26" s="896"/>
      <c r="AU26" s="416"/>
      <c r="AV26" s="897">
        <f t="shared" si="1"/>
        <v>0</v>
      </c>
      <c r="AW26" s="898"/>
      <c r="AX26" s="899"/>
    </row>
    <row r="27" spans="3:64" s="51" customFormat="1" ht="18" customHeight="1" x14ac:dyDescent="0.15">
      <c r="C27" s="708">
        <v>3230</v>
      </c>
      <c r="D27" s="709"/>
      <c r="E27" s="700" t="s">
        <v>471</v>
      </c>
      <c r="F27" s="700"/>
      <c r="G27" s="700"/>
      <c r="H27" s="700"/>
      <c r="I27" s="700"/>
      <c r="J27" s="700"/>
      <c r="K27" s="700"/>
      <c r="L27" s="700"/>
      <c r="M27" s="700"/>
      <c r="N27" s="700"/>
      <c r="O27" s="309"/>
      <c r="P27" s="917" t="s">
        <v>448</v>
      </c>
      <c r="Q27" s="917"/>
      <c r="R27" s="310" t="s">
        <v>117</v>
      </c>
      <c r="S27" s="918"/>
      <c r="T27" s="918"/>
      <c r="U27" s="338" t="s">
        <v>143</v>
      </c>
      <c r="V27" s="311"/>
      <c r="W27" s="915">
        <f t="shared" si="2"/>
        <v>0</v>
      </c>
      <c r="X27" s="915"/>
      <c r="Y27" s="915"/>
      <c r="Z27" s="916"/>
      <c r="AB27" s="888">
        <v>0</v>
      </c>
      <c r="AC27" s="889"/>
      <c r="AD27" s="890"/>
      <c r="AF27" s="888">
        <f t="shared" si="3"/>
        <v>0</v>
      </c>
      <c r="AG27" s="889"/>
      <c r="AH27" s="890"/>
      <c r="AM27" s="415"/>
      <c r="AN27" s="894">
        <f t="shared" si="0"/>
        <v>0</v>
      </c>
      <c r="AO27" s="895"/>
      <c r="AP27" s="896"/>
      <c r="AU27" s="416"/>
      <c r="AV27" s="897">
        <f t="shared" si="1"/>
        <v>0</v>
      </c>
      <c r="AW27" s="898"/>
      <c r="AX27" s="899"/>
    </row>
    <row r="28" spans="3:64" s="51" customFormat="1" ht="18" customHeight="1" x14ac:dyDescent="0.15">
      <c r="C28" s="708">
        <v>3240</v>
      </c>
      <c r="D28" s="709"/>
      <c r="E28" s="700" t="s">
        <v>472</v>
      </c>
      <c r="F28" s="700"/>
      <c r="G28" s="700"/>
      <c r="H28" s="700"/>
      <c r="I28" s="700"/>
      <c r="J28" s="700"/>
      <c r="K28" s="700"/>
      <c r="L28" s="700"/>
      <c r="M28" s="700"/>
      <c r="N28" s="700"/>
      <c r="O28" s="309"/>
      <c r="P28" s="917" t="s">
        <v>448</v>
      </c>
      <c r="Q28" s="917"/>
      <c r="R28" s="310" t="s">
        <v>117</v>
      </c>
      <c r="S28" s="918"/>
      <c r="T28" s="918"/>
      <c r="U28" s="338" t="s">
        <v>143</v>
      </c>
      <c r="V28" s="311"/>
      <c r="W28" s="915">
        <f t="shared" si="2"/>
        <v>0</v>
      </c>
      <c r="X28" s="915"/>
      <c r="Y28" s="915"/>
      <c r="Z28" s="916"/>
      <c r="AB28" s="888">
        <v>0</v>
      </c>
      <c r="AC28" s="889"/>
      <c r="AD28" s="890"/>
      <c r="AF28" s="888">
        <f t="shared" si="3"/>
        <v>0</v>
      </c>
      <c r="AG28" s="889"/>
      <c r="AH28" s="890"/>
      <c r="AM28" s="415"/>
      <c r="AN28" s="894">
        <f t="shared" si="0"/>
        <v>0</v>
      </c>
      <c r="AO28" s="895"/>
      <c r="AP28" s="896"/>
      <c r="AU28" s="416"/>
      <c r="AV28" s="897">
        <f t="shared" si="1"/>
        <v>0</v>
      </c>
      <c r="AW28" s="898"/>
      <c r="AX28" s="899"/>
    </row>
    <row r="29" spans="3:64" s="51" customFormat="1" ht="18" customHeight="1" x14ac:dyDescent="0.15">
      <c r="C29" s="708">
        <v>3250</v>
      </c>
      <c r="D29" s="709"/>
      <c r="E29" s="700"/>
      <c r="F29" s="700"/>
      <c r="G29" s="700"/>
      <c r="H29" s="700"/>
      <c r="I29" s="700"/>
      <c r="J29" s="700"/>
      <c r="K29" s="700"/>
      <c r="L29" s="700"/>
      <c r="M29" s="700"/>
      <c r="N29" s="700"/>
      <c r="O29" s="309"/>
      <c r="P29" s="917"/>
      <c r="Q29" s="917"/>
      <c r="R29" s="310" t="s">
        <v>117</v>
      </c>
      <c r="S29" s="918"/>
      <c r="T29" s="918"/>
      <c r="U29" s="338" t="s">
        <v>143</v>
      </c>
      <c r="V29" s="311"/>
      <c r="W29" s="915">
        <f t="shared" si="2"/>
        <v>0</v>
      </c>
      <c r="X29" s="915"/>
      <c r="Y29" s="915"/>
      <c r="Z29" s="916"/>
      <c r="AB29" s="888">
        <v>0</v>
      </c>
      <c r="AC29" s="889"/>
      <c r="AD29" s="890"/>
      <c r="AF29" s="888">
        <f t="shared" si="3"/>
        <v>0</v>
      </c>
      <c r="AG29" s="889"/>
      <c r="AH29" s="890"/>
      <c r="AM29" s="415"/>
      <c r="AN29" s="894">
        <f t="shared" si="0"/>
        <v>0</v>
      </c>
      <c r="AO29" s="895"/>
      <c r="AP29" s="896"/>
      <c r="AU29" s="416"/>
      <c r="AV29" s="897">
        <f t="shared" si="1"/>
        <v>0</v>
      </c>
      <c r="AW29" s="898"/>
      <c r="AX29" s="899"/>
    </row>
    <row r="30" spans="3:64" s="51" customFormat="1" ht="18" customHeight="1" x14ac:dyDescent="0.15">
      <c r="C30" s="708">
        <v>3260</v>
      </c>
      <c r="D30" s="709"/>
      <c r="E30" s="700"/>
      <c r="F30" s="700"/>
      <c r="G30" s="700"/>
      <c r="H30" s="700"/>
      <c r="I30" s="700"/>
      <c r="J30" s="700"/>
      <c r="K30" s="700"/>
      <c r="L30" s="700"/>
      <c r="M30" s="700"/>
      <c r="N30" s="700"/>
      <c r="O30" s="309"/>
      <c r="P30" s="917"/>
      <c r="Q30" s="917"/>
      <c r="R30" s="310" t="s">
        <v>117</v>
      </c>
      <c r="S30" s="918"/>
      <c r="T30" s="918"/>
      <c r="U30" s="338" t="s">
        <v>143</v>
      </c>
      <c r="V30" s="311"/>
      <c r="W30" s="915">
        <f t="shared" si="2"/>
        <v>0</v>
      </c>
      <c r="X30" s="915"/>
      <c r="Y30" s="915"/>
      <c r="Z30" s="916"/>
      <c r="AB30" s="888">
        <v>0</v>
      </c>
      <c r="AC30" s="889"/>
      <c r="AD30" s="890"/>
      <c r="AF30" s="888">
        <f t="shared" si="3"/>
        <v>0</v>
      </c>
      <c r="AG30" s="889"/>
      <c r="AH30" s="890"/>
      <c r="AM30" s="415"/>
      <c r="AN30" s="894">
        <f t="shared" si="0"/>
        <v>0</v>
      </c>
      <c r="AO30" s="895"/>
      <c r="AP30" s="896"/>
      <c r="AU30" s="416"/>
      <c r="AV30" s="897">
        <f t="shared" si="1"/>
        <v>0</v>
      </c>
      <c r="AW30" s="898"/>
      <c r="AX30" s="899"/>
      <c r="BL30" s="51" t="s">
        <v>233</v>
      </c>
    </row>
    <row r="31" spans="3:64" s="51" customFormat="1" ht="18" customHeight="1" x14ac:dyDescent="0.15">
      <c r="C31" s="708">
        <v>3270</v>
      </c>
      <c r="D31" s="709"/>
      <c r="E31" s="700"/>
      <c r="F31" s="700"/>
      <c r="G31" s="700"/>
      <c r="H31" s="700"/>
      <c r="I31" s="700"/>
      <c r="J31" s="700"/>
      <c r="K31" s="700"/>
      <c r="L31" s="700"/>
      <c r="M31" s="700"/>
      <c r="N31" s="700"/>
      <c r="O31" s="309"/>
      <c r="P31" s="917"/>
      <c r="Q31" s="917"/>
      <c r="R31" s="310" t="s">
        <v>117</v>
      </c>
      <c r="S31" s="918"/>
      <c r="T31" s="918"/>
      <c r="U31" s="338" t="s">
        <v>143</v>
      </c>
      <c r="V31" s="311"/>
      <c r="W31" s="915">
        <f t="shared" si="2"/>
        <v>0</v>
      </c>
      <c r="X31" s="915"/>
      <c r="Y31" s="915"/>
      <c r="Z31" s="916"/>
      <c r="AB31" s="888">
        <v>0</v>
      </c>
      <c r="AC31" s="889"/>
      <c r="AD31" s="890"/>
      <c r="AF31" s="888">
        <f t="shared" si="3"/>
        <v>0</v>
      </c>
      <c r="AG31" s="889"/>
      <c r="AH31" s="890"/>
      <c r="AM31" s="415"/>
      <c r="AN31" s="894">
        <f t="shared" si="0"/>
        <v>0</v>
      </c>
      <c r="AO31" s="895"/>
      <c r="AP31" s="896"/>
      <c r="AU31" s="416"/>
      <c r="AV31" s="897">
        <f t="shared" si="1"/>
        <v>0</v>
      </c>
      <c r="AW31" s="898"/>
      <c r="AX31" s="899"/>
    </row>
    <row r="32" spans="3:64" s="51" customFormat="1" ht="18" customHeight="1" x14ac:dyDescent="0.15">
      <c r="C32" s="708">
        <v>3280</v>
      </c>
      <c r="D32" s="709"/>
      <c r="E32" s="700"/>
      <c r="F32" s="700"/>
      <c r="G32" s="700"/>
      <c r="H32" s="700"/>
      <c r="I32" s="700"/>
      <c r="J32" s="700"/>
      <c r="K32" s="700"/>
      <c r="L32" s="700"/>
      <c r="M32" s="700"/>
      <c r="N32" s="700"/>
      <c r="O32" s="309"/>
      <c r="P32" s="917"/>
      <c r="Q32" s="917"/>
      <c r="R32" s="310" t="s">
        <v>117</v>
      </c>
      <c r="S32" s="918"/>
      <c r="T32" s="918"/>
      <c r="U32" s="338" t="s">
        <v>143</v>
      </c>
      <c r="V32" s="311"/>
      <c r="W32" s="915">
        <f t="shared" si="2"/>
        <v>0</v>
      </c>
      <c r="X32" s="915"/>
      <c r="Y32" s="915"/>
      <c r="Z32" s="916"/>
      <c r="AB32" s="888">
        <v>0</v>
      </c>
      <c r="AC32" s="889"/>
      <c r="AD32" s="890"/>
      <c r="AF32" s="888">
        <f t="shared" si="3"/>
        <v>0</v>
      </c>
      <c r="AG32" s="889"/>
      <c r="AH32" s="890"/>
      <c r="AM32" s="415"/>
      <c r="AN32" s="894">
        <f t="shared" si="0"/>
        <v>0</v>
      </c>
      <c r="AO32" s="895"/>
      <c r="AP32" s="896"/>
      <c r="AU32" s="416"/>
      <c r="AV32" s="897">
        <f t="shared" si="1"/>
        <v>0</v>
      </c>
      <c r="AW32" s="898"/>
      <c r="AX32" s="899"/>
    </row>
    <row r="33" spans="3:64" s="51" customFormat="1" ht="18" customHeight="1" x14ac:dyDescent="0.15">
      <c r="C33" s="708">
        <v>3290</v>
      </c>
      <c r="D33" s="709"/>
      <c r="E33" s="700"/>
      <c r="F33" s="700"/>
      <c r="G33" s="700"/>
      <c r="H33" s="700"/>
      <c r="I33" s="700"/>
      <c r="J33" s="700"/>
      <c r="K33" s="700"/>
      <c r="L33" s="700"/>
      <c r="M33" s="700"/>
      <c r="N33" s="700"/>
      <c r="O33" s="309"/>
      <c r="P33" s="917"/>
      <c r="Q33" s="917"/>
      <c r="R33" s="310" t="s">
        <v>117</v>
      </c>
      <c r="S33" s="918"/>
      <c r="T33" s="918"/>
      <c r="U33" s="338" t="s">
        <v>143</v>
      </c>
      <c r="V33" s="311"/>
      <c r="W33" s="915">
        <f t="shared" si="2"/>
        <v>0</v>
      </c>
      <c r="X33" s="915"/>
      <c r="Y33" s="915"/>
      <c r="Z33" s="916"/>
      <c r="AB33" s="888">
        <v>0</v>
      </c>
      <c r="AC33" s="889"/>
      <c r="AD33" s="890"/>
      <c r="AF33" s="888">
        <f t="shared" si="3"/>
        <v>0</v>
      </c>
      <c r="AG33" s="889"/>
      <c r="AH33" s="890"/>
      <c r="AM33" s="415"/>
      <c r="AN33" s="894">
        <f t="shared" si="0"/>
        <v>0</v>
      </c>
      <c r="AO33" s="895"/>
      <c r="AP33" s="896"/>
      <c r="AU33" s="416"/>
      <c r="AV33" s="897">
        <f t="shared" si="1"/>
        <v>0</v>
      </c>
      <c r="AW33" s="898"/>
      <c r="AX33" s="899"/>
    </row>
    <row r="34" spans="3:64" s="51" customFormat="1" ht="18" customHeight="1" x14ac:dyDescent="0.15">
      <c r="C34" s="708">
        <v>3310</v>
      </c>
      <c r="D34" s="709"/>
      <c r="E34" s="700" t="s">
        <v>170</v>
      </c>
      <c r="F34" s="700"/>
      <c r="G34" s="700"/>
      <c r="H34" s="700"/>
      <c r="I34" s="700"/>
      <c r="J34" s="700"/>
      <c r="K34" s="700"/>
      <c r="L34" s="700"/>
      <c r="M34" s="700"/>
      <c r="N34" s="700"/>
      <c r="O34" s="309"/>
      <c r="P34" s="917" t="s">
        <v>448</v>
      </c>
      <c r="Q34" s="917"/>
      <c r="R34" s="310" t="s">
        <v>117</v>
      </c>
      <c r="S34" s="918"/>
      <c r="T34" s="918"/>
      <c r="U34" s="338" t="s">
        <v>143</v>
      </c>
      <c r="V34" s="311"/>
      <c r="W34" s="915">
        <f t="shared" si="2"/>
        <v>0</v>
      </c>
      <c r="X34" s="915"/>
      <c r="Y34" s="915"/>
      <c r="Z34" s="916"/>
      <c r="AB34" s="888">
        <v>0</v>
      </c>
      <c r="AC34" s="889"/>
      <c r="AD34" s="890"/>
      <c r="AF34" s="888">
        <f t="shared" si="3"/>
        <v>0</v>
      </c>
      <c r="AG34" s="889"/>
      <c r="AH34" s="890"/>
      <c r="AM34" s="415"/>
      <c r="AN34" s="894">
        <f t="shared" si="0"/>
        <v>0</v>
      </c>
      <c r="AO34" s="895"/>
      <c r="AP34" s="896"/>
      <c r="AU34" s="416"/>
      <c r="AV34" s="897">
        <f t="shared" si="1"/>
        <v>0</v>
      </c>
      <c r="AW34" s="898"/>
      <c r="AX34" s="899"/>
    </row>
    <row r="35" spans="3:64" s="51" customFormat="1" ht="18" customHeight="1" x14ac:dyDescent="0.15">
      <c r="C35" s="708">
        <v>3320</v>
      </c>
      <c r="D35" s="709"/>
      <c r="E35" s="700" t="s">
        <v>171</v>
      </c>
      <c r="F35" s="700"/>
      <c r="G35" s="700"/>
      <c r="H35" s="700"/>
      <c r="I35" s="700"/>
      <c r="J35" s="700"/>
      <c r="K35" s="700"/>
      <c r="L35" s="700"/>
      <c r="M35" s="700"/>
      <c r="N35" s="700"/>
      <c r="O35" s="309"/>
      <c r="P35" s="917" t="s">
        <v>448</v>
      </c>
      <c r="Q35" s="917"/>
      <c r="R35" s="310" t="s">
        <v>117</v>
      </c>
      <c r="S35" s="918"/>
      <c r="T35" s="918"/>
      <c r="U35" s="338" t="s">
        <v>143</v>
      </c>
      <c r="V35" s="311"/>
      <c r="W35" s="915">
        <f t="shared" si="2"/>
        <v>0</v>
      </c>
      <c r="X35" s="915"/>
      <c r="Y35" s="915"/>
      <c r="Z35" s="916"/>
      <c r="AB35" s="888">
        <v>0</v>
      </c>
      <c r="AC35" s="889"/>
      <c r="AD35" s="890"/>
      <c r="AF35" s="888">
        <f t="shared" si="3"/>
        <v>0</v>
      </c>
      <c r="AG35" s="889"/>
      <c r="AH35" s="890"/>
      <c r="AM35" s="415"/>
      <c r="AN35" s="894">
        <f t="shared" si="0"/>
        <v>0</v>
      </c>
      <c r="AO35" s="895"/>
      <c r="AP35" s="896"/>
      <c r="AU35" s="416"/>
      <c r="AV35" s="897">
        <f t="shared" si="1"/>
        <v>0</v>
      </c>
      <c r="AW35" s="898"/>
      <c r="AX35" s="899"/>
      <c r="BL35" s="51" t="s">
        <v>233</v>
      </c>
    </row>
    <row r="36" spans="3:64" s="51" customFormat="1" ht="18" customHeight="1" x14ac:dyDescent="0.15">
      <c r="C36" s="708">
        <v>3330</v>
      </c>
      <c r="D36" s="709"/>
      <c r="E36" s="700" t="s">
        <v>172</v>
      </c>
      <c r="F36" s="700"/>
      <c r="G36" s="700"/>
      <c r="H36" s="700"/>
      <c r="I36" s="700"/>
      <c r="J36" s="700"/>
      <c r="K36" s="700"/>
      <c r="L36" s="700"/>
      <c r="M36" s="700"/>
      <c r="N36" s="700"/>
      <c r="O36" s="309"/>
      <c r="P36" s="917" t="s">
        <v>448</v>
      </c>
      <c r="Q36" s="917"/>
      <c r="R36" s="310" t="s">
        <v>117</v>
      </c>
      <c r="S36" s="918"/>
      <c r="T36" s="918"/>
      <c r="U36" s="338" t="s">
        <v>143</v>
      </c>
      <c r="V36" s="311"/>
      <c r="W36" s="915">
        <f t="shared" si="2"/>
        <v>0</v>
      </c>
      <c r="X36" s="915"/>
      <c r="Y36" s="915"/>
      <c r="Z36" s="916"/>
      <c r="AB36" s="888">
        <v>0</v>
      </c>
      <c r="AC36" s="889"/>
      <c r="AD36" s="890"/>
      <c r="AF36" s="888">
        <f t="shared" si="3"/>
        <v>0</v>
      </c>
      <c r="AG36" s="889"/>
      <c r="AH36" s="890"/>
      <c r="AM36" s="415"/>
      <c r="AN36" s="894">
        <f t="shared" si="0"/>
        <v>0</v>
      </c>
      <c r="AO36" s="895"/>
      <c r="AP36" s="896"/>
      <c r="AU36" s="416"/>
      <c r="AV36" s="897">
        <f t="shared" si="1"/>
        <v>0</v>
      </c>
      <c r="AW36" s="898"/>
      <c r="AX36" s="899"/>
    </row>
    <row r="37" spans="3:64" s="51" customFormat="1" ht="18" customHeight="1" x14ac:dyDescent="0.15">
      <c r="C37" s="708">
        <v>3340</v>
      </c>
      <c r="D37" s="709"/>
      <c r="E37" s="700"/>
      <c r="F37" s="700"/>
      <c r="G37" s="700"/>
      <c r="H37" s="700"/>
      <c r="I37" s="700"/>
      <c r="J37" s="700"/>
      <c r="K37" s="700"/>
      <c r="L37" s="700"/>
      <c r="M37" s="700"/>
      <c r="N37" s="700"/>
      <c r="O37" s="309"/>
      <c r="P37" s="917"/>
      <c r="Q37" s="917"/>
      <c r="R37" s="310" t="s">
        <v>117</v>
      </c>
      <c r="S37" s="918"/>
      <c r="T37" s="918"/>
      <c r="U37" s="338" t="s">
        <v>143</v>
      </c>
      <c r="V37" s="311"/>
      <c r="W37" s="915">
        <f t="shared" si="2"/>
        <v>0</v>
      </c>
      <c r="X37" s="915"/>
      <c r="Y37" s="915"/>
      <c r="Z37" s="916"/>
      <c r="AB37" s="888">
        <v>0</v>
      </c>
      <c r="AC37" s="889"/>
      <c r="AD37" s="890"/>
      <c r="AF37" s="888">
        <f t="shared" si="3"/>
        <v>0</v>
      </c>
      <c r="AG37" s="889"/>
      <c r="AH37" s="890"/>
      <c r="AM37" s="415"/>
      <c r="AN37" s="894">
        <f t="shared" si="0"/>
        <v>0</v>
      </c>
      <c r="AO37" s="895"/>
      <c r="AP37" s="896"/>
      <c r="AU37" s="416"/>
      <c r="AV37" s="897">
        <f t="shared" si="1"/>
        <v>0</v>
      </c>
      <c r="AW37" s="898"/>
      <c r="AX37" s="899"/>
    </row>
    <row r="38" spans="3:64" s="51" customFormat="1" ht="18" customHeight="1" x14ac:dyDescent="0.15">
      <c r="C38" s="708">
        <v>3350</v>
      </c>
      <c r="D38" s="709"/>
      <c r="E38" s="700"/>
      <c r="F38" s="700"/>
      <c r="G38" s="700"/>
      <c r="H38" s="700"/>
      <c r="I38" s="700"/>
      <c r="J38" s="700"/>
      <c r="K38" s="700"/>
      <c r="L38" s="700"/>
      <c r="M38" s="700"/>
      <c r="N38" s="700"/>
      <c r="O38" s="309"/>
      <c r="P38" s="917"/>
      <c r="Q38" s="917"/>
      <c r="R38" s="310" t="s">
        <v>117</v>
      </c>
      <c r="S38" s="918"/>
      <c r="T38" s="918"/>
      <c r="U38" s="338" t="s">
        <v>143</v>
      </c>
      <c r="V38" s="311"/>
      <c r="W38" s="915">
        <f t="shared" si="2"/>
        <v>0</v>
      </c>
      <c r="X38" s="915"/>
      <c r="Y38" s="915"/>
      <c r="Z38" s="916"/>
      <c r="AB38" s="888">
        <v>0</v>
      </c>
      <c r="AC38" s="889"/>
      <c r="AD38" s="890"/>
      <c r="AF38" s="888">
        <f t="shared" si="3"/>
        <v>0</v>
      </c>
      <c r="AG38" s="889"/>
      <c r="AH38" s="890"/>
      <c r="AM38" s="415"/>
      <c r="AN38" s="894">
        <f t="shared" si="0"/>
        <v>0</v>
      </c>
      <c r="AO38" s="895"/>
      <c r="AP38" s="896"/>
      <c r="AU38" s="416"/>
      <c r="AV38" s="897">
        <f t="shared" si="1"/>
        <v>0</v>
      </c>
      <c r="AW38" s="898"/>
      <c r="AX38" s="899"/>
    </row>
    <row r="39" spans="3:64" s="51" customFormat="1" ht="18" customHeight="1" x14ac:dyDescent="0.15">
      <c r="C39" s="708">
        <v>3360</v>
      </c>
      <c r="D39" s="709"/>
      <c r="E39" s="700"/>
      <c r="F39" s="700"/>
      <c r="G39" s="700"/>
      <c r="H39" s="700"/>
      <c r="I39" s="700"/>
      <c r="J39" s="700"/>
      <c r="K39" s="700"/>
      <c r="L39" s="700"/>
      <c r="M39" s="700"/>
      <c r="N39" s="700"/>
      <c r="O39" s="309"/>
      <c r="P39" s="917"/>
      <c r="Q39" s="917"/>
      <c r="R39" s="310" t="s">
        <v>117</v>
      </c>
      <c r="S39" s="918"/>
      <c r="T39" s="918"/>
      <c r="U39" s="338" t="s">
        <v>143</v>
      </c>
      <c r="V39" s="311"/>
      <c r="W39" s="915">
        <f t="shared" si="2"/>
        <v>0</v>
      </c>
      <c r="X39" s="915"/>
      <c r="Y39" s="915"/>
      <c r="Z39" s="916"/>
      <c r="AB39" s="888">
        <v>0</v>
      </c>
      <c r="AC39" s="889"/>
      <c r="AD39" s="890"/>
      <c r="AF39" s="888">
        <f t="shared" si="3"/>
        <v>0</v>
      </c>
      <c r="AG39" s="889"/>
      <c r="AH39" s="890"/>
      <c r="AM39" s="415"/>
      <c r="AN39" s="894">
        <f t="shared" ref="AN39:AN60" si="4">IF(AM39="X",W39*R_MU,0)</f>
        <v>0</v>
      </c>
      <c r="AO39" s="895"/>
      <c r="AP39" s="896"/>
      <c r="AU39" s="416"/>
      <c r="AV39" s="897">
        <f t="shared" ref="AV39:AV60" si="5">IF(AU39="X",W39*R_TX,0)</f>
        <v>0</v>
      </c>
      <c r="AW39" s="898"/>
      <c r="AX39" s="899"/>
    </row>
    <row r="40" spans="3:64" s="51" customFormat="1" ht="18" customHeight="1" x14ac:dyDescent="0.15">
      <c r="C40" s="708">
        <v>3370</v>
      </c>
      <c r="D40" s="709"/>
      <c r="E40" s="700"/>
      <c r="F40" s="700"/>
      <c r="G40" s="700"/>
      <c r="H40" s="700"/>
      <c r="I40" s="700"/>
      <c r="J40" s="700"/>
      <c r="K40" s="700"/>
      <c r="L40" s="700"/>
      <c r="M40" s="700"/>
      <c r="N40" s="700"/>
      <c r="O40" s="309"/>
      <c r="P40" s="917"/>
      <c r="Q40" s="917"/>
      <c r="R40" s="310" t="s">
        <v>117</v>
      </c>
      <c r="S40" s="918"/>
      <c r="T40" s="918"/>
      <c r="U40" s="338" t="s">
        <v>143</v>
      </c>
      <c r="V40" s="311"/>
      <c r="W40" s="915">
        <f t="shared" si="2"/>
        <v>0</v>
      </c>
      <c r="X40" s="915"/>
      <c r="Y40" s="915"/>
      <c r="Z40" s="916"/>
      <c r="AB40" s="888">
        <v>0</v>
      </c>
      <c r="AC40" s="889"/>
      <c r="AD40" s="890"/>
      <c r="AF40" s="888">
        <f t="shared" si="3"/>
        <v>0</v>
      </c>
      <c r="AG40" s="889"/>
      <c r="AH40" s="890"/>
      <c r="AM40" s="415"/>
      <c r="AN40" s="894">
        <f t="shared" si="4"/>
        <v>0</v>
      </c>
      <c r="AO40" s="895"/>
      <c r="AP40" s="896"/>
      <c r="AU40" s="416"/>
      <c r="AV40" s="897">
        <f t="shared" si="5"/>
        <v>0</v>
      </c>
      <c r="AW40" s="898"/>
      <c r="AX40" s="899"/>
    </row>
    <row r="41" spans="3:64" s="51" customFormat="1" ht="18" customHeight="1" x14ac:dyDescent="0.15">
      <c r="C41" s="708">
        <v>3380</v>
      </c>
      <c r="D41" s="709"/>
      <c r="E41" s="700"/>
      <c r="F41" s="700"/>
      <c r="G41" s="700"/>
      <c r="H41" s="700"/>
      <c r="I41" s="700"/>
      <c r="J41" s="700"/>
      <c r="K41" s="700"/>
      <c r="L41" s="700"/>
      <c r="M41" s="700"/>
      <c r="N41" s="700"/>
      <c r="O41" s="309"/>
      <c r="P41" s="917"/>
      <c r="Q41" s="917"/>
      <c r="R41" s="310" t="s">
        <v>117</v>
      </c>
      <c r="S41" s="918"/>
      <c r="T41" s="918"/>
      <c r="U41" s="338" t="s">
        <v>143</v>
      </c>
      <c r="V41" s="311"/>
      <c r="W41" s="915">
        <f t="shared" si="2"/>
        <v>0</v>
      </c>
      <c r="X41" s="915"/>
      <c r="Y41" s="915"/>
      <c r="Z41" s="916"/>
      <c r="AB41" s="888">
        <v>0</v>
      </c>
      <c r="AC41" s="889"/>
      <c r="AD41" s="890"/>
      <c r="AF41" s="888">
        <f t="shared" si="3"/>
        <v>0</v>
      </c>
      <c r="AG41" s="889"/>
      <c r="AH41" s="890"/>
      <c r="AM41" s="415"/>
      <c r="AN41" s="894">
        <f t="shared" si="4"/>
        <v>0</v>
      </c>
      <c r="AO41" s="895"/>
      <c r="AP41" s="896"/>
      <c r="AU41" s="416"/>
      <c r="AV41" s="897">
        <f t="shared" si="5"/>
        <v>0</v>
      </c>
      <c r="AW41" s="898"/>
      <c r="AX41" s="899"/>
    </row>
    <row r="42" spans="3:64" s="51" customFormat="1" ht="18" customHeight="1" x14ac:dyDescent="0.15">
      <c r="C42" s="708">
        <v>3390</v>
      </c>
      <c r="D42" s="709"/>
      <c r="E42" s="700"/>
      <c r="F42" s="700"/>
      <c r="G42" s="700"/>
      <c r="H42" s="700"/>
      <c r="I42" s="700"/>
      <c r="J42" s="700"/>
      <c r="K42" s="700"/>
      <c r="L42" s="700"/>
      <c r="M42" s="700"/>
      <c r="N42" s="700"/>
      <c r="O42" s="309"/>
      <c r="P42" s="917"/>
      <c r="Q42" s="917"/>
      <c r="R42" s="310" t="s">
        <v>117</v>
      </c>
      <c r="S42" s="918"/>
      <c r="T42" s="918"/>
      <c r="U42" s="338" t="s">
        <v>143</v>
      </c>
      <c r="V42" s="311"/>
      <c r="W42" s="915">
        <f t="shared" si="2"/>
        <v>0</v>
      </c>
      <c r="X42" s="915"/>
      <c r="Y42" s="915"/>
      <c r="Z42" s="916"/>
      <c r="AB42" s="888">
        <v>0</v>
      </c>
      <c r="AC42" s="889"/>
      <c r="AD42" s="890"/>
      <c r="AF42" s="888">
        <f t="shared" si="3"/>
        <v>0</v>
      </c>
      <c r="AG42" s="889"/>
      <c r="AH42" s="890"/>
      <c r="AM42" s="415"/>
      <c r="AN42" s="894">
        <f t="shared" si="4"/>
        <v>0</v>
      </c>
      <c r="AO42" s="895"/>
      <c r="AP42" s="896"/>
      <c r="AU42" s="416"/>
      <c r="AV42" s="897">
        <f t="shared" si="5"/>
        <v>0</v>
      </c>
      <c r="AW42" s="898"/>
      <c r="AX42" s="899"/>
    </row>
    <row r="43" spans="3:64" s="51" customFormat="1" ht="18" customHeight="1" x14ac:dyDescent="0.15">
      <c r="C43" s="708">
        <v>3410</v>
      </c>
      <c r="D43" s="709"/>
      <c r="E43" s="700" t="s">
        <v>174</v>
      </c>
      <c r="F43" s="700"/>
      <c r="G43" s="700"/>
      <c r="H43" s="700"/>
      <c r="I43" s="700"/>
      <c r="J43" s="700"/>
      <c r="K43" s="700"/>
      <c r="L43" s="700"/>
      <c r="M43" s="700"/>
      <c r="N43" s="700"/>
      <c r="O43" s="309"/>
      <c r="P43" s="917" t="s">
        <v>140</v>
      </c>
      <c r="Q43" s="917"/>
      <c r="R43" s="310" t="s">
        <v>117</v>
      </c>
      <c r="S43" s="918"/>
      <c r="T43" s="918"/>
      <c r="U43" s="338" t="s">
        <v>143</v>
      </c>
      <c r="V43" s="311"/>
      <c r="W43" s="915">
        <f t="shared" si="2"/>
        <v>0</v>
      </c>
      <c r="X43" s="915"/>
      <c r="Y43" s="915"/>
      <c r="Z43" s="916"/>
      <c r="AB43" s="888">
        <v>0</v>
      </c>
      <c r="AC43" s="889"/>
      <c r="AD43" s="890"/>
      <c r="AF43" s="888">
        <f t="shared" si="3"/>
        <v>0</v>
      </c>
      <c r="AG43" s="889"/>
      <c r="AH43" s="890"/>
      <c r="AM43" s="415"/>
      <c r="AN43" s="894">
        <f t="shared" si="4"/>
        <v>0</v>
      </c>
      <c r="AO43" s="895"/>
      <c r="AP43" s="896"/>
      <c r="AU43" s="416"/>
      <c r="AV43" s="897">
        <f t="shared" si="5"/>
        <v>0</v>
      </c>
      <c r="AW43" s="898"/>
      <c r="AX43" s="899"/>
    </row>
    <row r="44" spans="3:64" s="51" customFormat="1" ht="18" customHeight="1" x14ac:dyDescent="0.15">
      <c r="C44" s="708">
        <v>3420</v>
      </c>
      <c r="D44" s="709"/>
      <c r="E44" s="700" t="s">
        <v>177</v>
      </c>
      <c r="F44" s="700"/>
      <c r="G44" s="700"/>
      <c r="H44" s="700"/>
      <c r="I44" s="700"/>
      <c r="J44" s="700"/>
      <c r="K44" s="700"/>
      <c r="L44" s="700"/>
      <c r="M44" s="700"/>
      <c r="N44" s="700"/>
      <c r="O44" s="309"/>
      <c r="P44" s="917" t="s">
        <v>451</v>
      </c>
      <c r="Q44" s="917"/>
      <c r="R44" s="310" t="s">
        <v>117</v>
      </c>
      <c r="S44" s="918"/>
      <c r="T44" s="918"/>
      <c r="U44" s="338" t="s">
        <v>143</v>
      </c>
      <c r="V44" s="311"/>
      <c r="W44" s="915">
        <f t="shared" si="2"/>
        <v>0</v>
      </c>
      <c r="X44" s="915"/>
      <c r="Y44" s="915"/>
      <c r="Z44" s="916"/>
      <c r="AB44" s="888">
        <v>0</v>
      </c>
      <c r="AC44" s="889"/>
      <c r="AD44" s="890"/>
      <c r="AF44" s="888">
        <f t="shared" si="3"/>
        <v>0</v>
      </c>
      <c r="AG44" s="889"/>
      <c r="AH44" s="890"/>
      <c r="AM44" s="415"/>
      <c r="AN44" s="894">
        <f t="shared" si="4"/>
        <v>0</v>
      </c>
      <c r="AO44" s="895"/>
      <c r="AP44" s="896"/>
      <c r="AU44" s="416"/>
      <c r="AV44" s="897">
        <f t="shared" si="5"/>
        <v>0</v>
      </c>
      <c r="AW44" s="898"/>
      <c r="AX44" s="899"/>
    </row>
    <row r="45" spans="3:64" s="51" customFormat="1" ht="18" customHeight="1" x14ac:dyDescent="0.15">
      <c r="C45" s="708">
        <v>3430</v>
      </c>
      <c r="D45" s="709"/>
      <c r="E45" s="700"/>
      <c r="F45" s="700"/>
      <c r="G45" s="700"/>
      <c r="H45" s="700"/>
      <c r="I45" s="700"/>
      <c r="J45" s="700"/>
      <c r="K45" s="700"/>
      <c r="L45" s="700"/>
      <c r="M45" s="700"/>
      <c r="N45" s="700"/>
      <c r="O45" s="309"/>
      <c r="P45" s="917"/>
      <c r="Q45" s="917"/>
      <c r="R45" s="310" t="s">
        <v>117</v>
      </c>
      <c r="S45" s="918"/>
      <c r="T45" s="918"/>
      <c r="U45" s="338" t="s">
        <v>143</v>
      </c>
      <c r="V45" s="311"/>
      <c r="W45" s="915">
        <f t="shared" si="2"/>
        <v>0</v>
      </c>
      <c r="X45" s="915"/>
      <c r="Y45" s="915"/>
      <c r="Z45" s="916"/>
      <c r="AB45" s="888">
        <v>0</v>
      </c>
      <c r="AC45" s="889"/>
      <c r="AD45" s="890"/>
      <c r="AF45" s="888">
        <f t="shared" si="3"/>
        <v>0</v>
      </c>
      <c r="AG45" s="889"/>
      <c r="AH45" s="890"/>
      <c r="AM45" s="415"/>
      <c r="AN45" s="894">
        <f t="shared" si="4"/>
        <v>0</v>
      </c>
      <c r="AO45" s="895"/>
      <c r="AP45" s="896"/>
      <c r="AU45" s="416"/>
      <c r="AV45" s="897">
        <f t="shared" si="5"/>
        <v>0</v>
      </c>
      <c r="AW45" s="898"/>
      <c r="AX45" s="899"/>
    </row>
    <row r="46" spans="3:64" s="51" customFormat="1" ht="18" customHeight="1" x14ac:dyDescent="0.15">
      <c r="C46" s="708">
        <v>3440</v>
      </c>
      <c r="D46" s="709"/>
      <c r="E46" s="700"/>
      <c r="F46" s="700"/>
      <c r="G46" s="700"/>
      <c r="H46" s="700"/>
      <c r="I46" s="700"/>
      <c r="J46" s="700"/>
      <c r="K46" s="700"/>
      <c r="L46" s="700"/>
      <c r="M46" s="700"/>
      <c r="N46" s="700"/>
      <c r="O46" s="309"/>
      <c r="P46" s="917"/>
      <c r="Q46" s="917"/>
      <c r="R46" s="310" t="s">
        <v>117</v>
      </c>
      <c r="S46" s="918"/>
      <c r="T46" s="918"/>
      <c r="U46" s="338" t="s">
        <v>143</v>
      </c>
      <c r="V46" s="311"/>
      <c r="W46" s="915">
        <f t="shared" si="2"/>
        <v>0</v>
      </c>
      <c r="X46" s="915"/>
      <c r="Y46" s="915"/>
      <c r="Z46" s="916"/>
      <c r="AB46" s="888">
        <v>0</v>
      </c>
      <c r="AC46" s="889"/>
      <c r="AD46" s="890"/>
      <c r="AF46" s="888">
        <f t="shared" si="3"/>
        <v>0</v>
      </c>
      <c r="AG46" s="889"/>
      <c r="AH46" s="890"/>
      <c r="AM46" s="415"/>
      <c r="AN46" s="894">
        <f t="shared" si="4"/>
        <v>0</v>
      </c>
      <c r="AO46" s="895"/>
      <c r="AP46" s="896"/>
      <c r="AU46" s="416"/>
      <c r="AV46" s="897">
        <f t="shared" si="5"/>
        <v>0</v>
      </c>
      <c r="AW46" s="898"/>
      <c r="AX46" s="899"/>
    </row>
    <row r="47" spans="3:64" s="51" customFormat="1" ht="18" customHeight="1" x14ac:dyDescent="0.15">
      <c r="C47" s="708">
        <v>3450</v>
      </c>
      <c r="D47" s="709"/>
      <c r="E47" s="700"/>
      <c r="F47" s="700"/>
      <c r="G47" s="700"/>
      <c r="H47" s="700"/>
      <c r="I47" s="700"/>
      <c r="J47" s="700"/>
      <c r="K47" s="700"/>
      <c r="L47" s="700"/>
      <c r="M47" s="700"/>
      <c r="N47" s="700"/>
      <c r="O47" s="309"/>
      <c r="P47" s="917"/>
      <c r="Q47" s="917"/>
      <c r="R47" s="310" t="s">
        <v>117</v>
      </c>
      <c r="S47" s="918"/>
      <c r="T47" s="918"/>
      <c r="U47" s="338" t="s">
        <v>143</v>
      </c>
      <c r="V47" s="311"/>
      <c r="W47" s="915">
        <f t="shared" si="2"/>
        <v>0</v>
      </c>
      <c r="X47" s="915"/>
      <c r="Y47" s="915"/>
      <c r="Z47" s="916"/>
      <c r="AB47" s="888">
        <v>0</v>
      </c>
      <c r="AC47" s="889"/>
      <c r="AD47" s="890"/>
      <c r="AF47" s="888">
        <f t="shared" si="3"/>
        <v>0</v>
      </c>
      <c r="AG47" s="889"/>
      <c r="AH47" s="890"/>
      <c r="AM47" s="415"/>
      <c r="AN47" s="894">
        <f t="shared" si="4"/>
        <v>0</v>
      </c>
      <c r="AO47" s="895"/>
      <c r="AP47" s="896"/>
      <c r="AU47" s="416"/>
      <c r="AV47" s="897">
        <f t="shared" si="5"/>
        <v>0</v>
      </c>
      <c r="AW47" s="898"/>
      <c r="AX47" s="899"/>
    </row>
    <row r="48" spans="3:64" s="51" customFormat="1" ht="18" customHeight="1" x14ac:dyDescent="0.15">
      <c r="C48" s="708">
        <v>3460</v>
      </c>
      <c r="D48" s="709"/>
      <c r="E48" s="700"/>
      <c r="F48" s="700"/>
      <c r="G48" s="700"/>
      <c r="H48" s="700"/>
      <c r="I48" s="700"/>
      <c r="J48" s="700"/>
      <c r="K48" s="700"/>
      <c r="L48" s="700"/>
      <c r="M48" s="700"/>
      <c r="N48" s="700"/>
      <c r="O48" s="309"/>
      <c r="P48" s="917"/>
      <c r="Q48" s="917"/>
      <c r="R48" s="310" t="s">
        <v>117</v>
      </c>
      <c r="S48" s="918"/>
      <c r="T48" s="918"/>
      <c r="U48" s="338" t="s">
        <v>143</v>
      </c>
      <c r="V48" s="311"/>
      <c r="W48" s="915">
        <f t="shared" si="2"/>
        <v>0</v>
      </c>
      <c r="X48" s="915"/>
      <c r="Y48" s="915"/>
      <c r="Z48" s="916"/>
      <c r="AB48" s="888">
        <v>0</v>
      </c>
      <c r="AC48" s="889"/>
      <c r="AD48" s="890"/>
      <c r="AF48" s="888">
        <f t="shared" si="3"/>
        <v>0</v>
      </c>
      <c r="AG48" s="889"/>
      <c r="AH48" s="890"/>
      <c r="AM48" s="415"/>
      <c r="AN48" s="894">
        <f t="shared" si="4"/>
        <v>0</v>
      </c>
      <c r="AO48" s="895"/>
      <c r="AP48" s="896"/>
      <c r="AU48" s="416"/>
      <c r="AV48" s="897">
        <f t="shared" si="5"/>
        <v>0</v>
      </c>
      <c r="AW48" s="898"/>
      <c r="AX48" s="899"/>
    </row>
    <row r="49" spans="3:52" s="51" customFormat="1" ht="18" customHeight="1" x14ac:dyDescent="0.15">
      <c r="C49" s="708">
        <v>3470</v>
      </c>
      <c r="D49" s="709"/>
      <c r="E49" s="700"/>
      <c r="F49" s="700"/>
      <c r="G49" s="700"/>
      <c r="H49" s="700"/>
      <c r="I49" s="700"/>
      <c r="J49" s="700"/>
      <c r="K49" s="700"/>
      <c r="L49" s="700"/>
      <c r="M49" s="700"/>
      <c r="N49" s="700"/>
      <c r="O49" s="309"/>
      <c r="P49" s="917"/>
      <c r="Q49" s="917"/>
      <c r="R49" s="310" t="s">
        <v>117</v>
      </c>
      <c r="S49" s="918"/>
      <c r="T49" s="918"/>
      <c r="U49" s="338" t="s">
        <v>143</v>
      </c>
      <c r="V49" s="311"/>
      <c r="W49" s="915">
        <f t="shared" si="2"/>
        <v>0</v>
      </c>
      <c r="X49" s="915"/>
      <c r="Y49" s="915"/>
      <c r="Z49" s="916"/>
      <c r="AB49" s="888">
        <v>0</v>
      </c>
      <c r="AC49" s="889"/>
      <c r="AD49" s="890"/>
      <c r="AF49" s="888">
        <f t="shared" si="3"/>
        <v>0</v>
      </c>
      <c r="AG49" s="889"/>
      <c r="AH49" s="890"/>
      <c r="AM49" s="415"/>
      <c r="AN49" s="894">
        <f t="shared" si="4"/>
        <v>0</v>
      </c>
      <c r="AO49" s="895"/>
      <c r="AP49" s="896"/>
      <c r="AU49" s="416"/>
      <c r="AV49" s="897">
        <f t="shared" si="5"/>
        <v>0</v>
      </c>
      <c r="AW49" s="898"/>
      <c r="AX49" s="899"/>
    </row>
    <row r="50" spans="3:52" s="51" customFormat="1" ht="18" customHeight="1" x14ac:dyDescent="0.15">
      <c r="C50" s="708">
        <v>3480</v>
      </c>
      <c r="D50" s="709"/>
      <c r="E50" s="700"/>
      <c r="F50" s="700"/>
      <c r="G50" s="700"/>
      <c r="H50" s="700"/>
      <c r="I50" s="700"/>
      <c r="J50" s="700"/>
      <c r="K50" s="700"/>
      <c r="L50" s="700"/>
      <c r="M50" s="700"/>
      <c r="N50" s="700"/>
      <c r="O50" s="309"/>
      <c r="P50" s="917"/>
      <c r="Q50" s="917"/>
      <c r="R50" s="310" t="s">
        <v>117</v>
      </c>
      <c r="S50" s="918"/>
      <c r="T50" s="918"/>
      <c r="U50" s="338" t="s">
        <v>143</v>
      </c>
      <c r="V50" s="311"/>
      <c r="W50" s="915">
        <f t="shared" si="2"/>
        <v>0</v>
      </c>
      <c r="X50" s="915"/>
      <c r="Y50" s="915"/>
      <c r="Z50" s="916"/>
      <c r="AB50" s="888">
        <v>0</v>
      </c>
      <c r="AC50" s="889"/>
      <c r="AD50" s="890"/>
      <c r="AF50" s="888">
        <f t="shared" si="3"/>
        <v>0</v>
      </c>
      <c r="AG50" s="889"/>
      <c r="AH50" s="890"/>
      <c r="AM50" s="415"/>
      <c r="AN50" s="894">
        <f t="shared" si="4"/>
        <v>0</v>
      </c>
      <c r="AO50" s="895"/>
      <c r="AP50" s="896"/>
      <c r="AU50" s="416"/>
      <c r="AV50" s="897">
        <f t="shared" si="5"/>
        <v>0</v>
      </c>
      <c r="AW50" s="898"/>
      <c r="AX50" s="899"/>
    </row>
    <row r="51" spans="3:52" s="51" customFormat="1" ht="18" customHeight="1" x14ac:dyDescent="0.15">
      <c r="C51" s="708">
        <v>3490</v>
      </c>
      <c r="D51" s="709"/>
      <c r="E51" s="700"/>
      <c r="F51" s="700"/>
      <c r="G51" s="700"/>
      <c r="H51" s="700"/>
      <c r="I51" s="700"/>
      <c r="J51" s="700"/>
      <c r="K51" s="700"/>
      <c r="L51" s="700"/>
      <c r="M51" s="700"/>
      <c r="N51" s="700"/>
      <c r="O51" s="309"/>
      <c r="P51" s="917"/>
      <c r="Q51" s="917"/>
      <c r="R51" s="310" t="s">
        <v>117</v>
      </c>
      <c r="S51" s="918"/>
      <c r="T51" s="918"/>
      <c r="U51" s="338" t="s">
        <v>143</v>
      </c>
      <c r="V51" s="311"/>
      <c r="W51" s="915">
        <f t="shared" si="2"/>
        <v>0</v>
      </c>
      <c r="X51" s="915"/>
      <c r="Y51" s="915"/>
      <c r="Z51" s="916"/>
      <c r="AB51" s="888">
        <v>0</v>
      </c>
      <c r="AC51" s="889"/>
      <c r="AD51" s="890"/>
      <c r="AF51" s="888">
        <f t="shared" si="3"/>
        <v>0</v>
      </c>
      <c r="AG51" s="889"/>
      <c r="AH51" s="890"/>
      <c r="AM51" s="415"/>
      <c r="AN51" s="894">
        <f t="shared" si="4"/>
        <v>0</v>
      </c>
      <c r="AO51" s="895"/>
      <c r="AP51" s="896"/>
      <c r="AU51" s="416"/>
      <c r="AV51" s="897">
        <f t="shared" si="5"/>
        <v>0</v>
      </c>
      <c r="AW51" s="898"/>
      <c r="AX51" s="899"/>
    </row>
    <row r="52" spans="3:52" s="51" customFormat="1" ht="18" customHeight="1" x14ac:dyDescent="0.15">
      <c r="C52" s="708">
        <v>3510</v>
      </c>
      <c r="D52" s="709"/>
      <c r="E52" s="700" t="s">
        <v>174</v>
      </c>
      <c r="F52" s="700"/>
      <c r="G52" s="700"/>
      <c r="H52" s="700"/>
      <c r="I52" s="700"/>
      <c r="J52" s="700"/>
      <c r="K52" s="700"/>
      <c r="L52" s="700"/>
      <c r="M52" s="700"/>
      <c r="N52" s="700"/>
      <c r="O52" s="309"/>
      <c r="P52" s="917" t="s">
        <v>140</v>
      </c>
      <c r="Q52" s="917"/>
      <c r="R52" s="310" t="s">
        <v>117</v>
      </c>
      <c r="S52" s="918"/>
      <c r="T52" s="918"/>
      <c r="U52" s="338" t="s">
        <v>143</v>
      </c>
      <c r="V52" s="311"/>
      <c r="W52" s="915">
        <f t="shared" si="2"/>
        <v>0</v>
      </c>
      <c r="X52" s="915"/>
      <c r="Y52" s="915"/>
      <c r="Z52" s="916"/>
      <c r="AB52" s="888">
        <v>0</v>
      </c>
      <c r="AC52" s="889"/>
      <c r="AD52" s="890"/>
      <c r="AF52" s="888">
        <f t="shared" si="3"/>
        <v>0</v>
      </c>
      <c r="AG52" s="889"/>
      <c r="AH52" s="890"/>
      <c r="AM52" s="415"/>
      <c r="AN52" s="894">
        <f t="shared" si="4"/>
        <v>0</v>
      </c>
      <c r="AO52" s="895"/>
      <c r="AP52" s="896"/>
      <c r="AU52" s="416"/>
      <c r="AV52" s="897">
        <f t="shared" si="5"/>
        <v>0</v>
      </c>
      <c r="AW52" s="898"/>
      <c r="AX52" s="899"/>
    </row>
    <row r="53" spans="3:52" s="51" customFormat="1" ht="18" customHeight="1" x14ac:dyDescent="0.15">
      <c r="C53" s="708">
        <v>3520</v>
      </c>
      <c r="D53" s="709"/>
      <c r="E53" s="700" t="s">
        <v>177</v>
      </c>
      <c r="F53" s="700"/>
      <c r="G53" s="700"/>
      <c r="H53" s="700"/>
      <c r="I53" s="700"/>
      <c r="J53" s="700"/>
      <c r="K53" s="700"/>
      <c r="L53" s="700"/>
      <c r="M53" s="700"/>
      <c r="N53" s="700"/>
      <c r="O53" s="309"/>
      <c r="P53" s="917" t="s">
        <v>451</v>
      </c>
      <c r="Q53" s="917"/>
      <c r="R53" s="310" t="s">
        <v>117</v>
      </c>
      <c r="S53" s="918"/>
      <c r="T53" s="918"/>
      <c r="U53" s="338" t="s">
        <v>143</v>
      </c>
      <c r="V53" s="311"/>
      <c r="W53" s="915">
        <f t="shared" si="2"/>
        <v>0</v>
      </c>
      <c r="X53" s="915"/>
      <c r="Y53" s="915"/>
      <c r="Z53" s="916"/>
      <c r="AB53" s="888">
        <v>0</v>
      </c>
      <c r="AC53" s="889"/>
      <c r="AD53" s="890"/>
      <c r="AF53" s="888">
        <f t="shared" si="3"/>
        <v>0</v>
      </c>
      <c r="AG53" s="889"/>
      <c r="AH53" s="890"/>
      <c r="AM53" s="415"/>
      <c r="AN53" s="894">
        <f t="shared" si="4"/>
        <v>0</v>
      </c>
      <c r="AO53" s="895"/>
      <c r="AP53" s="896"/>
      <c r="AU53" s="416"/>
      <c r="AV53" s="897">
        <f t="shared" si="5"/>
        <v>0</v>
      </c>
      <c r="AW53" s="898"/>
      <c r="AX53" s="899"/>
    </row>
    <row r="54" spans="3:52" s="51" customFormat="1" ht="18" customHeight="1" x14ac:dyDescent="0.15">
      <c r="C54" s="708">
        <v>3530</v>
      </c>
      <c r="D54" s="709"/>
      <c r="E54" s="700"/>
      <c r="F54" s="700"/>
      <c r="G54" s="700"/>
      <c r="H54" s="700"/>
      <c r="I54" s="700"/>
      <c r="J54" s="700"/>
      <c r="K54" s="700"/>
      <c r="L54" s="700"/>
      <c r="M54" s="700"/>
      <c r="N54" s="700"/>
      <c r="O54" s="309"/>
      <c r="P54" s="917"/>
      <c r="Q54" s="917"/>
      <c r="R54" s="310" t="s">
        <v>117</v>
      </c>
      <c r="S54" s="918"/>
      <c r="T54" s="918"/>
      <c r="U54" s="338" t="s">
        <v>143</v>
      </c>
      <c r="V54" s="311"/>
      <c r="W54" s="915">
        <f t="shared" si="2"/>
        <v>0</v>
      </c>
      <c r="X54" s="915"/>
      <c r="Y54" s="915"/>
      <c r="Z54" s="916"/>
      <c r="AB54" s="888">
        <v>0</v>
      </c>
      <c r="AC54" s="889"/>
      <c r="AD54" s="890"/>
      <c r="AF54" s="888">
        <f t="shared" si="3"/>
        <v>0</v>
      </c>
      <c r="AG54" s="889"/>
      <c r="AH54" s="890"/>
      <c r="AM54" s="415"/>
      <c r="AN54" s="894">
        <f t="shared" si="4"/>
        <v>0</v>
      </c>
      <c r="AO54" s="895"/>
      <c r="AP54" s="896"/>
      <c r="AU54" s="416"/>
      <c r="AV54" s="897">
        <f t="shared" si="5"/>
        <v>0</v>
      </c>
      <c r="AW54" s="898"/>
      <c r="AX54" s="899"/>
    </row>
    <row r="55" spans="3:52" s="51" customFormat="1" ht="18" customHeight="1" x14ac:dyDescent="0.15">
      <c r="C55" s="708">
        <v>3540</v>
      </c>
      <c r="D55" s="709"/>
      <c r="E55" s="700"/>
      <c r="F55" s="700"/>
      <c r="G55" s="700"/>
      <c r="H55" s="700"/>
      <c r="I55" s="700"/>
      <c r="J55" s="700"/>
      <c r="K55" s="700"/>
      <c r="L55" s="700"/>
      <c r="M55" s="700"/>
      <c r="N55" s="700"/>
      <c r="O55" s="309"/>
      <c r="P55" s="917"/>
      <c r="Q55" s="917"/>
      <c r="R55" s="310" t="s">
        <v>117</v>
      </c>
      <c r="S55" s="918"/>
      <c r="T55" s="918"/>
      <c r="U55" s="338" t="s">
        <v>143</v>
      </c>
      <c r="V55" s="311"/>
      <c r="W55" s="915">
        <f t="shared" si="2"/>
        <v>0</v>
      </c>
      <c r="X55" s="915"/>
      <c r="Y55" s="915"/>
      <c r="Z55" s="916"/>
      <c r="AB55" s="888">
        <v>0</v>
      </c>
      <c r="AC55" s="889"/>
      <c r="AD55" s="890"/>
      <c r="AF55" s="888">
        <f t="shared" si="3"/>
        <v>0</v>
      </c>
      <c r="AG55" s="889"/>
      <c r="AH55" s="890"/>
      <c r="AM55" s="415"/>
      <c r="AN55" s="894">
        <f t="shared" si="4"/>
        <v>0</v>
      </c>
      <c r="AO55" s="895"/>
      <c r="AP55" s="896"/>
      <c r="AU55" s="416"/>
      <c r="AV55" s="897">
        <f t="shared" si="5"/>
        <v>0</v>
      </c>
      <c r="AW55" s="898"/>
      <c r="AX55" s="899"/>
    </row>
    <row r="56" spans="3:52" s="51" customFormat="1" ht="18" customHeight="1" x14ac:dyDescent="0.15">
      <c r="C56" s="708">
        <v>3550</v>
      </c>
      <c r="D56" s="709"/>
      <c r="E56" s="700"/>
      <c r="F56" s="700"/>
      <c r="G56" s="700"/>
      <c r="H56" s="700"/>
      <c r="I56" s="700"/>
      <c r="J56" s="700"/>
      <c r="K56" s="700"/>
      <c r="L56" s="700"/>
      <c r="M56" s="700"/>
      <c r="N56" s="700"/>
      <c r="O56" s="309"/>
      <c r="P56" s="917"/>
      <c r="Q56" s="917"/>
      <c r="R56" s="310" t="s">
        <v>117</v>
      </c>
      <c r="S56" s="918"/>
      <c r="T56" s="918"/>
      <c r="U56" s="338" t="s">
        <v>143</v>
      </c>
      <c r="V56" s="311"/>
      <c r="W56" s="915">
        <f t="shared" si="2"/>
        <v>0</v>
      </c>
      <c r="X56" s="915"/>
      <c r="Y56" s="915"/>
      <c r="Z56" s="916"/>
      <c r="AB56" s="888">
        <v>0</v>
      </c>
      <c r="AC56" s="889"/>
      <c r="AD56" s="890"/>
      <c r="AF56" s="888">
        <f t="shared" si="3"/>
        <v>0</v>
      </c>
      <c r="AG56" s="889"/>
      <c r="AH56" s="890"/>
      <c r="AM56" s="415"/>
      <c r="AN56" s="894">
        <f t="shared" si="4"/>
        <v>0</v>
      </c>
      <c r="AO56" s="895"/>
      <c r="AP56" s="896"/>
      <c r="AU56" s="416"/>
      <c r="AV56" s="897">
        <f t="shared" si="5"/>
        <v>0</v>
      </c>
      <c r="AW56" s="898"/>
      <c r="AX56" s="899"/>
    </row>
    <row r="57" spans="3:52" s="51" customFormat="1" ht="18" customHeight="1" x14ac:dyDescent="0.15">
      <c r="C57" s="708">
        <v>3560</v>
      </c>
      <c r="D57" s="709"/>
      <c r="E57" s="700"/>
      <c r="F57" s="700"/>
      <c r="G57" s="700"/>
      <c r="H57" s="700"/>
      <c r="I57" s="700"/>
      <c r="J57" s="700"/>
      <c r="K57" s="700"/>
      <c r="L57" s="700"/>
      <c r="M57" s="700"/>
      <c r="N57" s="700"/>
      <c r="O57" s="309"/>
      <c r="P57" s="917"/>
      <c r="Q57" s="917"/>
      <c r="R57" s="310" t="s">
        <v>117</v>
      </c>
      <c r="S57" s="918"/>
      <c r="T57" s="918"/>
      <c r="U57" s="338" t="s">
        <v>143</v>
      </c>
      <c r="V57" s="311"/>
      <c r="W57" s="915">
        <f t="shared" si="2"/>
        <v>0</v>
      </c>
      <c r="X57" s="915"/>
      <c r="Y57" s="915"/>
      <c r="Z57" s="916"/>
      <c r="AB57" s="888">
        <v>0</v>
      </c>
      <c r="AC57" s="889"/>
      <c r="AD57" s="890"/>
      <c r="AF57" s="888">
        <f t="shared" si="3"/>
        <v>0</v>
      </c>
      <c r="AG57" s="889"/>
      <c r="AH57" s="890"/>
      <c r="AM57" s="415"/>
      <c r="AN57" s="894">
        <f t="shared" si="4"/>
        <v>0</v>
      </c>
      <c r="AO57" s="895"/>
      <c r="AP57" s="896"/>
      <c r="AU57" s="416"/>
      <c r="AV57" s="897">
        <f t="shared" si="5"/>
        <v>0</v>
      </c>
      <c r="AW57" s="898"/>
      <c r="AX57" s="899"/>
    </row>
    <row r="58" spans="3:52" s="51" customFormat="1" ht="18" customHeight="1" x14ac:dyDescent="0.15">
      <c r="C58" s="708">
        <v>3570</v>
      </c>
      <c r="D58" s="709"/>
      <c r="E58" s="700"/>
      <c r="F58" s="700"/>
      <c r="G58" s="700"/>
      <c r="H58" s="700"/>
      <c r="I58" s="700"/>
      <c r="J58" s="700"/>
      <c r="K58" s="700"/>
      <c r="L58" s="700"/>
      <c r="M58" s="700"/>
      <c r="N58" s="700"/>
      <c r="O58" s="309"/>
      <c r="P58" s="917"/>
      <c r="Q58" s="917"/>
      <c r="R58" s="310" t="s">
        <v>117</v>
      </c>
      <c r="S58" s="918"/>
      <c r="T58" s="918"/>
      <c r="U58" s="338" t="s">
        <v>143</v>
      </c>
      <c r="V58" s="311"/>
      <c r="W58" s="915">
        <f t="shared" si="2"/>
        <v>0</v>
      </c>
      <c r="X58" s="915"/>
      <c r="Y58" s="915"/>
      <c r="Z58" s="916"/>
      <c r="AB58" s="888">
        <v>0</v>
      </c>
      <c r="AC58" s="889"/>
      <c r="AD58" s="890"/>
      <c r="AF58" s="888">
        <f t="shared" si="3"/>
        <v>0</v>
      </c>
      <c r="AG58" s="889"/>
      <c r="AH58" s="890"/>
      <c r="AM58" s="415"/>
      <c r="AN58" s="894">
        <f t="shared" si="4"/>
        <v>0</v>
      </c>
      <c r="AO58" s="895"/>
      <c r="AP58" s="896"/>
      <c r="AU58" s="416"/>
      <c r="AV58" s="897">
        <f t="shared" si="5"/>
        <v>0</v>
      </c>
      <c r="AW58" s="898"/>
      <c r="AX58" s="899"/>
    </row>
    <row r="59" spans="3:52" s="51" customFormat="1" ht="18" customHeight="1" x14ac:dyDescent="0.15">
      <c r="C59" s="708">
        <v>3580</v>
      </c>
      <c r="D59" s="709"/>
      <c r="E59" s="700"/>
      <c r="F59" s="700"/>
      <c r="G59" s="700"/>
      <c r="H59" s="700"/>
      <c r="I59" s="700"/>
      <c r="J59" s="700"/>
      <c r="K59" s="700"/>
      <c r="L59" s="700"/>
      <c r="M59" s="700"/>
      <c r="N59" s="700"/>
      <c r="O59" s="309"/>
      <c r="P59" s="917"/>
      <c r="Q59" s="917"/>
      <c r="R59" s="310" t="s">
        <v>117</v>
      </c>
      <c r="S59" s="918"/>
      <c r="T59" s="918"/>
      <c r="U59" s="338" t="s">
        <v>143</v>
      </c>
      <c r="V59" s="311"/>
      <c r="W59" s="915">
        <f t="shared" si="2"/>
        <v>0</v>
      </c>
      <c r="X59" s="915"/>
      <c r="Y59" s="915"/>
      <c r="Z59" s="916"/>
      <c r="AB59" s="888">
        <v>0</v>
      </c>
      <c r="AC59" s="889"/>
      <c r="AD59" s="890"/>
      <c r="AF59" s="888">
        <f t="shared" si="3"/>
        <v>0</v>
      </c>
      <c r="AG59" s="889"/>
      <c r="AH59" s="890"/>
      <c r="AM59" s="415"/>
      <c r="AN59" s="894">
        <f t="shared" si="4"/>
        <v>0</v>
      </c>
      <c r="AO59" s="895"/>
      <c r="AP59" s="896"/>
      <c r="AU59" s="416"/>
      <c r="AV59" s="897">
        <f t="shared" si="5"/>
        <v>0</v>
      </c>
      <c r="AW59" s="898"/>
      <c r="AX59" s="899"/>
    </row>
    <row r="60" spans="3:52" s="51" customFormat="1" ht="18" customHeight="1" x14ac:dyDescent="0.15">
      <c r="C60" s="708">
        <v>3590</v>
      </c>
      <c r="D60" s="709"/>
      <c r="E60" s="700"/>
      <c r="F60" s="700"/>
      <c r="G60" s="700"/>
      <c r="H60" s="700"/>
      <c r="I60" s="700"/>
      <c r="J60" s="700"/>
      <c r="K60" s="700"/>
      <c r="L60" s="700"/>
      <c r="M60" s="700"/>
      <c r="N60" s="700"/>
      <c r="O60" s="309"/>
      <c r="P60" s="917"/>
      <c r="Q60" s="917"/>
      <c r="R60" s="310" t="s">
        <v>117</v>
      </c>
      <c r="S60" s="918"/>
      <c r="T60" s="918"/>
      <c r="U60" s="338" t="s">
        <v>143</v>
      </c>
      <c r="V60" s="311"/>
      <c r="W60" s="915">
        <f t="shared" si="2"/>
        <v>0</v>
      </c>
      <c r="X60" s="915"/>
      <c r="Y60" s="915"/>
      <c r="Z60" s="916"/>
      <c r="AB60" s="888">
        <v>0</v>
      </c>
      <c r="AC60" s="889"/>
      <c r="AD60" s="890"/>
      <c r="AF60" s="888">
        <f t="shared" si="3"/>
        <v>0</v>
      </c>
      <c r="AG60" s="889"/>
      <c r="AH60" s="890"/>
      <c r="AM60" s="415"/>
      <c r="AN60" s="894">
        <f t="shared" si="4"/>
        <v>0</v>
      </c>
      <c r="AO60" s="895"/>
      <c r="AP60" s="896"/>
      <c r="AU60" s="416"/>
      <c r="AV60" s="897">
        <f t="shared" si="5"/>
        <v>0</v>
      </c>
      <c r="AW60" s="898"/>
      <c r="AX60" s="899"/>
    </row>
    <row r="61" spans="3:52" s="322" customFormat="1" ht="18" customHeight="1" x14ac:dyDescent="0.2">
      <c r="O61" s="779" t="s">
        <v>236</v>
      </c>
      <c r="P61" s="779"/>
      <c r="Q61" s="779"/>
      <c r="R61" s="779"/>
      <c r="S61" s="779"/>
      <c r="T61" s="779"/>
      <c r="U61" s="779"/>
      <c r="V61" s="780"/>
      <c r="W61" s="720">
        <f>SUM(W7:W60)</f>
        <v>0</v>
      </c>
      <c r="X61" s="721"/>
      <c r="Y61" s="721"/>
      <c r="Z61" s="722"/>
      <c r="AB61" s="900">
        <f>SUM(AB7:AD60)</f>
        <v>0</v>
      </c>
      <c r="AC61" s="901"/>
      <c r="AD61" s="902"/>
      <c r="AF61" s="900">
        <f t="shared" si="3"/>
        <v>0</v>
      </c>
      <c r="AG61" s="901"/>
      <c r="AH61" s="902"/>
      <c r="AM61" s="278" t="s">
        <v>403</v>
      </c>
      <c r="AN61" s="720">
        <f>SUM(AN7:AP60)</f>
        <v>0</v>
      </c>
      <c r="AO61" s="721"/>
      <c r="AP61" s="722"/>
      <c r="AU61" s="282" t="s">
        <v>404</v>
      </c>
      <c r="AV61" s="720">
        <f>SUM(AV7:AX60)</f>
        <v>0</v>
      </c>
      <c r="AW61" s="721"/>
      <c r="AX61" s="722"/>
      <c r="AY61" s="393"/>
      <c r="AZ61" s="393"/>
    </row>
    <row r="62" spans="3:52" ht="18" customHeight="1" x14ac:dyDescent="0.2"/>
    <row r="63" spans="3:52" ht="16.25" customHeight="1" x14ac:dyDescent="0.2"/>
  </sheetData>
  <sheetProtection selectLockedCells="1"/>
  <mergeCells count="504">
    <mergeCell ref="C51:D51"/>
    <mergeCell ref="AB5:AX5"/>
    <mergeCell ref="P58:Q58"/>
    <mergeCell ref="S58:T58"/>
    <mergeCell ref="W58:Z58"/>
    <mergeCell ref="P59:Q59"/>
    <mergeCell ref="S59:T59"/>
    <mergeCell ref="W59:Z59"/>
    <mergeCell ref="P60:Q60"/>
    <mergeCell ref="S60:T60"/>
    <mergeCell ref="W60:Z60"/>
    <mergeCell ref="S47:T47"/>
    <mergeCell ref="W47:Z47"/>
    <mergeCell ref="P48:Q48"/>
    <mergeCell ref="S48:T48"/>
    <mergeCell ref="W48:Z48"/>
    <mergeCell ref="P49:Q49"/>
    <mergeCell ref="S49:T49"/>
    <mergeCell ref="W49:Z49"/>
    <mergeCell ref="P27:Q27"/>
    <mergeCell ref="S27:T27"/>
    <mergeCell ref="W27:Z27"/>
    <mergeCell ref="P28:Q28"/>
    <mergeCell ref="S28:T28"/>
    <mergeCell ref="C52:D52"/>
    <mergeCell ref="E52:N52"/>
    <mergeCell ref="P52:Q52"/>
    <mergeCell ref="S52:T52"/>
    <mergeCell ref="W52:Z52"/>
    <mergeCell ref="C53:D53"/>
    <mergeCell ref="E53:N53"/>
    <mergeCell ref="P53:Q53"/>
    <mergeCell ref="S53:T53"/>
    <mergeCell ref="W53:Z53"/>
    <mergeCell ref="C54:D54"/>
    <mergeCell ref="E54:N54"/>
    <mergeCell ref="P54:Q54"/>
    <mergeCell ref="S54:T54"/>
    <mergeCell ref="W54:Z54"/>
    <mergeCell ref="C55:D55"/>
    <mergeCell ref="E55:N55"/>
    <mergeCell ref="P55:Q55"/>
    <mergeCell ref="S55:T55"/>
    <mergeCell ref="W55:Z55"/>
    <mergeCell ref="E51:N51"/>
    <mergeCell ref="P51:Q51"/>
    <mergeCell ref="S51:T51"/>
    <mergeCell ref="W51:Z51"/>
    <mergeCell ref="P30:Q30"/>
    <mergeCell ref="S30:T30"/>
    <mergeCell ref="W30:Z30"/>
    <mergeCell ref="P31:Q31"/>
    <mergeCell ref="S31:T31"/>
    <mergeCell ref="W31:Z31"/>
    <mergeCell ref="P37:Q37"/>
    <mergeCell ref="S37:T37"/>
    <mergeCell ref="W37:Z37"/>
    <mergeCell ref="E46:N46"/>
    <mergeCell ref="P46:Q46"/>
    <mergeCell ref="S46:T46"/>
    <mergeCell ref="W46:Z46"/>
    <mergeCell ref="E34:N34"/>
    <mergeCell ref="E36:N36"/>
    <mergeCell ref="E37:N37"/>
    <mergeCell ref="C35:D35"/>
    <mergeCell ref="E35:N35"/>
    <mergeCell ref="C34:D34"/>
    <mergeCell ref="P21:Q21"/>
    <mergeCell ref="S21:T21"/>
    <mergeCell ref="W21:Z21"/>
    <mergeCell ref="P22:Q22"/>
    <mergeCell ref="S22:T22"/>
    <mergeCell ref="W22:Z22"/>
    <mergeCell ref="P29:Q29"/>
    <mergeCell ref="S29:T29"/>
    <mergeCell ref="W29:Z29"/>
    <mergeCell ref="S24:T24"/>
    <mergeCell ref="W24:Z24"/>
    <mergeCell ref="P25:Q25"/>
    <mergeCell ref="S25:T25"/>
    <mergeCell ref="W25:Z25"/>
    <mergeCell ref="P26:Q26"/>
    <mergeCell ref="S26:T26"/>
    <mergeCell ref="W26:Z26"/>
    <mergeCell ref="W28:Z28"/>
    <mergeCell ref="C16:D16"/>
    <mergeCell ref="E16:N16"/>
    <mergeCell ref="P16:Q16"/>
    <mergeCell ref="S16:T16"/>
    <mergeCell ref="W16:Z16"/>
    <mergeCell ref="P17:Q17"/>
    <mergeCell ref="S17:T17"/>
    <mergeCell ref="W17:Z17"/>
    <mergeCell ref="P18:Q18"/>
    <mergeCell ref="S18:T18"/>
    <mergeCell ref="W18:Z18"/>
    <mergeCell ref="C17:D17"/>
    <mergeCell ref="E17:N17"/>
    <mergeCell ref="P12:Q12"/>
    <mergeCell ref="S12:T12"/>
    <mergeCell ref="W12:Z12"/>
    <mergeCell ref="P13:Q13"/>
    <mergeCell ref="S13:T13"/>
    <mergeCell ref="W13:Z13"/>
    <mergeCell ref="P14:Q14"/>
    <mergeCell ref="S14:T14"/>
    <mergeCell ref="W14:Z14"/>
    <mergeCell ref="AV49:AX49"/>
    <mergeCell ref="C50:D50"/>
    <mergeCell ref="E50:N50"/>
    <mergeCell ref="AB50:AD50"/>
    <mergeCell ref="AN50:AP50"/>
    <mergeCell ref="AV50:AX50"/>
    <mergeCell ref="C49:D49"/>
    <mergeCell ref="E49:N49"/>
    <mergeCell ref="AB49:AD49"/>
    <mergeCell ref="P50:Q50"/>
    <mergeCell ref="S50:T50"/>
    <mergeCell ref="W50:Z50"/>
    <mergeCell ref="AF49:AH49"/>
    <mergeCell ref="AF50:AH50"/>
    <mergeCell ref="AV56:AX56"/>
    <mergeCell ref="C57:D57"/>
    <mergeCell ref="E57:N57"/>
    <mergeCell ref="AB57:AD57"/>
    <mergeCell ref="AN57:AP57"/>
    <mergeCell ref="AV57:AX57"/>
    <mergeCell ref="C56:D56"/>
    <mergeCell ref="E56:N56"/>
    <mergeCell ref="AB56:AD56"/>
    <mergeCell ref="AF56:AH56"/>
    <mergeCell ref="AF57:AH57"/>
    <mergeCell ref="P56:Q56"/>
    <mergeCell ref="S56:T56"/>
    <mergeCell ref="W56:Z56"/>
    <mergeCell ref="P57:Q57"/>
    <mergeCell ref="S57:T57"/>
    <mergeCell ref="W57:Z57"/>
    <mergeCell ref="C44:D44"/>
    <mergeCell ref="E44:N44"/>
    <mergeCell ref="P44:Q44"/>
    <mergeCell ref="S44:T44"/>
    <mergeCell ref="W44:Z44"/>
    <mergeCell ref="P38:Q38"/>
    <mergeCell ref="S38:T38"/>
    <mergeCell ref="W38:Z38"/>
    <mergeCell ref="P39:Q39"/>
    <mergeCell ref="S39:T39"/>
    <mergeCell ref="W39:Z39"/>
    <mergeCell ref="P41:Q41"/>
    <mergeCell ref="S41:T41"/>
    <mergeCell ref="W41:Z41"/>
    <mergeCell ref="P42:Q42"/>
    <mergeCell ref="S42:T42"/>
    <mergeCell ref="E43:N43"/>
    <mergeCell ref="C41:D41"/>
    <mergeCell ref="E41:N41"/>
    <mergeCell ref="C43:D43"/>
    <mergeCell ref="AB61:AD61"/>
    <mergeCell ref="C60:D60"/>
    <mergeCell ref="E60:N60"/>
    <mergeCell ref="C59:D59"/>
    <mergeCell ref="E59:N59"/>
    <mergeCell ref="C58:D58"/>
    <mergeCell ref="E58:N58"/>
    <mergeCell ref="AN38:AP38"/>
    <mergeCell ref="C48:D48"/>
    <mergeCell ref="E48:N48"/>
    <mergeCell ref="C45:D45"/>
    <mergeCell ref="E45:N45"/>
    <mergeCell ref="P45:Q45"/>
    <mergeCell ref="S45:T45"/>
    <mergeCell ref="W45:Z45"/>
    <mergeCell ref="C46:D46"/>
    <mergeCell ref="AN56:AP56"/>
    <mergeCell ref="AN49:AP49"/>
    <mergeCell ref="W42:Z42"/>
    <mergeCell ref="P43:Q43"/>
    <mergeCell ref="S43:T43"/>
    <mergeCell ref="W43:Z43"/>
    <mergeCell ref="P47:Q47"/>
    <mergeCell ref="AB43:AD43"/>
    <mergeCell ref="AV61:AX61"/>
    <mergeCell ref="AJ7:AL7"/>
    <mergeCell ref="AR7:AT7"/>
    <mergeCell ref="AN60:AP60"/>
    <mergeCell ref="AV60:AX60"/>
    <mergeCell ref="AB60:AD60"/>
    <mergeCell ref="AN58:AP58"/>
    <mergeCell ref="AV58:AX58"/>
    <mergeCell ref="AB59:AD59"/>
    <mergeCell ref="AN59:AP59"/>
    <mergeCell ref="AV59:AX59"/>
    <mergeCell ref="AB58:AD58"/>
    <mergeCell ref="AN46:AP46"/>
    <mergeCell ref="AB44:AD44"/>
    <mergeCell ref="AN44:AP44"/>
    <mergeCell ref="AV46:AX46"/>
    <mergeCell ref="AV44:AX44"/>
    <mergeCell ref="AB45:AD45"/>
    <mergeCell ref="AN45:AP45"/>
    <mergeCell ref="AV45:AX45"/>
    <mergeCell ref="AB32:AD32"/>
    <mergeCell ref="AN32:AP32"/>
    <mergeCell ref="AV32:AX32"/>
    <mergeCell ref="AV38:AX38"/>
    <mergeCell ref="AV39:AX39"/>
    <mergeCell ref="C40:D40"/>
    <mergeCell ref="AB36:AD36"/>
    <mergeCell ref="E40:N40"/>
    <mergeCell ref="AB40:AD40"/>
    <mergeCell ref="AN40:AP40"/>
    <mergeCell ref="AV40:AX40"/>
    <mergeCell ref="C39:D39"/>
    <mergeCell ref="E39:N39"/>
    <mergeCell ref="AB39:AD39"/>
    <mergeCell ref="P40:Q40"/>
    <mergeCell ref="S40:T40"/>
    <mergeCell ref="AN37:AP37"/>
    <mergeCell ref="AV37:AX37"/>
    <mergeCell ref="C38:D38"/>
    <mergeCell ref="E38:N38"/>
    <mergeCell ref="W40:Z40"/>
    <mergeCell ref="AB38:AD38"/>
    <mergeCell ref="C37:D37"/>
    <mergeCell ref="AF38:AH38"/>
    <mergeCell ref="AF39:AH39"/>
    <mergeCell ref="C36:D36"/>
    <mergeCell ref="AV34:AX34"/>
    <mergeCell ref="AN36:AP36"/>
    <mergeCell ref="AV36:AX36"/>
    <mergeCell ref="P34:Q34"/>
    <mergeCell ref="S34:T34"/>
    <mergeCell ref="W34:Z34"/>
    <mergeCell ref="P35:Q35"/>
    <mergeCell ref="S35:T35"/>
    <mergeCell ref="W35:Z35"/>
    <mergeCell ref="P36:Q36"/>
    <mergeCell ref="S36:T36"/>
    <mergeCell ref="W36:Z36"/>
    <mergeCell ref="AN35:AP35"/>
    <mergeCell ref="AV35:AX35"/>
    <mergeCell ref="AB35:AD35"/>
    <mergeCell ref="AV28:AX28"/>
    <mergeCell ref="C27:D27"/>
    <mergeCell ref="E27:N27"/>
    <mergeCell ref="AB33:AD33"/>
    <mergeCell ref="AN33:AP33"/>
    <mergeCell ref="AV33:AX33"/>
    <mergeCell ref="P32:Q32"/>
    <mergeCell ref="S32:T32"/>
    <mergeCell ref="W32:Z32"/>
    <mergeCell ref="P33:Q33"/>
    <mergeCell ref="S33:T33"/>
    <mergeCell ref="W33:Z33"/>
    <mergeCell ref="C32:D32"/>
    <mergeCell ref="E32:N32"/>
    <mergeCell ref="AV31:AX31"/>
    <mergeCell ref="C31:D31"/>
    <mergeCell ref="E31:N31"/>
    <mergeCell ref="AB31:AD31"/>
    <mergeCell ref="AN31:AP31"/>
    <mergeCell ref="AV29:AX29"/>
    <mergeCell ref="C30:D30"/>
    <mergeCell ref="E30:N30"/>
    <mergeCell ref="C33:D33"/>
    <mergeCell ref="E33:N33"/>
    <mergeCell ref="AV30:AX30"/>
    <mergeCell ref="C29:D29"/>
    <mergeCell ref="E29:N29"/>
    <mergeCell ref="AB29:AD29"/>
    <mergeCell ref="AN29:AP29"/>
    <mergeCell ref="AV24:AX24"/>
    <mergeCell ref="C23:D23"/>
    <mergeCell ref="E23:N23"/>
    <mergeCell ref="AB23:AD23"/>
    <mergeCell ref="P23:Q23"/>
    <mergeCell ref="S23:T23"/>
    <mergeCell ref="W23:Z23"/>
    <mergeCell ref="P24:Q24"/>
    <mergeCell ref="AN26:AP26"/>
    <mergeCell ref="AV26:AX26"/>
    <mergeCell ref="C26:D26"/>
    <mergeCell ref="E26:N26"/>
    <mergeCell ref="C28:D28"/>
    <mergeCell ref="E28:N28"/>
    <mergeCell ref="AB28:AD28"/>
    <mergeCell ref="AF27:AH27"/>
    <mergeCell ref="AF28:AH28"/>
    <mergeCell ref="AV27:AX27"/>
    <mergeCell ref="AN28:AP28"/>
    <mergeCell ref="AR6:AT6"/>
    <mergeCell ref="AV6:AX6"/>
    <mergeCell ref="AV8:AX8"/>
    <mergeCell ref="AV9:AX9"/>
    <mergeCell ref="AV7:AX7"/>
    <mergeCell ref="C15:D15"/>
    <mergeCell ref="E15:N15"/>
    <mergeCell ref="AB15:AD15"/>
    <mergeCell ref="AN15:AP15"/>
    <mergeCell ref="AV15:AX15"/>
    <mergeCell ref="C14:D14"/>
    <mergeCell ref="E14:N14"/>
    <mergeCell ref="AB14:AD14"/>
    <mergeCell ref="P15:Q15"/>
    <mergeCell ref="S15:T15"/>
    <mergeCell ref="W15:Z15"/>
    <mergeCell ref="P9:Q9"/>
    <mergeCell ref="S9:T9"/>
    <mergeCell ref="W9:Z9"/>
    <mergeCell ref="P10:Q10"/>
    <mergeCell ref="S10:T10"/>
    <mergeCell ref="W10:Z10"/>
    <mergeCell ref="P11:Q11"/>
    <mergeCell ref="S11:T11"/>
    <mergeCell ref="O6:P6"/>
    <mergeCell ref="R6:S6"/>
    <mergeCell ref="X6:Z6"/>
    <mergeCell ref="AB6:AD6"/>
    <mergeCell ref="AJ6:AL6"/>
    <mergeCell ref="AN6:AP6"/>
    <mergeCell ref="C9:D9"/>
    <mergeCell ref="E9:N9"/>
    <mergeCell ref="AB9:AD9"/>
    <mergeCell ref="AN9:AP9"/>
    <mergeCell ref="C8:D8"/>
    <mergeCell ref="E8:N8"/>
    <mergeCell ref="AB8:AD8"/>
    <mergeCell ref="AN8:AP8"/>
    <mergeCell ref="C7:D7"/>
    <mergeCell ref="E7:N7"/>
    <mergeCell ref="AB7:AD7"/>
    <mergeCell ref="AN7:AP7"/>
    <mergeCell ref="P7:Q7"/>
    <mergeCell ref="S7:T7"/>
    <mergeCell ref="W7:Z7"/>
    <mergeCell ref="P8:Q8"/>
    <mergeCell ref="S8:T8"/>
    <mergeCell ref="W8:Z8"/>
    <mergeCell ref="AV48:AX48"/>
    <mergeCell ref="C47:D47"/>
    <mergeCell ref="E47:N47"/>
    <mergeCell ref="AB47:AD47"/>
    <mergeCell ref="AN47:AP47"/>
    <mergeCell ref="AV47:AX47"/>
    <mergeCell ref="AV41:AX41"/>
    <mergeCell ref="C42:D42"/>
    <mergeCell ref="E42:N42"/>
    <mergeCell ref="AB42:AD42"/>
    <mergeCell ref="AN42:AP42"/>
    <mergeCell ref="AV42:AX42"/>
    <mergeCell ref="AF41:AH41"/>
    <mergeCell ref="AF42:AH42"/>
    <mergeCell ref="AF43:AH43"/>
    <mergeCell ref="AF44:AH44"/>
    <mergeCell ref="AF45:AH45"/>
    <mergeCell ref="AF46:AH46"/>
    <mergeCell ref="AF47:AH47"/>
    <mergeCell ref="AF48:AH48"/>
    <mergeCell ref="AN43:AP43"/>
    <mergeCell ref="AV43:AX43"/>
    <mergeCell ref="AB46:AD46"/>
    <mergeCell ref="AN41:AP41"/>
    <mergeCell ref="AV20:AX20"/>
    <mergeCell ref="C20:D20"/>
    <mergeCell ref="E20:N20"/>
    <mergeCell ref="AB20:AD20"/>
    <mergeCell ref="AN20:AP20"/>
    <mergeCell ref="AB26:AD26"/>
    <mergeCell ref="AF20:AH20"/>
    <mergeCell ref="AF21:AH21"/>
    <mergeCell ref="AF22:AH22"/>
    <mergeCell ref="AF23:AH23"/>
    <mergeCell ref="AF24:AH24"/>
    <mergeCell ref="AF25:AH25"/>
    <mergeCell ref="AF26:AH26"/>
    <mergeCell ref="AN21:AP21"/>
    <mergeCell ref="AV21:AX21"/>
    <mergeCell ref="C22:D22"/>
    <mergeCell ref="E22:N22"/>
    <mergeCell ref="AN25:AP25"/>
    <mergeCell ref="AV25:AX25"/>
    <mergeCell ref="AV22:AX22"/>
    <mergeCell ref="C21:D21"/>
    <mergeCell ref="E21:N21"/>
    <mergeCell ref="AB21:AD21"/>
    <mergeCell ref="P20:Q20"/>
    <mergeCell ref="S20:T20"/>
    <mergeCell ref="W20:Z20"/>
    <mergeCell ref="C12:D12"/>
    <mergeCell ref="AN27:AP27"/>
    <mergeCell ref="AN13:AP13"/>
    <mergeCell ref="AV13:AX13"/>
    <mergeCell ref="AN16:AP16"/>
    <mergeCell ref="AV16:AX16"/>
    <mergeCell ref="AN14:AP14"/>
    <mergeCell ref="AV14:AX14"/>
    <mergeCell ref="C25:D25"/>
    <mergeCell ref="E25:N25"/>
    <mergeCell ref="AB25:AD25"/>
    <mergeCell ref="AN23:AP23"/>
    <mergeCell ref="AV23:AX23"/>
    <mergeCell ref="C24:D24"/>
    <mergeCell ref="E24:N24"/>
    <mergeCell ref="AB24:AD24"/>
    <mergeCell ref="AN24:AP24"/>
    <mergeCell ref="AV18:AX18"/>
    <mergeCell ref="C19:D19"/>
    <mergeCell ref="E19:N19"/>
    <mergeCell ref="AB19:AD19"/>
    <mergeCell ref="AN19:AP19"/>
    <mergeCell ref="AV19:AX19"/>
    <mergeCell ref="C18:D18"/>
    <mergeCell ref="E18:N18"/>
    <mergeCell ref="AB18:AD18"/>
    <mergeCell ref="AN18:AP18"/>
    <mergeCell ref="P19:Q19"/>
    <mergeCell ref="AF18:AH18"/>
    <mergeCell ref="AF19:AH19"/>
    <mergeCell ref="S19:T19"/>
    <mergeCell ref="W19:Z19"/>
    <mergeCell ref="AV17:AX17"/>
    <mergeCell ref="AV10:AX10"/>
    <mergeCell ref="C11:D11"/>
    <mergeCell ref="E11:N11"/>
    <mergeCell ref="AB11:AD11"/>
    <mergeCell ref="AN11:AP11"/>
    <mergeCell ref="AV11:AX11"/>
    <mergeCell ref="C10:D10"/>
    <mergeCell ref="E10:N10"/>
    <mergeCell ref="AB10:AD10"/>
    <mergeCell ref="AN10:AP10"/>
    <mergeCell ref="AV12:AX12"/>
    <mergeCell ref="C13:D13"/>
    <mergeCell ref="AB16:AD16"/>
    <mergeCell ref="AF15:AH15"/>
    <mergeCell ref="AF16:AH16"/>
    <mergeCell ref="AF17:AH17"/>
    <mergeCell ref="E12:N12"/>
    <mergeCell ref="AB12:AD12"/>
    <mergeCell ref="AF12:AH12"/>
    <mergeCell ref="AN12:AP12"/>
    <mergeCell ref="E13:N13"/>
    <mergeCell ref="AB13:AD13"/>
    <mergeCell ref="W11:Z11"/>
    <mergeCell ref="AB51:AD51"/>
    <mergeCell ref="AF51:AH51"/>
    <mergeCell ref="AB17:AD17"/>
    <mergeCell ref="AB27:AD27"/>
    <mergeCell ref="AB48:AD48"/>
    <mergeCell ref="AB37:AD37"/>
    <mergeCell ref="AF29:AH29"/>
    <mergeCell ref="AF30:AH30"/>
    <mergeCell ref="AF31:AH31"/>
    <mergeCell ref="AF32:AH32"/>
    <mergeCell ref="AF33:AH33"/>
    <mergeCell ref="AF34:AH34"/>
    <mergeCell ref="AF35:AH35"/>
    <mergeCell ref="AF36:AH36"/>
    <mergeCell ref="AF37:AH37"/>
    <mergeCell ref="AF40:AH40"/>
    <mergeCell ref="AB22:AD22"/>
    <mergeCell ref="AB34:AD34"/>
    <mergeCell ref="AB41:AD41"/>
    <mergeCell ref="AB30:AD30"/>
    <mergeCell ref="AN61:AP61"/>
    <mergeCell ref="AF6:AH6"/>
    <mergeCell ref="AF7:AH7"/>
    <mergeCell ref="AF8:AH8"/>
    <mergeCell ref="AF9:AH9"/>
    <mergeCell ref="AF10:AH10"/>
    <mergeCell ref="AF11:AH11"/>
    <mergeCell ref="AF13:AH13"/>
    <mergeCell ref="AF14:AH14"/>
    <mergeCell ref="AN17:AP17"/>
    <mergeCell ref="AN22:AP22"/>
    <mergeCell ref="AN48:AP48"/>
    <mergeCell ref="AN34:AP34"/>
    <mergeCell ref="AN39:AP39"/>
    <mergeCell ref="AN30:AP30"/>
    <mergeCell ref="O61:V61"/>
    <mergeCell ref="AF58:AH58"/>
    <mergeCell ref="AF59:AH59"/>
    <mergeCell ref="AF60:AH60"/>
    <mergeCell ref="AF61:AH61"/>
    <mergeCell ref="W61:Z61"/>
    <mergeCell ref="AV51:AX51"/>
    <mergeCell ref="AV52:AX52"/>
    <mergeCell ref="AV53:AX53"/>
    <mergeCell ref="AV54:AX54"/>
    <mergeCell ref="AV55:AX55"/>
    <mergeCell ref="AB52:AD52"/>
    <mergeCell ref="AB53:AD53"/>
    <mergeCell ref="AB54:AD54"/>
    <mergeCell ref="AB55:AD55"/>
    <mergeCell ref="AN51:AP51"/>
    <mergeCell ref="AN52:AP52"/>
    <mergeCell ref="AN53:AP53"/>
    <mergeCell ref="AN54:AP54"/>
    <mergeCell ref="AN55:AP55"/>
    <mergeCell ref="AF52:AH52"/>
    <mergeCell ref="AF53:AH53"/>
    <mergeCell ref="AF54:AH54"/>
    <mergeCell ref="AF55:AH55"/>
  </mergeCells>
  <pageMargins left="0.7" right="0.7" top="0.75" bottom="0.75" header="0.3" footer="0.3"/>
  <pageSetup scale="70"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pageSetUpPr fitToPage="1"/>
  </sheetPr>
  <dimension ref="C3:AX73"/>
  <sheetViews>
    <sheetView topLeftCell="A6" zoomScale="110" zoomScaleNormal="110" workbookViewId="0">
      <selection activeCell="AI24" sqref="AI24"/>
    </sheetView>
  </sheetViews>
  <sheetFormatPr baseColWidth="10" defaultColWidth="11" defaultRowHeight="16" x14ac:dyDescent="0.2"/>
  <cols>
    <col min="1" max="17" width="4.6640625" customWidth="1"/>
    <col min="18" max="19" width="4.6640625" style="75" customWidth="1"/>
    <col min="20" max="38" width="4.6640625" customWidth="1"/>
    <col min="39" max="42" width="4.6640625" style="37" customWidth="1"/>
    <col min="43" max="46" width="4.6640625" customWidth="1"/>
    <col min="47" max="47" width="4.6640625" style="37" customWidth="1"/>
    <col min="48" max="50" width="4.6640625" style="13" customWidth="1"/>
  </cols>
  <sheetData>
    <row r="3" spans="3:50" ht="16.25" customHeight="1" x14ac:dyDescent="0.2"/>
    <row r="4" spans="3:50" ht="16.25" customHeight="1" x14ac:dyDescent="0.2"/>
    <row r="5" spans="3:50" s="323" customFormat="1" ht="20" customHeight="1" x14ac:dyDescent="0.2">
      <c r="C5" s="4" t="s">
        <v>200</v>
      </c>
      <c r="D5" s="17" t="s">
        <v>152</v>
      </c>
      <c r="E5" s="5"/>
      <c r="F5" s="349"/>
      <c r="G5" s="349"/>
      <c r="H5" s="349"/>
      <c r="I5" s="349"/>
      <c r="J5" s="349"/>
      <c r="K5" s="349"/>
      <c r="L5" s="349"/>
      <c r="M5" s="349"/>
      <c r="N5" s="349"/>
      <c r="O5" s="349"/>
      <c r="P5" s="349"/>
      <c r="Q5" s="349"/>
      <c r="R5" s="375"/>
      <c r="S5" s="375"/>
      <c r="T5" s="349"/>
      <c r="U5" s="349"/>
      <c r="V5" s="349"/>
      <c r="W5" s="349"/>
      <c r="X5" s="376"/>
      <c r="Y5" s="376"/>
      <c r="Z5" s="355"/>
      <c r="AB5" s="954"/>
      <c r="AC5" s="955"/>
      <c r="AD5" s="955"/>
      <c r="AE5" s="955"/>
      <c r="AF5" s="955"/>
      <c r="AG5" s="955"/>
      <c r="AH5" s="955"/>
      <c r="AI5" s="955"/>
      <c r="AJ5" s="955"/>
      <c r="AK5" s="955"/>
      <c r="AL5" s="955"/>
      <c r="AM5" s="955"/>
      <c r="AN5" s="955"/>
      <c r="AO5" s="955"/>
      <c r="AP5" s="955"/>
      <c r="AQ5" s="955"/>
      <c r="AR5" s="955"/>
      <c r="AS5" s="955"/>
      <c r="AT5" s="955"/>
      <c r="AU5" s="955"/>
      <c r="AV5" s="955"/>
      <c r="AW5" s="955"/>
      <c r="AX5" s="955"/>
    </row>
    <row r="6" spans="3:50" s="111" customFormat="1" ht="16.25" customHeight="1" x14ac:dyDescent="0.2">
      <c r="C6" s="128"/>
      <c r="D6" s="116"/>
      <c r="E6" s="116" t="s">
        <v>384</v>
      </c>
      <c r="F6" s="131"/>
      <c r="G6" s="131"/>
      <c r="H6" s="131"/>
      <c r="I6" s="131"/>
      <c r="J6" s="131"/>
      <c r="K6" s="131"/>
      <c r="L6" s="131"/>
      <c r="M6" s="131"/>
      <c r="N6" s="131"/>
      <c r="O6" s="885" t="s">
        <v>376</v>
      </c>
      <c r="P6" s="885"/>
      <c r="Q6" s="132"/>
      <c r="R6" s="944" t="s">
        <v>220</v>
      </c>
      <c r="S6" s="944"/>
      <c r="T6" s="132"/>
      <c r="U6" s="132"/>
      <c r="V6" s="120"/>
      <c r="W6" s="120"/>
      <c r="X6" s="942" t="s">
        <v>370</v>
      </c>
      <c r="Y6" s="942"/>
      <c r="Z6" s="943"/>
      <c r="AB6" s="950" t="s">
        <v>363</v>
      </c>
      <c r="AC6" s="942"/>
      <c r="AD6" s="943"/>
      <c r="AF6" s="950" t="s">
        <v>447</v>
      </c>
      <c r="AG6" s="942"/>
      <c r="AH6" s="943"/>
      <c r="AJ6" s="945" t="s">
        <v>296</v>
      </c>
      <c r="AK6" s="767"/>
      <c r="AL6" s="946"/>
      <c r="AM6" s="129" t="s">
        <v>290</v>
      </c>
      <c r="AN6" s="945" t="s">
        <v>293</v>
      </c>
      <c r="AO6" s="767"/>
      <c r="AP6" s="946"/>
      <c r="AR6" s="945" t="s">
        <v>298</v>
      </c>
      <c r="AS6" s="767"/>
      <c r="AT6" s="946"/>
      <c r="AU6" s="133" t="s">
        <v>291</v>
      </c>
      <c r="AV6" s="945" t="s">
        <v>294</v>
      </c>
      <c r="AW6" s="767"/>
      <c r="AX6" s="946"/>
    </row>
    <row r="7" spans="3:50" s="51" customFormat="1" ht="18" customHeight="1" x14ac:dyDescent="0.15">
      <c r="C7" s="708">
        <v>4010</v>
      </c>
      <c r="D7" s="709"/>
      <c r="E7" s="700" t="s">
        <v>178</v>
      </c>
      <c r="F7" s="700"/>
      <c r="G7" s="700"/>
      <c r="H7" s="700"/>
      <c r="I7" s="700"/>
      <c r="J7" s="700"/>
      <c r="K7" s="700"/>
      <c r="L7" s="700"/>
      <c r="M7" s="700"/>
      <c r="N7" s="700"/>
      <c r="O7" s="309"/>
      <c r="P7" s="917" t="s">
        <v>448</v>
      </c>
      <c r="Q7" s="917"/>
      <c r="R7" s="310" t="s">
        <v>117</v>
      </c>
      <c r="S7" s="918"/>
      <c r="T7" s="918"/>
      <c r="U7" s="311" t="s">
        <v>143</v>
      </c>
      <c r="V7" s="279"/>
      <c r="W7" s="928">
        <f>O7*S7*(IF(ISNUMBER(V7),V7,IF(ISNUMBER(O7),1,0)))</f>
        <v>0</v>
      </c>
      <c r="X7" s="928"/>
      <c r="Y7" s="928"/>
      <c r="Z7" s="929"/>
      <c r="AB7" s="927">
        <v>0</v>
      </c>
      <c r="AC7" s="928"/>
      <c r="AD7" s="929"/>
      <c r="AF7" s="927">
        <f>AB7-W7</f>
        <v>0</v>
      </c>
      <c r="AG7" s="928"/>
      <c r="AH7" s="929"/>
      <c r="AJ7" s="951">
        <v>0</v>
      </c>
      <c r="AK7" s="952"/>
      <c r="AL7" s="953"/>
      <c r="AM7" s="416"/>
      <c r="AN7" s="930">
        <f t="shared" ref="AN7:AN38" si="0">IF(AM7="X",W7*S_MU,0)</f>
        <v>0</v>
      </c>
      <c r="AO7" s="931"/>
      <c r="AP7" s="932"/>
      <c r="AR7" s="947">
        <v>0</v>
      </c>
      <c r="AS7" s="948"/>
      <c r="AT7" s="949"/>
      <c r="AU7" s="416"/>
      <c r="AV7" s="897">
        <f t="shared" ref="AV7:AV38" si="1">IF(AU7="X",W7*S_TX,0)</f>
        <v>0</v>
      </c>
      <c r="AW7" s="898"/>
      <c r="AX7" s="899"/>
    </row>
    <row r="8" spans="3:50" s="51" customFormat="1" ht="18" customHeight="1" x14ac:dyDescent="0.15">
      <c r="C8" s="708">
        <v>4020</v>
      </c>
      <c r="D8" s="709"/>
      <c r="E8" s="700" t="s">
        <v>179</v>
      </c>
      <c r="F8" s="700"/>
      <c r="G8" s="700"/>
      <c r="H8" s="700"/>
      <c r="I8" s="700"/>
      <c r="J8" s="700"/>
      <c r="K8" s="700"/>
      <c r="L8" s="700"/>
      <c r="M8" s="700"/>
      <c r="N8" s="700"/>
      <c r="O8" s="309"/>
      <c r="P8" s="917" t="s">
        <v>448</v>
      </c>
      <c r="Q8" s="917"/>
      <c r="R8" s="310" t="s">
        <v>117</v>
      </c>
      <c r="S8" s="918"/>
      <c r="T8" s="918"/>
      <c r="U8" s="311" t="s">
        <v>143</v>
      </c>
      <c r="V8" s="279"/>
      <c r="W8" s="928">
        <f t="shared" ref="W8:W60" si="2">O8*S8*(IF(ISNUMBER(V8),V8,IF(ISNUMBER(O8),1,0)))</f>
        <v>0</v>
      </c>
      <c r="X8" s="928"/>
      <c r="Y8" s="928"/>
      <c r="Z8" s="929"/>
      <c r="AB8" s="927">
        <v>0</v>
      </c>
      <c r="AC8" s="928"/>
      <c r="AD8" s="929"/>
      <c r="AF8" s="927">
        <f t="shared" ref="AF8:AF61" si="3">AB8-W8</f>
        <v>0</v>
      </c>
      <c r="AG8" s="928"/>
      <c r="AH8" s="929"/>
      <c r="AM8" s="416"/>
      <c r="AN8" s="930">
        <f t="shared" si="0"/>
        <v>0</v>
      </c>
      <c r="AO8" s="931"/>
      <c r="AP8" s="932"/>
      <c r="AU8" s="416"/>
      <c r="AV8" s="897">
        <f t="shared" si="1"/>
        <v>0</v>
      </c>
      <c r="AW8" s="898"/>
      <c r="AX8" s="899"/>
    </row>
    <row r="9" spans="3:50" s="51" customFormat="1" ht="18" customHeight="1" x14ac:dyDescent="0.15">
      <c r="C9" s="708">
        <v>4030</v>
      </c>
      <c r="D9" s="709"/>
      <c r="E9" s="700" t="s">
        <v>180</v>
      </c>
      <c r="F9" s="700"/>
      <c r="G9" s="700"/>
      <c r="H9" s="700"/>
      <c r="I9" s="700"/>
      <c r="J9" s="700"/>
      <c r="K9" s="700"/>
      <c r="L9" s="700"/>
      <c r="M9" s="700"/>
      <c r="N9" s="700"/>
      <c r="O9" s="309"/>
      <c r="P9" s="917" t="s">
        <v>448</v>
      </c>
      <c r="Q9" s="917"/>
      <c r="R9" s="310" t="s">
        <v>117</v>
      </c>
      <c r="S9" s="918"/>
      <c r="T9" s="918"/>
      <c r="U9" s="311" t="s">
        <v>143</v>
      </c>
      <c r="V9" s="279"/>
      <c r="W9" s="928">
        <f t="shared" si="2"/>
        <v>0</v>
      </c>
      <c r="X9" s="928"/>
      <c r="Y9" s="928"/>
      <c r="Z9" s="929"/>
      <c r="AB9" s="927">
        <v>0</v>
      </c>
      <c r="AC9" s="928"/>
      <c r="AD9" s="929"/>
      <c r="AF9" s="927">
        <f t="shared" si="3"/>
        <v>0</v>
      </c>
      <c r="AG9" s="928"/>
      <c r="AH9" s="929"/>
      <c r="AM9" s="416"/>
      <c r="AN9" s="930">
        <f t="shared" si="0"/>
        <v>0</v>
      </c>
      <c r="AO9" s="931"/>
      <c r="AP9" s="932"/>
      <c r="AU9" s="416"/>
      <c r="AV9" s="897">
        <f t="shared" si="1"/>
        <v>0</v>
      </c>
      <c r="AW9" s="898"/>
      <c r="AX9" s="899"/>
    </row>
    <row r="10" spans="3:50" s="51" customFormat="1" ht="18" customHeight="1" x14ac:dyDescent="0.15">
      <c r="C10" s="708">
        <v>4040</v>
      </c>
      <c r="D10" s="709"/>
      <c r="E10" s="700" t="s">
        <v>181</v>
      </c>
      <c r="F10" s="700"/>
      <c r="G10" s="700"/>
      <c r="H10" s="700"/>
      <c r="I10" s="700"/>
      <c r="J10" s="700"/>
      <c r="K10" s="700"/>
      <c r="L10" s="700"/>
      <c r="M10" s="700"/>
      <c r="N10" s="700"/>
      <c r="O10" s="309"/>
      <c r="P10" s="917" t="s">
        <v>448</v>
      </c>
      <c r="Q10" s="917"/>
      <c r="R10" s="310" t="s">
        <v>117</v>
      </c>
      <c r="S10" s="918"/>
      <c r="T10" s="918"/>
      <c r="U10" s="311" t="s">
        <v>143</v>
      </c>
      <c r="V10" s="279"/>
      <c r="W10" s="928">
        <f t="shared" si="2"/>
        <v>0</v>
      </c>
      <c r="X10" s="928"/>
      <c r="Y10" s="928"/>
      <c r="Z10" s="929"/>
      <c r="AB10" s="927">
        <v>0</v>
      </c>
      <c r="AC10" s="928"/>
      <c r="AD10" s="929"/>
      <c r="AF10" s="927">
        <f t="shared" si="3"/>
        <v>0</v>
      </c>
      <c r="AG10" s="928"/>
      <c r="AH10" s="929"/>
      <c r="AM10" s="416"/>
      <c r="AN10" s="930">
        <f t="shared" si="0"/>
        <v>0</v>
      </c>
      <c r="AO10" s="931"/>
      <c r="AP10" s="932"/>
      <c r="AU10" s="416"/>
      <c r="AV10" s="897">
        <f t="shared" si="1"/>
        <v>0</v>
      </c>
      <c r="AW10" s="898"/>
      <c r="AX10" s="899"/>
    </row>
    <row r="11" spans="3:50" s="51" customFormat="1" ht="18" customHeight="1" x14ac:dyDescent="0.15">
      <c r="C11" s="708">
        <v>4050</v>
      </c>
      <c r="D11" s="709"/>
      <c r="E11" s="700"/>
      <c r="F11" s="700"/>
      <c r="G11" s="700"/>
      <c r="H11" s="700"/>
      <c r="I11" s="700"/>
      <c r="J11" s="700"/>
      <c r="K11" s="700"/>
      <c r="L11" s="700"/>
      <c r="M11" s="700"/>
      <c r="N11" s="700"/>
      <c r="O11" s="309"/>
      <c r="P11" s="917"/>
      <c r="Q11" s="917"/>
      <c r="R11" s="310" t="s">
        <v>117</v>
      </c>
      <c r="S11" s="918"/>
      <c r="T11" s="918"/>
      <c r="U11" s="311" t="s">
        <v>143</v>
      </c>
      <c r="V11" s="279"/>
      <c r="W11" s="928">
        <f t="shared" si="2"/>
        <v>0</v>
      </c>
      <c r="X11" s="928"/>
      <c r="Y11" s="928"/>
      <c r="Z11" s="929"/>
      <c r="AB11" s="927">
        <v>0</v>
      </c>
      <c r="AC11" s="928"/>
      <c r="AD11" s="929"/>
      <c r="AF11" s="927">
        <f t="shared" si="3"/>
        <v>0</v>
      </c>
      <c r="AG11" s="928"/>
      <c r="AH11" s="929"/>
      <c r="AM11" s="416"/>
      <c r="AN11" s="930">
        <f t="shared" si="0"/>
        <v>0</v>
      </c>
      <c r="AO11" s="931"/>
      <c r="AP11" s="932"/>
      <c r="AU11" s="416"/>
      <c r="AV11" s="897">
        <f t="shared" si="1"/>
        <v>0</v>
      </c>
      <c r="AW11" s="898"/>
      <c r="AX11" s="899"/>
    </row>
    <row r="12" spans="3:50" s="51" customFormat="1" ht="18" customHeight="1" x14ac:dyDescent="0.15">
      <c r="C12" s="708">
        <v>4060</v>
      </c>
      <c r="D12" s="709"/>
      <c r="E12" s="937"/>
      <c r="F12" s="937"/>
      <c r="G12" s="937"/>
      <c r="H12" s="937"/>
      <c r="I12" s="937"/>
      <c r="J12" s="937"/>
      <c r="K12" s="937"/>
      <c r="L12" s="937"/>
      <c r="M12" s="937"/>
      <c r="N12" s="937"/>
      <c r="O12" s="339"/>
      <c r="P12" s="938"/>
      <c r="Q12" s="938"/>
      <c r="R12" s="340" t="s">
        <v>117</v>
      </c>
      <c r="S12" s="939"/>
      <c r="T12" s="939"/>
      <c r="U12" s="341" t="s">
        <v>143</v>
      </c>
      <c r="V12" s="342"/>
      <c r="W12" s="940">
        <f t="shared" si="2"/>
        <v>0</v>
      </c>
      <c r="X12" s="940"/>
      <c r="Y12" s="940"/>
      <c r="Z12" s="941"/>
      <c r="AB12" s="927">
        <v>0</v>
      </c>
      <c r="AC12" s="928"/>
      <c r="AD12" s="929"/>
      <c r="AF12" s="927">
        <f t="shared" si="3"/>
        <v>0</v>
      </c>
      <c r="AG12" s="928"/>
      <c r="AH12" s="929"/>
      <c r="AM12" s="416"/>
      <c r="AN12" s="930">
        <f t="shared" si="0"/>
        <v>0</v>
      </c>
      <c r="AO12" s="931"/>
      <c r="AP12" s="932"/>
      <c r="AU12" s="416"/>
      <c r="AV12" s="897">
        <f t="shared" si="1"/>
        <v>0</v>
      </c>
      <c r="AW12" s="898"/>
      <c r="AX12" s="899"/>
    </row>
    <row r="13" spans="3:50" s="51" customFormat="1" ht="18" customHeight="1" x14ac:dyDescent="0.15">
      <c r="C13" s="708">
        <v>4070</v>
      </c>
      <c r="D13" s="709"/>
      <c r="E13" s="700"/>
      <c r="F13" s="700"/>
      <c r="G13" s="700"/>
      <c r="H13" s="700"/>
      <c r="I13" s="700"/>
      <c r="J13" s="700"/>
      <c r="K13" s="700"/>
      <c r="L13" s="700"/>
      <c r="M13" s="700"/>
      <c r="N13" s="700"/>
      <c r="O13" s="309"/>
      <c r="P13" s="917"/>
      <c r="Q13" s="917"/>
      <c r="R13" s="310" t="s">
        <v>117</v>
      </c>
      <c r="S13" s="918"/>
      <c r="T13" s="918"/>
      <c r="U13" s="311" t="s">
        <v>143</v>
      </c>
      <c r="V13" s="279"/>
      <c r="W13" s="928">
        <f t="shared" si="2"/>
        <v>0</v>
      </c>
      <c r="X13" s="928"/>
      <c r="Y13" s="928"/>
      <c r="Z13" s="929"/>
      <c r="AB13" s="927">
        <v>0</v>
      </c>
      <c r="AC13" s="928"/>
      <c r="AD13" s="929"/>
      <c r="AF13" s="927">
        <f t="shared" si="3"/>
        <v>0</v>
      </c>
      <c r="AG13" s="928"/>
      <c r="AH13" s="929"/>
      <c r="AM13" s="416"/>
      <c r="AN13" s="930">
        <f t="shared" si="0"/>
        <v>0</v>
      </c>
      <c r="AO13" s="931"/>
      <c r="AP13" s="932"/>
      <c r="AU13" s="416"/>
      <c r="AV13" s="897">
        <f t="shared" si="1"/>
        <v>0</v>
      </c>
      <c r="AW13" s="898"/>
      <c r="AX13" s="899"/>
    </row>
    <row r="14" spans="3:50" s="51" customFormat="1" ht="18" customHeight="1" x14ac:dyDescent="0.15">
      <c r="C14" s="708">
        <v>4110</v>
      </c>
      <c r="D14" s="709"/>
      <c r="E14" s="700" t="s">
        <v>182</v>
      </c>
      <c r="F14" s="700"/>
      <c r="G14" s="700"/>
      <c r="H14" s="700"/>
      <c r="I14" s="700"/>
      <c r="J14" s="700"/>
      <c r="K14" s="700"/>
      <c r="L14" s="700"/>
      <c r="M14" s="700"/>
      <c r="N14" s="700"/>
      <c r="O14" s="339"/>
      <c r="P14" s="917" t="s">
        <v>448</v>
      </c>
      <c r="Q14" s="917"/>
      <c r="R14" s="340" t="s">
        <v>117</v>
      </c>
      <c r="S14" s="918"/>
      <c r="T14" s="918"/>
      <c r="U14" s="341" t="s">
        <v>143</v>
      </c>
      <c r="V14" s="342"/>
      <c r="W14" s="928">
        <f t="shared" si="2"/>
        <v>0</v>
      </c>
      <c r="X14" s="928"/>
      <c r="Y14" s="928"/>
      <c r="Z14" s="929"/>
      <c r="AB14" s="927">
        <v>0</v>
      </c>
      <c r="AC14" s="928"/>
      <c r="AD14" s="929"/>
      <c r="AF14" s="927">
        <f t="shared" si="3"/>
        <v>0</v>
      </c>
      <c r="AG14" s="928"/>
      <c r="AH14" s="929"/>
      <c r="AM14" s="416"/>
      <c r="AN14" s="930">
        <f t="shared" si="0"/>
        <v>0</v>
      </c>
      <c r="AO14" s="931"/>
      <c r="AP14" s="932"/>
      <c r="AU14" s="416"/>
      <c r="AV14" s="897">
        <f t="shared" si="1"/>
        <v>0</v>
      </c>
      <c r="AW14" s="898"/>
      <c r="AX14" s="899"/>
    </row>
    <row r="15" spans="3:50" s="51" customFormat="1" ht="18" customHeight="1" x14ac:dyDescent="0.15">
      <c r="C15" s="708">
        <v>4120</v>
      </c>
      <c r="D15" s="709"/>
      <c r="E15" s="700" t="s">
        <v>155</v>
      </c>
      <c r="F15" s="700"/>
      <c r="G15" s="700"/>
      <c r="H15" s="700"/>
      <c r="I15" s="700"/>
      <c r="J15" s="700"/>
      <c r="K15" s="700"/>
      <c r="L15" s="700"/>
      <c r="M15" s="700"/>
      <c r="N15" s="700"/>
      <c r="O15" s="309"/>
      <c r="P15" s="917" t="s">
        <v>448</v>
      </c>
      <c r="Q15" s="917"/>
      <c r="R15" s="310" t="s">
        <v>117</v>
      </c>
      <c r="S15" s="918"/>
      <c r="T15" s="918"/>
      <c r="U15" s="311" t="s">
        <v>143</v>
      </c>
      <c r="V15" s="279"/>
      <c r="W15" s="928">
        <f t="shared" si="2"/>
        <v>0</v>
      </c>
      <c r="X15" s="928"/>
      <c r="Y15" s="928"/>
      <c r="Z15" s="929"/>
      <c r="AB15" s="927">
        <v>0</v>
      </c>
      <c r="AC15" s="928"/>
      <c r="AD15" s="929"/>
      <c r="AF15" s="927">
        <f t="shared" si="3"/>
        <v>0</v>
      </c>
      <c r="AG15" s="928"/>
      <c r="AH15" s="929"/>
      <c r="AM15" s="416"/>
      <c r="AN15" s="930">
        <f t="shared" si="0"/>
        <v>0</v>
      </c>
      <c r="AO15" s="931"/>
      <c r="AP15" s="932"/>
      <c r="AU15" s="416"/>
      <c r="AV15" s="897">
        <f t="shared" si="1"/>
        <v>0</v>
      </c>
      <c r="AW15" s="898"/>
      <c r="AX15" s="899"/>
    </row>
    <row r="16" spans="3:50" s="51" customFormat="1" ht="18" customHeight="1" x14ac:dyDescent="0.15">
      <c r="C16" s="708">
        <v>4130</v>
      </c>
      <c r="D16" s="709"/>
      <c r="E16" s="700" t="s">
        <v>474</v>
      </c>
      <c r="F16" s="700"/>
      <c r="G16" s="700"/>
      <c r="H16" s="700"/>
      <c r="I16" s="700"/>
      <c r="J16" s="700"/>
      <c r="K16" s="700"/>
      <c r="L16" s="700"/>
      <c r="M16" s="700"/>
      <c r="N16" s="700"/>
      <c r="O16" s="309"/>
      <c r="P16" s="917" t="s">
        <v>448</v>
      </c>
      <c r="Q16" s="917"/>
      <c r="R16" s="310" t="s">
        <v>117</v>
      </c>
      <c r="S16" s="918"/>
      <c r="T16" s="918"/>
      <c r="U16" s="311" t="s">
        <v>143</v>
      </c>
      <c r="V16" s="279"/>
      <c r="W16" s="928">
        <f t="shared" si="2"/>
        <v>0</v>
      </c>
      <c r="X16" s="928"/>
      <c r="Y16" s="928"/>
      <c r="Z16" s="929"/>
      <c r="AB16" s="927">
        <v>0</v>
      </c>
      <c r="AC16" s="928"/>
      <c r="AD16" s="929"/>
      <c r="AF16" s="927">
        <f t="shared" si="3"/>
        <v>0</v>
      </c>
      <c r="AG16" s="928"/>
      <c r="AH16" s="929"/>
      <c r="AM16" s="416"/>
      <c r="AN16" s="930">
        <f t="shared" si="0"/>
        <v>0</v>
      </c>
      <c r="AO16" s="931"/>
      <c r="AP16" s="932"/>
      <c r="AU16" s="416"/>
      <c r="AV16" s="897">
        <f t="shared" si="1"/>
        <v>0</v>
      </c>
      <c r="AW16" s="898"/>
      <c r="AX16" s="899"/>
    </row>
    <row r="17" spans="3:50" s="51" customFormat="1" ht="18" customHeight="1" x14ac:dyDescent="0.15">
      <c r="C17" s="708">
        <v>4140</v>
      </c>
      <c r="D17" s="709"/>
      <c r="E17" s="700" t="s">
        <v>183</v>
      </c>
      <c r="F17" s="700"/>
      <c r="G17" s="700"/>
      <c r="H17" s="700"/>
      <c r="I17" s="700"/>
      <c r="J17" s="700"/>
      <c r="K17" s="700"/>
      <c r="L17" s="700"/>
      <c r="M17" s="700"/>
      <c r="N17" s="700"/>
      <c r="O17" s="309"/>
      <c r="P17" s="917" t="s">
        <v>448</v>
      </c>
      <c r="Q17" s="917"/>
      <c r="R17" s="310" t="s">
        <v>117</v>
      </c>
      <c r="S17" s="918"/>
      <c r="T17" s="918"/>
      <c r="U17" s="311" t="s">
        <v>143</v>
      </c>
      <c r="V17" s="279"/>
      <c r="W17" s="928">
        <f t="shared" si="2"/>
        <v>0</v>
      </c>
      <c r="X17" s="928"/>
      <c r="Y17" s="928"/>
      <c r="Z17" s="929"/>
      <c r="AB17" s="927">
        <v>0</v>
      </c>
      <c r="AC17" s="928"/>
      <c r="AD17" s="929"/>
      <c r="AF17" s="927">
        <f t="shared" si="3"/>
        <v>0</v>
      </c>
      <c r="AG17" s="928"/>
      <c r="AH17" s="929"/>
      <c r="AM17" s="416"/>
      <c r="AN17" s="930">
        <f t="shared" si="0"/>
        <v>0</v>
      </c>
      <c r="AO17" s="931"/>
      <c r="AP17" s="932"/>
      <c r="AU17" s="416"/>
      <c r="AV17" s="897">
        <f t="shared" si="1"/>
        <v>0</v>
      </c>
      <c r="AW17" s="898"/>
      <c r="AX17" s="899"/>
    </row>
    <row r="18" spans="3:50" s="51" customFormat="1" ht="18" customHeight="1" x14ac:dyDescent="0.15">
      <c r="C18" s="708">
        <v>4150</v>
      </c>
      <c r="D18" s="709"/>
      <c r="E18" s="700" t="s">
        <v>184</v>
      </c>
      <c r="F18" s="700"/>
      <c r="G18" s="700"/>
      <c r="H18" s="700"/>
      <c r="I18" s="700"/>
      <c r="J18" s="700"/>
      <c r="K18" s="700"/>
      <c r="L18" s="700"/>
      <c r="M18" s="700"/>
      <c r="N18" s="700"/>
      <c r="O18" s="309"/>
      <c r="P18" s="917" t="s">
        <v>448</v>
      </c>
      <c r="Q18" s="917"/>
      <c r="R18" s="310" t="s">
        <v>117</v>
      </c>
      <c r="S18" s="918"/>
      <c r="T18" s="918"/>
      <c r="U18" s="311" t="s">
        <v>143</v>
      </c>
      <c r="V18" s="279"/>
      <c r="W18" s="928">
        <f t="shared" si="2"/>
        <v>0</v>
      </c>
      <c r="X18" s="928"/>
      <c r="Y18" s="928"/>
      <c r="Z18" s="929"/>
      <c r="AB18" s="927">
        <v>0</v>
      </c>
      <c r="AC18" s="928"/>
      <c r="AD18" s="929"/>
      <c r="AF18" s="927">
        <f t="shared" si="3"/>
        <v>0</v>
      </c>
      <c r="AG18" s="928"/>
      <c r="AH18" s="929"/>
      <c r="AM18" s="416"/>
      <c r="AN18" s="930">
        <f t="shared" si="0"/>
        <v>0</v>
      </c>
      <c r="AO18" s="931"/>
      <c r="AP18" s="932"/>
      <c r="AU18" s="416"/>
      <c r="AV18" s="897">
        <f t="shared" si="1"/>
        <v>0</v>
      </c>
      <c r="AW18" s="898"/>
      <c r="AX18" s="899"/>
    </row>
    <row r="19" spans="3:50" s="51" customFormat="1" ht="18" customHeight="1" x14ac:dyDescent="0.15">
      <c r="C19" s="708">
        <v>4160</v>
      </c>
      <c r="D19" s="709"/>
      <c r="E19" s="700" t="s">
        <v>396</v>
      </c>
      <c r="F19" s="700"/>
      <c r="G19" s="700"/>
      <c r="H19" s="700"/>
      <c r="I19" s="700"/>
      <c r="J19" s="700"/>
      <c r="K19" s="700"/>
      <c r="L19" s="700"/>
      <c r="M19" s="700"/>
      <c r="N19" s="700"/>
      <c r="O19" s="309"/>
      <c r="P19" s="917" t="s">
        <v>448</v>
      </c>
      <c r="Q19" s="917"/>
      <c r="R19" s="310" t="s">
        <v>117</v>
      </c>
      <c r="S19" s="918"/>
      <c r="T19" s="918"/>
      <c r="U19" s="311" t="s">
        <v>143</v>
      </c>
      <c r="V19" s="279"/>
      <c r="W19" s="928">
        <f t="shared" si="2"/>
        <v>0</v>
      </c>
      <c r="X19" s="928"/>
      <c r="Y19" s="928"/>
      <c r="Z19" s="929"/>
      <c r="AB19" s="927">
        <v>0</v>
      </c>
      <c r="AC19" s="928"/>
      <c r="AD19" s="929"/>
      <c r="AF19" s="927">
        <f t="shared" si="3"/>
        <v>0</v>
      </c>
      <c r="AG19" s="928"/>
      <c r="AH19" s="929"/>
      <c r="AM19" s="416"/>
      <c r="AN19" s="930">
        <f t="shared" si="0"/>
        <v>0</v>
      </c>
      <c r="AO19" s="931"/>
      <c r="AP19" s="932"/>
      <c r="AU19" s="416"/>
      <c r="AV19" s="897">
        <f t="shared" si="1"/>
        <v>0</v>
      </c>
      <c r="AW19" s="898"/>
      <c r="AX19" s="899"/>
    </row>
    <row r="20" spans="3:50" s="51" customFormat="1" ht="18" customHeight="1" x14ac:dyDescent="0.15">
      <c r="C20" s="708">
        <v>4170</v>
      </c>
      <c r="D20" s="709"/>
      <c r="E20" s="700" t="s">
        <v>185</v>
      </c>
      <c r="F20" s="700"/>
      <c r="G20" s="700"/>
      <c r="H20" s="700"/>
      <c r="I20" s="700"/>
      <c r="J20" s="700"/>
      <c r="K20" s="700"/>
      <c r="L20" s="700"/>
      <c r="M20" s="700"/>
      <c r="N20" s="700"/>
      <c r="O20" s="309"/>
      <c r="P20" s="917" t="s">
        <v>448</v>
      </c>
      <c r="Q20" s="917"/>
      <c r="R20" s="310" t="s">
        <v>117</v>
      </c>
      <c r="S20" s="918"/>
      <c r="T20" s="918"/>
      <c r="U20" s="311" t="s">
        <v>143</v>
      </c>
      <c r="V20" s="279"/>
      <c r="W20" s="928">
        <f t="shared" si="2"/>
        <v>0</v>
      </c>
      <c r="X20" s="928"/>
      <c r="Y20" s="928"/>
      <c r="Z20" s="929"/>
      <c r="AB20" s="927">
        <v>0</v>
      </c>
      <c r="AC20" s="928"/>
      <c r="AD20" s="929"/>
      <c r="AF20" s="927">
        <f t="shared" si="3"/>
        <v>0</v>
      </c>
      <c r="AG20" s="928"/>
      <c r="AH20" s="929"/>
      <c r="AM20" s="416"/>
      <c r="AN20" s="930">
        <f t="shared" si="0"/>
        <v>0</v>
      </c>
      <c r="AO20" s="931"/>
      <c r="AP20" s="932"/>
      <c r="AU20" s="416"/>
      <c r="AV20" s="897">
        <f t="shared" si="1"/>
        <v>0</v>
      </c>
      <c r="AW20" s="898"/>
      <c r="AX20" s="899"/>
    </row>
    <row r="21" spans="3:50" s="51" customFormat="1" ht="18" customHeight="1" x14ac:dyDescent="0.15">
      <c r="C21" s="708">
        <v>4180</v>
      </c>
      <c r="D21" s="709"/>
      <c r="E21" s="700"/>
      <c r="F21" s="700"/>
      <c r="G21" s="700"/>
      <c r="H21" s="700"/>
      <c r="I21" s="700"/>
      <c r="J21" s="700"/>
      <c r="K21" s="700"/>
      <c r="L21" s="700"/>
      <c r="M21" s="700"/>
      <c r="N21" s="700"/>
      <c r="O21" s="309"/>
      <c r="P21" s="917"/>
      <c r="Q21" s="917"/>
      <c r="R21" s="310" t="s">
        <v>117</v>
      </c>
      <c r="S21" s="918"/>
      <c r="T21" s="918"/>
      <c r="U21" s="311" t="s">
        <v>143</v>
      </c>
      <c r="V21" s="279"/>
      <c r="W21" s="928">
        <f t="shared" si="2"/>
        <v>0</v>
      </c>
      <c r="X21" s="928"/>
      <c r="Y21" s="928"/>
      <c r="Z21" s="929"/>
      <c r="AB21" s="927">
        <v>0</v>
      </c>
      <c r="AC21" s="928"/>
      <c r="AD21" s="929"/>
      <c r="AF21" s="927">
        <f t="shared" si="3"/>
        <v>0</v>
      </c>
      <c r="AG21" s="928"/>
      <c r="AH21" s="929"/>
      <c r="AM21" s="416"/>
      <c r="AN21" s="930">
        <f t="shared" si="0"/>
        <v>0</v>
      </c>
      <c r="AO21" s="931"/>
      <c r="AP21" s="932"/>
      <c r="AU21" s="416"/>
      <c r="AV21" s="897">
        <f t="shared" si="1"/>
        <v>0</v>
      </c>
      <c r="AW21" s="898"/>
      <c r="AX21" s="899"/>
    </row>
    <row r="22" spans="3:50" s="51" customFormat="1" ht="18" customHeight="1" x14ac:dyDescent="0.15">
      <c r="C22" s="708">
        <v>4190</v>
      </c>
      <c r="D22" s="709"/>
      <c r="E22" s="700"/>
      <c r="F22" s="700"/>
      <c r="G22" s="700"/>
      <c r="H22" s="700"/>
      <c r="I22" s="700"/>
      <c r="J22" s="700"/>
      <c r="K22" s="700"/>
      <c r="L22" s="700"/>
      <c r="M22" s="700"/>
      <c r="N22" s="700"/>
      <c r="O22" s="309"/>
      <c r="P22" s="917"/>
      <c r="Q22" s="917"/>
      <c r="R22" s="310" t="s">
        <v>117</v>
      </c>
      <c r="S22" s="918"/>
      <c r="T22" s="918"/>
      <c r="U22" s="311" t="s">
        <v>143</v>
      </c>
      <c r="V22" s="279"/>
      <c r="W22" s="928">
        <f t="shared" si="2"/>
        <v>0</v>
      </c>
      <c r="X22" s="928"/>
      <c r="Y22" s="928"/>
      <c r="Z22" s="929"/>
      <c r="AB22" s="927">
        <v>0</v>
      </c>
      <c r="AC22" s="928"/>
      <c r="AD22" s="929"/>
      <c r="AF22" s="927">
        <f t="shared" si="3"/>
        <v>0</v>
      </c>
      <c r="AG22" s="928"/>
      <c r="AH22" s="929"/>
      <c r="AM22" s="416"/>
      <c r="AN22" s="930">
        <f t="shared" si="0"/>
        <v>0</v>
      </c>
      <c r="AO22" s="931"/>
      <c r="AP22" s="932"/>
      <c r="AU22" s="416"/>
      <c r="AV22" s="897">
        <f t="shared" si="1"/>
        <v>0</v>
      </c>
      <c r="AW22" s="898"/>
      <c r="AX22" s="899"/>
    </row>
    <row r="23" spans="3:50" s="51" customFormat="1" ht="18" customHeight="1" x14ac:dyDescent="0.15">
      <c r="C23" s="708">
        <v>4210</v>
      </c>
      <c r="D23" s="709"/>
      <c r="E23" s="700" t="s">
        <v>475</v>
      </c>
      <c r="F23" s="700"/>
      <c r="G23" s="700"/>
      <c r="H23" s="700"/>
      <c r="I23" s="700"/>
      <c r="J23" s="700"/>
      <c r="K23" s="700"/>
      <c r="L23" s="700"/>
      <c r="M23" s="700"/>
      <c r="N23" s="700"/>
      <c r="O23" s="309"/>
      <c r="P23" s="917" t="s">
        <v>451</v>
      </c>
      <c r="Q23" s="917"/>
      <c r="R23" s="310" t="s">
        <v>117</v>
      </c>
      <c r="S23" s="918"/>
      <c r="T23" s="918"/>
      <c r="U23" s="311" t="s">
        <v>143</v>
      </c>
      <c r="V23" s="279"/>
      <c r="W23" s="928">
        <f t="shared" si="2"/>
        <v>0</v>
      </c>
      <c r="X23" s="928"/>
      <c r="Y23" s="928"/>
      <c r="Z23" s="929"/>
      <c r="AB23" s="927">
        <v>0</v>
      </c>
      <c r="AC23" s="928"/>
      <c r="AD23" s="929"/>
      <c r="AF23" s="927">
        <f t="shared" si="3"/>
        <v>0</v>
      </c>
      <c r="AG23" s="928"/>
      <c r="AH23" s="929"/>
      <c r="AM23" s="416"/>
      <c r="AN23" s="930">
        <f t="shared" si="0"/>
        <v>0</v>
      </c>
      <c r="AO23" s="931"/>
      <c r="AP23" s="932"/>
      <c r="AU23" s="416"/>
      <c r="AV23" s="897">
        <f t="shared" si="1"/>
        <v>0</v>
      </c>
      <c r="AW23" s="898"/>
      <c r="AX23" s="899"/>
    </row>
    <row r="24" spans="3:50" s="51" customFormat="1" ht="18" customHeight="1" x14ac:dyDescent="0.15">
      <c r="C24" s="708">
        <v>4220</v>
      </c>
      <c r="D24" s="709"/>
      <c r="E24" s="700" t="s">
        <v>186</v>
      </c>
      <c r="F24" s="700"/>
      <c r="G24" s="700"/>
      <c r="H24" s="700"/>
      <c r="I24" s="700"/>
      <c r="J24" s="700"/>
      <c r="K24" s="700"/>
      <c r="L24" s="700"/>
      <c r="M24" s="700"/>
      <c r="N24" s="700"/>
      <c r="O24" s="309"/>
      <c r="P24" s="917" t="s">
        <v>448</v>
      </c>
      <c r="Q24" s="917"/>
      <c r="R24" s="310" t="s">
        <v>117</v>
      </c>
      <c r="S24" s="918"/>
      <c r="T24" s="918"/>
      <c r="U24" s="311" t="s">
        <v>143</v>
      </c>
      <c r="V24" s="279"/>
      <c r="W24" s="928">
        <f t="shared" si="2"/>
        <v>0</v>
      </c>
      <c r="X24" s="928"/>
      <c r="Y24" s="928"/>
      <c r="Z24" s="929"/>
      <c r="AB24" s="927">
        <v>0</v>
      </c>
      <c r="AC24" s="928"/>
      <c r="AD24" s="929"/>
      <c r="AF24" s="927">
        <f t="shared" si="3"/>
        <v>0</v>
      </c>
      <c r="AG24" s="928"/>
      <c r="AH24" s="929"/>
      <c r="AM24" s="416"/>
      <c r="AN24" s="930">
        <f t="shared" si="0"/>
        <v>0</v>
      </c>
      <c r="AO24" s="931"/>
      <c r="AP24" s="932"/>
      <c r="AU24" s="416"/>
      <c r="AV24" s="897">
        <f t="shared" si="1"/>
        <v>0</v>
      </c>
      <c r="AW24" s="898"/>
      <c r="AX24" s="899"/>
    </row>
    <row r="25" spans="3:50" s="51" customFormat="1" ht="18" customHeight="1" x14ac:dyDescent="0.15">
      <c r="C25" s="708">
        <v>4230</v>
      </c>
      <c r="D25" s="709"/>
      <c r="E25" s="700" t="s">
        <v>187</v>
      </c>
      <c r="F25" s="700"/>
      <c r="G25" s="700"/>
      <c r="H25" s="700"/>
      <c r="I25" s="700"/>
      <c r="J25" s="700"/>
      <c r="K25" s="700"/>
      <c r="L25" s="700"/>
      <c r="M25" s="700"/>
      <c r="N25" s="700"/>
      <c r="O25" s="309"/>
      <c r="P25" s="917" t="s">
        <v>451</v>
      </c>
      <c r="Q25" s="917"/>
      <c r="R25" s="310" t="s">
        <v>117</v>
      </c>
      <c r="S25" s="918"/>
      <c r="T25" s="918"/>
      <c r="U25" s="311" t="s">
        <v>143</v>
      </c>
      <c r="V25" s="279"/>
      <c r="W25" s="928">
        <f t="shared" si="2"/>
        <v>0</v>
      </c>
      <c r="X25" s="928"/>
      <c r="Y25" s="928"/>
      <c r="Z25" s="929"/>
      <c r="AB25" s="927">
        <v>0</v>
      </c>
      <c r="AC25" s="928"/>
      <c r="AD25" s="929"/>
      <c r="AF25" s="927">
        <f t="shared" si="3"/>
        <v>0</v>
      </c>
      <c r="AG25" s="928"/>
      <c r="AH25" s="929"/>
      <c r="AM25" s="416"/>
      <c r="AN25" s="930">
        <f t="shared" si="0"/>
        <v>0</v>
      </c>
      <c r="AO25" s="931"/>
      <c r="AP25" s="932"/>
      <c r="AU25" s="416"/>
      <c r="AV25" s="897">
        <f t="shared" si="1"/>
        <v>0</v>
      </c>
      <c r="AW25" s="898"/>
      <c r="AX25" s="899"/>
    </row>
    <row r="26" spans="3:50" s="51" customFormat="1" ht="18" customHeight="1" x14ac:dyDescent="0.15">
      <c r="C26" s="708">
        <v>4240</v>
      </c>
      <c r="D26" s="709"/>
      <c r="E26" s="700" t="s">
        <v>188</v>
      </c>
      <c r="F26" s="700"/>
      <c r="G26" s="700"/>
      <c r="H26" s="700"/>
      <c r="I26" s="700"/>
      <c r="J26" s="700"/>
      <c r="K26" s="700"/>
      <c r="L26" s="700"/>
      <c r="M26" s="700"/>
      <c r="N26" s="700"/>
      <c r="O26" s="309"/>
      <c r="P26" s="917" t="s">
        <v>448</v>
      </c>
      <c r="Q26" s="917"/>
      <c r="R26" s="310" t="s">
        <v>117</v>
      </c>
      <c r="S26" s="918"/>
      <c r="T26" s="918"/>
      <c r="U26" s="311" t="s">
        <v>143</v>
      </c>
      <c r="V26" s="279"/>
      <c r="W26" s="928">
        <f t="shared" si="2"/>
        <v>0</v>
      </c>
      <c r="X26" s="928"/>
      <c r="Y26" s="928"/>
      <c r="Z26" s="929"/>
      <c r="AB26" s="927">
        <v>0</v>
      </c>
      <c r="AC26" s="928"/>
      <c r="AD26" s="929"/>
      <c r="AF26" s="927">
        <f t="shared" si="3"/>
        <v>0</v>
      </c>
      <c r="AG26" s="928"/>
      <c r="AH26" s="929"/>
      <c r="AM26" s="416"/>
      <c r="AN26" s="930">
        <f t="shared" si="0"/>
        <v>0</v>
      </c>
      <c r="AO26" s="931"/>
      <c r="AP26" s="932"/>
      <c r="AU26" s="416"/>
      <c r="AV26" s="897">
        <f t="shared" si="1"/>
        <v>0</v>
      </c>
      <c r="AW26" s="898"/>
      <c r="AX26" s="899"/>
    </row>
    <row r="27" spans="3:50" s="51" customFormat="1" ht="18" customHeight="1" x14ac:dyDescent="0.15">
      <c r="C27" s="708">
        <v>4250</v>
      </c>
      <c r="D27" s="709"/>
      <c r="E27" s="700"/>
      <c r="F27" s="700"/>
      <c r="G27" s="700"/>
      <c r="H27" s="700"/>
      <c r="I27" s="700"/>
      <c r="J27" s="700"/>
      <c r="K27" s="700"/>
      <c r="L27" s="700"/>
      <c r="M27" s="700"/>
      <c r="N27" s="700"/>
      <c r="O27" s="309"/>
      <c r="P27" s="917"/>
      <c r="Q27" s="917"/>
      <c r="R27" s="310" t="s">
        <v>117</v>
      </c>
      <c r="S27" s="918"/>
      <c r="T27" s="918"/>
      <c r="U27" s="311" t="s">
        <v>143</v>
      </c>
      <c r="V27" s="279"/>
      <c r="W27" s="928">
        <f t="shared" si="2"/>
        <v>0</v>
      </c>
      <c r="X27" s="928"/>
      <c r="Y27" s="928"/>
      <c r="Z27" s="929"/>
      <c r="AB27" s="927">
        <v>0</v>
      </c>
      <c r="AC27" s="928"/>
      <c r="AD27" s="929"/>
      <c r="AF27" s="927">
        <f t="shared" si="3"/>
        <v>0</v>
      </c>
      <c r="AG27" s="928"/>
      <c r="AH27" s="929"/>
      <c r="AM27" s="416"/>
      <c r="AN27" s="930">
        <f t="shared" si="0"/>
        <v>0</v>
      </c>
      <c r="AO27" s="931"/>
      <c r="AP27" s="932"/>
      <c r="AU27" s="416"/>
      <c r="AV27" s="897">
        <f t="shared" si="1"/>
        <v>0</v>
      </c>
      <c r="AW27" s="898"/>
      <c r="AX27" s="899"/>
    </row>
    <row r="28" spans="3:50" s="51" customFormat="1" ht="18" customHeight="1" x14ac:dyDescent="0.15">
      <c r="C28" s="708">
        <v>4260</v>
      </c>
      <c r="D28" s="709"/>
      <c r="E28" s="700"/>
      <c r="F28" s="700"/>
      <c r="G28" s="700"/>
      <c r="H28" s="700"/>
      <c r="I28" s="700"/>
      <c r="J28" s="700"/>
      <c r="K28" s="700"/>
      <c r="L28" s="700"/>
      <c r="M28" s="700"/>
      <c r="N28" s="700"/>
      <c r="O28" s="309"/>
      <c r="P28" s="917"/>
      <c r="Q28" s="917"/>
      <c r="R28" s="310" t="s">
        <v>117</v>
      </c>
      <c r="S28" s="918"/>
      <c r="T28" s="918"/>
      <c r="U28" s="311" t="s">
        <v>143</v>
      </c>
      <c r="V28" s="279"/>
      <c r="W28" s="928">
        <f t="shared" si="2"/>
        <v>0</v>
      </c>
      <c r="X28" s="928"/>
      <c r="Y28" s="928"/>
      <c r="Z28" s="929"/>
      <c r="AB28" s="927">
        <v>0</v>
      </c>
      <c r="AC28" s="928"/>
      <c r="AD28" s="929"/>
      <c r="AF28" s="927">
        <f t="shared" si="3"/>
        <v>0</v>
      </c>
      <c r="AG28" s="928"/>
      <c r="AH28" s="929"/>
      <c r="AM28" s="416"/>
      <c r="AN28" s="930">
        <f t="shared" si="0"/>
        <v>0</v>
      </c>
      <c r="AO28" s="931"/>
      <c r="AP28" s="932"/>
      <c r="AU28" s="416"/>
      <c r="AV28" s="897">
        <f t="shared" si="1"/>
        <v>0</v>
      </c>
      <c r="AW28" s="898"/>
      <c r="AX28" s="899"/>
    </row>
    <row r="29" spans="3:50" s="51" customFormat="1" ht="18" customHeight="1" x14ac:dyDescent="0.15">
      <c r="C29" s="708">
        <v>4270</v>
      </c>
      <c r="D29" s="709"/>
      <c r="E29" s="700"/>
      <c r="F29" s="700"/>
      <c r="G29" s="700"/>
      <c r="H29" s="700"/>
      <c r="I29" s="700"/>
      <c r="J29" s="700"/>
      <c r="K29" s="700"/>
      <c r="L29" s="700"/>
      <c r="M29" s="700"/>
      <c r="N29" s="700"/>
      <c r="O29" s="309"/>
      <c r="P29" s="917"/>
      <c r="Q29" s="917"/>
      <c r="R29" s="310" t="s">
        <v>117</v>
      </c>
      <c r="S29" s="918"/>
      <c r="T29" s="918"/>
      <c r="U29" s="311" t="s">
        <v>143</v>
      </c>
      <c r="V29" s="279"/>
      <c r="W29" s="928">
        <f t="shared" si="2"/>
        <v>0</v>
      </c>
      <c r="X29" s="928"/>
      <c r="Y29" s="928"/>
      <c r="Z29" s="929"/>
      <c r="AB29" s="927">
        <v>0</v>
      </c>
      <c r="AC29" s="928"/>
      <c r="AD29" s="929"/>
      <c r="AF29" s="927">
        <f t="shared" si="3"/>
        <v>0</v>
      </c>
      <c r="AG29" s="928"/>
      <c r="AH29" s="929"/>
      <c r="AM29" s="416"/>
      <c r="AN29" s="930">
        <f t="shared" si="0"/>
        <v>0</v>
      </c>
      <c r="AO29" s="931"/>
      <c r="AP29" s="932"/>
      <c r="AU29" s="416"/>
      <c r="AV29" s="897">
        <f t="shared" si="1"/>
        <v>0</v>
      </c>
      <c r="AW29" s="898"/>
      <c r="AX29" s="899"/>
    </row>
    <row r="30" spans="3:50" s="51" customFormat="1" ht="18" customHeight="1" x14ac:dyDescent="0.15">
      <c r="C30" s="708">
        <v>4310</v>
      </c>
      <c r="D30" s="709"/>
      <c r="E30" s="700" t="s">
        <v>189</v>
      </c>
      <c r="F30" s="700"/>
      <c r="G30" s="700"/>
      <c r="H30" s="700"/>
      <c r="I30" s="700"/>
      <c r="J30" s="700"/>
      <c r="K30" s="700"/>
      <c r="L30" s="700"/>
      <c r="M30" s="700"/>
      <c r="N30" s="700"/>
      <c r="O30" s="309"/>
      <c r="P30" s="917" t="s">
        <v>448</v>
      </c>
      <c r="Q30" s="917"/>
      <c r="R30" s="310" t="s">
        <v>117</v>
      </c>
      <c r="S30" s="918"/>
      <c r="T30" s="918"/>
      <c r="U30" s="311" t="s">
        <v>143</v>
      </c>
      <c r="V30" s="279"/>
      <c r="W30" s="928">
        <f t="shared" si="2"/>
        <v>0</v>
      </c>
      <c r="X30" s="928"/>
      <c r="Y30" s="928"/>
      <c r="Z30" s="929"/>
      <c r="AB30" s="927">
        <v>0</v>
      </c>
      <c r="AC30" s="928"/>
      <c r="AD30" s="929"/>
      <c r="AF30" s="927">
        <f t="shared" si="3"/>
        <v>0</v>
      </c>
      <c r="AG30" s="928"/>
      <c r="AH30" s="929"/>
      <c r="AM30" s="416"/>
      <c r="AN30" s="930">
        <f t="shared" si="0"/>
        <v>0</v>
      </c>
      <c r="AO30" s="931"/>
      <c r="AP30" s="932"/>
      <c r="AU30" s="416"/>
      <c r="AV30" s="897">
        <f t="shared" si="1"/>
        <v>0</v>
      </c>
      <c r="AW30" s="898"/>
      <c r="AX30" s="899"/>
    </row>
    <row r="31" spans="3:50" s="51" customFormat="1" ht="18" customHeight="1" x14ac:dyDescent="0.15">
      <c r="C31" s="708">
        <v>4320</v>
      </c>
      <c r="D31" s="709"/>
      <c r="E31" s="700" t="s">
        <v>190</v>
      </c>
      <c r="F31" s="700"/>
      <c r="G31" s="700"/>
      <c r="H31" s="700"/>
      <c r="I31" s="700"/>
      <c r="J31" s="700"/>
      <c r="K31" s="700"/>
      <c r="L31" s="700"/>
      <c r="M31" s="700"/>
      <c r="N31" s="700"/>
      <c r="O31" s="309"/>
      <c r="P31" s="917" t="s">
        <v>448</v>
      </c>
      <c r="Q31" s="917"/>
      <c r="R31" s="310" t="s">
        <v>117</v>
      </c>
      <c r="S31" s="918"/>
      <c r="T31" s="918"/>
      <c r="U31" s="311" t="s">
        <v>143</v>
      </c>
      <c r="V31" s="279"/>
      <c r="W31" s="928">
        <f t="shared" si="2"/>
        <v>0</v>
      </c>
      <c r="X31" s="928"/>
      <c r="Y31" s="928"/>
      <c r="Z31" s="929"/>
      <c r="AB31" s="927">
        <v>0</v>
      </c>
      <c r="AC31" s="928"/>
      <c r="AD31" s="929"/>
      <c r="AF31" s="927">
        <f t="shared" si="3"/>
        <v>0</v>
      </c>
      <c r="AG31" s="928"/>
      <c r="AH31" s="929"/>
      <c r="AM31" s="416"/>
      <c r="AN31" s="930">
        <f t="shared" si="0"/>
        <v>0</v>
      </c>
      <c r="AO31" s="931"/>
      <c r="AP31" s="932"/>
      <c r="AU31" s="416"/>
      <c r="AV31" s="897">
        <f t="shared" si="1"/>
        <v>0</v>
      </c>
      <c r="AW31" s="898"/>
      <c r="AX31" s="899"/>
    </row>
    <row r="32" spans="3:50" s="51" customFormat="1" ht="18" customHeight="1" x14ac:dyDescent="0.15">
      <c r="C32" s="708">
        <v>4330</v>
      </c>
      <c r="D32" s="709"/>
      <c r="E32" s="700" t="s">
        <v>191</v>
      </c>
      <c r="F32" s="700"/>
      <c r="G32" s="700"/>
      <c r="H32" s="700"/>
      <c r="I32" s="700"/>
      <c r="J32" s="700"/>
      <c r="K32" s="700"/>
      <c r="L32" s="700"/>
      <c r="M32" s="700"/>
      <c r="N32" s="700"/>
      <c r="O32" s="309"/>
      <c r="P32" s="917" t="s">
        <v>448</v>
      </c>
      <c r="Q32" s="917"/>
      <c r="R32" s="310" t="s">
        <v>117</v>
      </c>
      <c r="S32" s="918"/>
      <c r="T32" s="918"/>
      <c r="U32" s="311" t="s">
        <v>143</v>
      </c>
      <c r="V32" s="279"/>
      <c r="W32" s="928">
        <f t="shared" si="2"/>
        <v>0</v>
      </c>
      <c r="X32" s="928"/>
      <c r="Y32" s="928"/>
      <c r="Z32" s="929"/>
      <c r="AB32" s="927">
        <v>0</v>
      </c>
      <c r="AC32" s="928"/>
      <c r="AD32" s="929"/>
      <c r="AF32" s="927">
        <f t="shared" si="3"/>
        <v>0</v>
      </c>
      <c r="AG32" s="928"/>
      <c r="AH32" s="929"/>
      <c r="AM32" s="416"/>
      <c r="AN32" s="930">
        <f t="shared" si="0"/>
        <v>0</v>
      </c>
      <c r="AO32" s="931"/>
      <c r="AP32" s="932"/>
      <c r="AU32" s="416"/>
      <c r="AV32" s="897">
        <f t="shared" si="1"/>
        <v>0</v>
      </c>
      <c r="AW32" s="898"/>
      <c r="AX32" s="899"/>
    </row>
    <row r="33" spans="3:50" s="51" customFormat="1" ht="18" customHeight="1" x14ac:dyDescent="0.15">
      <c r="C33" s="708">
        <v>4340</v>
      </c>
      <c r="D33" s="709"/>
      <c r="E33" s="700" t="s">
        <v>192</v>
      </c>
      <c r="F33" s="700"/>
      <c r="G33" s="700"/>
      <c r="H33" s="700"/>
      <c r="I33" s="700"/>
      <c r="J33" s="700"/>
      <c r="K33" s="700"/>
      <c r="L33" s="700"/>
      <c r="M33" s="700"/>
      <c r="N33" s="700"/>
      <c r="O33" s="309"/>
      <c r="P33" s="917" t="s">
        <v>448</v>
      </c>
      <c r="Q33" s="917"/>
      <c r="R33" s="310" t="s">
        <v>117</v>
      </c>
      <c r="S33" s="918"/>
      <c r="T33" s="918"/>
      <c r="U33" s="311" t="s">
        <v>143</v>
      </c>
      <c r="V33" s="279"/>
      <c r="W33" s="928">
        <f t="shared" si="2"/>
        <v>0</v>
      </c>
      <c r="X33" s="928"/>
      <c r="Y33" s="928"/>
      <c r="Z33" s="929"/>
      <c r="AB33" s="927">
        <v>0</v>
      </c>
      <c r="AC33" s="928"/>
      <c r="AD33" s="929"/>
      <c r="AF33" s="927">
        <f t="shared" si="3"/>
        <v>0</v>
      </c>
      <c r="AG33" s="928"/>
      <c r="AH33" s="929"/>
      <c r="AM33" s="416"/>
      <c r="AN33" s="930">
        <f t="shared" si="0"/>
        <v>0</v>
      </c>
      <c r="AO33" s="931"/>
      <c r="AP33" s="932"/>
      <c r="AU33" s="416"/>
      <c r="AV33" s="897">
        <f t="shared" si="1"/>
        <v>0</v>
      </c>
      <c r="AW33" s="898"/>
      <c r="AX33" s="899"/>
    </row>
    <row r="34" spans="3:50" s="51" customFormat="1" ht="18" customHeight="1" x14ac:dyDescent="0.15">
      <c r="C34" s="708">
        <v>4350</v>
      </c>
      <c r="D34" s="709"/>
      <c r="E34" s="700" t="s">
        <v>193</v>
      </c>
      <c r="F34" s="700"/>
      <c r="G34" s="700"/>
      <c r="H34" s="700"/>
      <c r="I34" s="700"/>
      <c r="J34" s="700"/>
      <c r="K34" s="700"/>
      <c r="L34" s="700"/>
      <c r="M34" s="700"/>
      <c r="N34" s="700"/>
      <c r="O34" s="309"/>
      <c r="P34" s="917" t="s">
        <v>448</v>
      </c>
      <c r="Q34" s="917"/>
      <c r="R34" s="310" t="s">
        <v>117</v>
      </c>
      <c r="S34" s="918"/>
      <c r="T34" s="918"/>
      <c r="U34" s="311" t="s">
        <v>143</v>
      </c>
      <c r="V34" s="279"/>
      <c r="W34" s="928">
        <f t="shared" si="2"/>
        <v>0</v>
      </c>
      <c r="X34" s="928"/>
      <c r="Y34" s="928"/>
      <c r="Z34" s="929"/>
      <c r="AB34" s="927">
        <v>0</v>
      </c>
      <c r="AC34" s="928"/>
      <c r="AD34" s="929"/>
      <c r="AF34" s="927">
        <f t="shared" si="3"/>
        <v>0</v>
      </c>
      <c r="AG34" s="928"/>
      <c r="AH34" s="929"/>
      <c r="AM34" s="416"/>
      <c r="AN34" s="930">
        <f t="shared" si="0"/>
        <v>0</v>
      </c>
      <c r="AO34" s="931"/>
      <c r="AP34" s="932"/>
      <c r="AU34" s="416"/>
      <c r="AV34" s="897">
        <f t="shared" si="1"/>
        <v>0</v>
      </c>
      <c r="AW34" s="898"/>
      <c r="AX34" s="899"/>
    </row>
    <row r="35" spans="3:50" s="51" customFormat="1" ht="18" customHeight="1" x14ac:dyDescent="0.15">
      <c r="C35" s="708">
        <v>4360</v>
      </c>
      <c r="D35" s="709"/>
      <c r="E35" s="700" t="s">
        <v>194</v>
      </c>
      <c r="F35" s="700"/>
      <c r="G35" s="700"/>
      <c r="H35" s="700"/>
      <c r="I35" s="700"/>
      <c r="J35" s="700"/>
      <c r="K35" s="700"/>
      <c r="L35" s="700"/>
      <c r="M35" s="700"/>
      <c r="N35" s="700"/>
      <c r="O35" s="309"/>
      <c r="P35" s="917" t="s">
        <v>116</v>
      </c>
      <c r="Q35" s="917"/>
      <c r="R35" s="310" t="s">
        <v>117</v>
      </c>
      <c r="S35" s="918"/>
      <c r="T35" s="918"/>
      <c r="U35" s="311" t="s">
        <v>143</v>
      </c>
      <c r="V35" s="279"/>
      <c r="W35" s="928">
        <f t="shared" si="2"/>
        <v>0</v>
      </c>
      <c r="X35" s="928"/>
      <c r="Y35" s="928"/>
      <c r="Z35" s="929"/>
      <c r="AB35" s="927">
        <v>0</v>
      </c>
      <c r="AC35" s="928"/>
      <c r="AD35" s="929"/>
      <c r="AF35" s="927">
        <f t="shared" si="3"/>
        <v>0</v>
      </c>
      <c r="AG35" s="928"/>
      <c r="AH35" s="929"/>
      <c r="AM35" s="416"/>
      <c r="AN35" s="930">
        <f t="shared" si="0"/>
        <v>0</v>
      </c>
      <c r="AO35" s="931"/>
      <c r="AP35" s="932"/>
      <c r="AU35" s="416"/>
      <c r="AV35" s="897">
        <f t="shared" si="1"/>
        <v>0</v>
      </c>
      <c r="AW35" s="898"/>
      <c r="AX35" s="899"/>
    </row>
    <row r="36" spans="3:50" s="51" customFormat="1" ht="18" customHeight="1" x14ac:dyDescent="0.15">
      <c r="C36" s="708">
        <v>4370</v>
      </c>
      <c r="D36" s="709"/>
      <c r="E36" s="700"/>
      <c r="F36" s="700"/>
      <c r="G36" s="700"/>
      <c r="H36" s="700"/>
      <c r="I36" s="700"/>
      <c r="J36" s="700"/>
      <c r="K36" s="700"/>
      <c r="L36" s="700"/>
      <c r="M36" s="700"/>
      <c r="N36" s="700"/>
      <c r="O36" s="309"/>
      <c r="P36" s="917"/>
      <c r="Q36" s="917"/>
      <c r="R36" s="310" t="s">
        <v>117</v>
      </c>
      <c r="S36" s="918"/>
      <c r="T36" s="918"/>
      <c r="U36" s="311" t="s">
        <v>143</v>
      </c>
      <c r="V36" s="279"/>
      <c r="W36" s="928">
        <f t="shared" si="2"/>
        <v>0</v>
      </c>
      <c r="X36" s="928"/>
      <c r="Y36" s="928"/>
      <c r="Z36" s="929"/>
      <c r="AA36" s="343"/>
      <c r="AB36" s="927">
        <v>0</v>
      </c>
      <c r="AC36" s="928"/>
      <c r="AD36" s="929"/>
      <c r="AF36" s="927">
        <f t="shared" si="3"/>
        <v>0</v>
      </c>
      <c r="AG36" s="928"/>
      <c r="AH36" s="929"/>
      <c r="AM36" s="416"/>
      <c r="AN36" s="930">
        <f t="shared" si="0"/>
        <v>0</v>
      </c>
      <c r="AO36" s="931"/>
      <c r="AP36" s="932"/>
      <c r="AU36" s="416"/>
      <c r="AV36" s="897">
        <f t="shared" si="1"/>
        <v>0</v>
      </c>
      <c r="AW36" s="898"/>
      <c r="AX36" s="899"/>
    </row>
    <row r="37" spans="3:50" s="51" customFormat="1" ht="18" customHeight="1" x14ac:dyDescent="0.15">
      <c r="C37" s="708">
        <v>4380</v>
      </c>
      <c r="D37" s="709"/>
      <c r="E37" s="700"/>
      <c r="F37" s="700"/>
      <c r="G37" s="700"/>
      <c r="H37" s="700"/>
      <c r="I37" s="700"/>
      <c r="J37" s="700"/>
      <c r="K37" s="700"/>
      <c r="L37" s="700"/>
      <c r="M37" s="700"/>
      <c r="N37" s="700"/>
      <c r="O37" s="309"/>
      <c r="P37" s="917"/>
      <c r="Q37" s="917"/>
      <c r="R37" s="310" t="s">
        <v>117</v>
      </c>
      <c r="S37" s="918"/>
      <c r="T37" s="918"/>
      <c r="U37" s="311" t="s">
        <v>143</v>
      </c>
      <c r="V37" s="279"/>
      <c r="W37" s="928">
        <f t="shared" si="2"/>
        <v>0</v>
      </c>
      <c r="X37" s="928"/>
      <c r="Y37" s="928"/>
      <c r="Z37" s="929"/>
      <c r="AA37" s="343"/>
      <c r="AB37" s="927">
        <v>0</v>
      </c>
      <c r="AC37" s="928"/>
      <c r="AD37" s="929"/>
      <c r="AF37" s="927">
        <f t="shared" si="3"/>
        <v>0</v>
      </c>
      <c r="AG37" s="928"/>
      <c r="AH37" s="929"/>
      <c r="AM37" s="416"/>
      <c r="AN37" s="930">
        <f t="shared" si="0"/>
        <v>0</v>
      </c>
      <c r="AO37" s="931"/>
      <c r="AP37" s="932"/>
      <c r="AU37" s="416"/>
      <c r="AV37" s="897">
        <f t="shared" si="1"/>
        <v>0</v>
      </c>
      <c r="AW37" s="898"/>
      <c r="AX37" s="899"/>
    </row>
    <row r="38" spans="3:50" s="51" customFormat="1" ht="18" customHeight="1" x14ac:dyDescent="0.15">
      <c r="C38" s="708">
        <v>4390</v>
      </c>
      <c r="D38" s="709"/>
      <c r="E38" s="700"/>
      <c r="F38" s="700"/>
      <c r="G38" s="700"/>
      <c r="H38" s="700"/>
      <c r="I38" s="700"/>
      <c r="J38" s="700"/>
      <c r="K38" s="700"/>
      <c r="L38" s="700"/>
      <c r="M38" s="700"/>
      <c r="N38" s="700"/>
      <c r="O38" s="309"/>
      <c r="P38" s="917"/>
      <c r="Q38" s="917"/>
      <c r="R38" s="310" t="s">
        <v>117</v>
      </c>
      <c r="S38" s="918"/>
      <c r="T38" s="918"/>
      <c r="U38" s="311" t="s">
        <v>143</v>
      </c>
      <c r="V38" s="279"/>
      <c r="W38" s="928">
        <f t="shared" si="2"/>
        <v>0</v>
      </c>
      <c r="X38" s="928"/>
      <c r="Y38" s="928"/>
      <c r="Z38" s="929"/>
      <c r="AA38" s="343"/>
      <c r="AB38" s="927">
        <v>0</v>
      </c>
      <c r="AC38" s="928"/>
      <c r="AD38" s="929"/>
      <c r="AF38" s="927">
        <f t="shared" si="3"/>
        <v>0</v>
      </c>
      <c r="AG38" s="928"/>
      <c r="AH38" s="929"/>
      <c r="AM38" s="416"/>
      <c r="AN38" s="930">
        <f t="shared" si="0"/>
        <v>0</v>
      </c>
      <c r="AO38" s="931"/>
      <c r="AP38" s="932"/>
      <c r="AU38" s="416"/>
      <c r="AV38" s="897">
        <f t="shared" si="1"/>
        <v>0</v>
      </c>
      <c r="AW38" s="898"/>
      <c r="AX38" s="899"/>
    </row>
    <row r="39" spans="3:50" s="51" customFormat="1" ht="18" customHeight="1" x14ac:dyDescent="0.15">
      <c r="C39" s="708">
        <v>4410</v>
      </c>
      <c r="D39" s="709"/>
      <c r="E39" s="700" t="s">
        <v>97</v>
      </c>
      <c r="F39" s="700"/>
      <c r="G39" s="700"/>
      <c r="H39" s="700"/>
      <c r="I39" s="700"/>
      <c r="J39" s="700"/>
      <c r="K39" s="700"/>
      <c r="L39" s="700"/>
      <c r="M39" s="700"/>
      <c r="N39" s="700"/>
      <c r="O39" s="309"/>
      <c r="P39" s="917" t="s">
        <v>451</v>
      </c>
      <c r="Q39" s="917"/>
      <c r="R39" s="310" t="s">
        <v>117</v>
      </c>
      <c r="S39" s="918"/>
      <c r="T39" s="918"/>
      <c r="U39" s="311" t="s">
        <v>143</v>
      </c>
      <c r="V39" s="279"/>
      <c r="W39" s="928">
        <f t="shared" si="2"/>
        <v>0</v>
      </c>
      <c r="X39" s="928"/>
      <c r="Y39" s="928"/>
      <c r="Z39" s="929"/>
      <c r="AB39" s="927">
        <v>0</v>
      </c>
      <c r="AC39" s="928"/>
      <c r="AD39" s="929"/>
      <c r="AF39" s="927">
        <f t="shared" si="3"/>
        <v>0</v>
      </c>
      <c r="AG39" s="928"/>
      <c r="AH39" s="929"/>
      <c r="AM39" s="416"/>
      <c r="AN39" s="930">
        <f t="shared" ref="AN39:AN60" si="4">IF(AM39="X",W39*S_MU,0)</f>
        <v>0</v>
      </c>
      <c r="AO39" s="931"/>
      <c r="AP39" s="932"/>
      <c r="AU39" s="416"/>
      <c r="AV39" s="897">
        <f t="shared" ref="AV39:AV60" si="5">IF(AU39="X",W39*S_TX,0)</f>
        <v>0</v>
      </c>
      <c r="AW39" s="898"/>
      <c r="AX39" s="899"/>
    </row>
    <row r="40" spans="3:50" s="51" customFormat="1" ht="18" customHeight="1" x14ac:dyDescent="0.15">
      <c r="C40" s="708">
        <v>4420</v>
      </c>
      <c r="D40" s="709"/>
      <c r="E40" s="700" t="s">
        <v>195</v>
      </c>
      <c r="F40" s="700"/>
      <c r="G40" s="700"/>
      <c r="H40" s="700"/>
      <c r="I40" s="700"/>
      <c r="J40" s="700"/>
      <c r="K40" s="700"/>
      <c r="L40" s="700"/>
      <c r="M40" s="700"/>
      <c r="N40" s="700"/>
      <c r="O40" s="309"/>
      <c r="P40" s="917" t="s">
        <v>451</v>
      </c>
      <c r="Q40" s="917"/>
      <c r="R40" s="310" t="s">
        <v>117</v>
      </c>
      <c r="S40" s="918"/>
      <c r="T40" s="918"/>
      <c r="U40" s="311" t="s">
        <v>143</v>
      </c>
      <c r="V40" s="279"/>
      <c r="W40" s="928">
        <f t="shared" si="2"/>
        <v>0</v>
      </c>
      <c r="X40" s="928"/>
      <c r="Y40" s="928"/>
      <c r="Z40" s="929"/>
      <c r="AB40" s="927">
        <v>0</v>
      </c>
      <c r="AC40" s="928"/>
      <c r="AD40" s="929"/>
      <c r="AF40" s="927">
        <f t="shared" si="3"/>
        <v>0</v>
      </c>
      <c r="AG40" s="928"/>
      <c r="AH40" s="929"/>
      <c r="AM40" s="416"/>
      <c r="AN40" s="930">
        <f t="shared" si="4"/>
        <v>0</v>
      </c>
      <c r="AO40" s="931"/>
      <c r="AP40" s="932"/>
      <c r="AU40" s="416"/>
      <c r="AV40" s="897">
        <f t="shared" si="5"/>
        <v>0</v>
      </c>
      <c r="AW40" s="898"/>
      <c r="AX40" s="899"/>
    </row>
    <row r="41" spans="3:50" s="51" customFormat="1" ht="18" customHeight="1" x14ac:dyDescent="0.15">
      <c r="C41" s="708">
        <v>4430</v>
      </c>
      <c r="D41" s="709"/>
      <c r="E41" s="700" t="s">
        <v>196</v>
      </c>
      <c r="F41" s="700"/>
      <c r="G41" s="700"/>
      <c r="H41" s="700"/>
      <c r="I41" s="700"/>
      <c r="J41" s="700"/>
      <c r="K41" s="700"/>
      <c r="L41" s="700"/>
      <c r="M41" s="700"/>
      <c r="N41" s="700"/>
      <c r="O41" s="309"/>
      <c r="P41" s="917" t="s">
        <v>451</v>
      </c>
      <c r="Q41" s="917"/>
      <c r="R41" s="310" t="s">
        <v>117</v>
      </c>
      <c r="S41" s="918"/>
      <c r="T41" s="918"/>
      <c r="U41" s="311" t="s">
        <v>143</v>
      </c>
      <c r="V41" s="279"/>
      <c r="W41" s="928">
        <f t="shared" si="2"/>
        <v>0</v>
      </c>
      <c r="X41" s="928"/>
      <c r="Y41" s="928"/>
      <c r="Z41" s="929"/>
      <c r="AB41" s="927">
        <v>0</v>
      </c>
      <c r="AC41" s="928"/>
      <c r="AD41" s="929"/>
      <c r="AF41" s="927">
        <f t="shared" si="3"/>
        <v>0</v>
      </c>
      <c r="AG41" s="928"/>
      <c r="AH41" s="929"/>
      <c r="AM41" s="416"/>
      <c r="AN41" s="930">
        <f t="shared" si="4"/>
        <v>0</v>
      </c>
      <c r="AO41" s="931"/>
      <c r="AP41" s="932"/>
      <c r="AU41" s="416"/>
      <c r="AV41" s="897">
        <f t="shared" si="5"/>
        <v>0</v>
      </c>
      <c r="AW41" s="898"/>
      <c r="AX41" s="899"/>
    </row>
    <row r="42" spans="3:50" s="51" customFormat="1" ht="18" customHeight="1" x14ac:dyDescent="0.15">
      <c r="C42" s="708">
        <v>4440</v>
      </c>
      <c r="D42" s="709"/>
      <c r="E42" s="700" t="s">
        <v>156</v>
      </c>
      <c r="F42" s="700"/>
      <c r="G42" s="700"/>
      <c r="H42" s="700"/>
      <c r="I42" s="700"/>
      <c r="J42" s="700"/>
      <c r="K42" s="700"/>
      <c r="L42" s="700"/>
      <c r="M42" s="700"/>
      <c r="N42" s="700"/>
      <c r="O42" s="309"/>
      <c r="P42" s="917" t="s">
        <v>451</v>
      </c>
      <c r="Q42" s="917"/>
      <c r="R42" s="310" t="s">
        <v>117</v>
      </c>
      <c r="S42" s="918"/>
      <c r="T42" s="918"/>
      <c r="U42" s="311" t="s">
        <v>143</v>
      </c>
      <c r="V42" s="279"/>
      <c r="W42" s="928">
        <f t="shared" si="2"/>
        <v>0</v>
      </c>
      <c r="X42" s="928"/>
      <c r="Y42" s="928"/>
      <c r="Z42" s="929"/>
      <c r="AB42" s="927">
        <v>0</v>
      </c>
      <c r="AC42" s="928"/>
      <c r="AD42" s="929"/>
      <c r="AF42" s="927">
        <f t="shared" si="3"/>
        <v>0</v>
      </c>
      <c r="AG42" s="928"/>
      <c r="AH42" s="929"/>
      <c r="AM42" s="416"/>
      <c r="AN42" s="930">
        <f t="shared" si="4"/>
        <v>0</v>
      </c>
      <c r="AO42" s="931"/>
      <c r="AP42" s="932"/>
      <c r="AU42" s="416"/>
      <c r="AV42" s="897">
        <f t="shared" si="5"/>
        <v>0</v>
      </c>
      <c r="AW42" s="898"/>
      <c r="AX42" s="899"/>
    </row>
    <row r="43" spans="3:50" s="51" customFormat="1" ht="18" customHeight="1" x14ac:dyDescent="0.15">
      <c r="C43" s="708">
        <v>4450</v>
      </c>
      <c r="D43" s="709"/>
      <c r="E43" s="700" t="s">
        <v>197</v>
      </c>
      <c r="F43" s="700"/>
      <c r="G43" s="700"/>
      <c r="H43" s="700"/>
      <c r="I43" s="700"/>
      <c r="J43" s="700"/>
      <c r="K43" s="700"/>
      <c r="L43" s="700"/>
      <c r="M43" s="700"/>
      <c r="N43" s="700"/>
      <c r="O43" s="309"/>
      <c r="P43" s="917" t="s">
        <v>140</v>
      </c>
      <c r="Q43" s="917"/>
      <c r="R43" s="310" t="s">
        <v>117</v>
      </c>
      <c r="S43" s="918"/>
      <c r="T43" s="918"/>
      <c r="U43" s="311" t="s">
        <v>143</v>
      </c>
      <c r="V43" s="279"/>
      <c r="W43" s="928">
        <f t="shared" si="2"/>
        <v>0</v>
      </c>
      <c r="X43" s="928"/>
      <c r="Y43" s="928"/>
      <c r="Z43" s="929"/>
      <c r="AB43" s="927">
        <v>0</v>
      </c>
      <c r="AC43" s="928"/>
      <c r="AD43" s="929"/>
      <c r="AF43" s="927">
        <f t="shared" si="3"/>
        <v>0</v>
      </c>
      <c r="AG43" s="928"/>
      <c r="AH43" s="929"/>
      <c r="AM43" s="416"/>
      <c r="AN43" s="930">
        <f t="shared" si="4"/>
        <v>0</v>
      </c>
      <c r="AO43" s="931"/>
      <c r="AP43" s="932"/>
      <c r="AU43" s="416"/>
      <c r="AV43" s="897">
        <f t="shared" si="5"/>
        <v>0</v>
      </c>
      <c r="AW43" s="898"/>
      <c r="AX43" s="899"/>
    </row>
    <row r="44" spans="3:50" s="51" customFormat="1" ht="18" customHeight="1" x14ac:dyDescent="0.15">
      <c r="C44" s="708">
        <v>4460</v>
      </c>
      <c r="D44" s="709"/>
      <c r="E44" s="700" t="s">
        <v>198</v>
      </c>
      <c r="F44" s="700"/>
      <c r="G44" s="700"/>
      <c r="H44" s="700"/>
      <c r="I44" s="700"/>
      <c r="J44" s="700"/>
      <c r="K44" s="700"/>
      <c r="L44" s="700"/>
      <c r="M44" s="700"/>
      <c r="N44" s="700"/>
      <c r="O44" s="309"/>
      <c r="P44" s="917" t="s">
        <v>448</v>
      </c>
      <c r="Q44" s="917"/>
      <c r="R44" s="310" t="s">
        <v>117</v>
      </c>
      <c r="S44" s="918"/>
      <c r="T44" s="918"/>
      <c r="U44" s="311" t="s">
        <v>143</v>
      </c>
      <c r="V44" s="279"/>
      <c r="W44" s="928">
        <f t="shared" si="2"/>
        <v>0</v>
      </c>
      <c r="X44" s="928"/>
      <c r="Y44" s="928"/>
      <c r="Z44" s="929"/>
      <c r="AB44" s="927">
        <v>0</v>
      </c>
      <c r="AC44" s="928"/>
      <c r="AD44" s="929"/>
      <c r="AF44" s="927">
        <f t="shared" si="3"/>
        <v>0</v>
      </c>
      <c r="AG44" s="928"/>
      <c r="AH44" s="929"/>
      <c r="AM44" s="416"/>
      <c r="AN44" s="930">
        <f t="shared" si="4"/>
        <v>0</v>
      </c>
      <c r="AO44" s="931"/>
      <c r="AP44" s="932"/>
      <c r="AU44" s="416"/>
      <c r="AV44" s="897">
        <f t="shared" si="5"/>
        <v>0</v>
      </c>
      <c r="AW44" s="898"/>
      <c r="AX44" s="899"/>
    </row>
    <row r="45" spans="3:50" s="51" customFormat="1" ht="18" customHeight="1" x14ac:dyDescent="0.15">
      <c r="C45" s="708">
        <v>4470</v>
      </c>
      <c r="D45" s="709"/>
      <c r="E45" s="700" t="s">
        <v>476</v>
      </c>
      <c r="F45" s="700"/>
      <c r="G45" s="700"/>
      <c r="H45" s="700"/>
      <c r="I45" s="700"/>
      <c r="J45" s="700"/>
      <c r="K45" s="700"/>
      <c r="L45" s="700"/>
      <c r="M45" s="700"/>
      <c r="N45" s="700"/>
      <c r="O45" s="309"/>
      <c r="P45" s="917" t="s">
        <v>116</v>
      </c>
      <c r="Q45" s="917"/>
      <c r="R45" s="310" t="s">
        <v>117</v>
      </c>
      <c r="S45" s="918"/>
      <c r="T45" s="918"/>
      <c r="U45" s="311" t="s">
        <v>143</v>
      </c>
      <c r="V45" s="279"/>
      <c r="W45" s="928">
        <f t="shared" si="2"/>
        <v>0</v>
      </c>
      <c r="X45" s="928"/>
      <c r="Y45" s="928"/>
      <c r="Z45" s="929"/>
      <c r="AB45" s="927">
        <v>0</v>
      </c>
      <c r="AC45" s="928"/>
      <c r="AD45" s="929"/>
      <c r="AF45" s="927">
        <f t="shared" si="3"/>
        <v>0</v>
      </c>
      <c r="AG45" s="928"/>
      <c r="AH45" s="929"/>
      <c r="AM45" s="416"/>
      <c r="AN45" s="930">
        <f t="shared" si="4"/>
        <v>0</v>
      </c>
      <c r="AO45" s="931"/>
      <c r="AP45" s="932"/>
      <c r="AU45" s="416"/>
      <c r="AV45" s="897">
        <f t="shared" si="5"/>
        <v>0</v>
      </c>
      <c r="AW45" s="898"/>
      <c r="AX45" s="899"/>
    </row>
    <row r="46" spans="3:50" s="51" customFormat="1" ht="18" customHeight="1" x14ac:dyDescent="0.15">
      <c r="C46" s="708">
        <v>4480</v>
      </c>
      <c r="D46" s="709"/>
      <c r="E46" s="700" t="s">
        <v>477</v>
      </c>
      <c r="F46" s="700"/>
      <c r="G46" s="700"/>
      <c r="H46" s="700"/>
      <c r="I46" s="700"/>
      <c r="J46" s="700"/>
      <c r="K46" s="700"/>
      <c r="L46" s="700"/>
      <c r="M46" s="700"/>
      <c r="N46" s="700"/>
      <c r="O46" s="309"/>
      <c r="P46" s="917" t="s">
        <v>451</v>
      </c>
      <c r="Q46" s="917"/>
      <c r="R46" s="310" t="s">
        <v>117</v>
      </c>
      <c r="S46" s="918"/>
      <c r="T46" s="918"/>
      <c r="U46" s="311" t="s">
        <v>143</v>
      </c>
      <c r="V46" s="279"/>
      <c r="W46" s="928">
        <f t="shared" si="2"/>
        <v>0</v>
      </c>
      <c r="X46" s="928"/>
      <c r="Y46" s="928"/>
      <c r="Z46" s="929"/>
      <c r="AB46" s="927">
        <v>0</v>
      </c>
      <c r="AC46" s="928"/>
      <c r="AD46" s="929"/>
      <c r="AF46" s="927">
        <f t="shared" si="3"/>
        <v>0</v>
      </c>
      <c r="AG46" s="928"/>
      <c r="AH46" s="929"/>
      <c r="AM46" s="416"/>
      <c r="AN46" s="930">
        <f t="shared" si="4"/>
        <v>0</v>
      </c>
      <c r="AO46" s="931"/>
      <c r="AP46" s="932"/>
      <c r="AU46" s="416"/>
      <c r="AV46" s="897">
        <f t="shared" si="5"/>
        <v>0</v>
      </c>
      <c r="AW46" s="898"/>
      <c r="AX46" s="899"/>
    </row>
    <row r="47" spans="3:50" s="51" customFormat="1" ht="18" customHeight="1" x14ac:dyDescent="0.15">
      <c r="C47" s="708">
        <v>4490</v>
      </c>
      <c r="D47" s="709"/>
      <c r="E47" s="700"/>
      <c r="F47" s="700"/>
      <c r="G47" s="700"/>
      <c r="H47" s="700"/>
      <c r="I47" s="700"/>
      <c r="J47" s="700"/>
      <c r="K47" s="700"/>
      <c r="L47" s="700"/>
      <c r="M47" s="700"/>
      <c r="N47" s="700"/>
      <c r="O47" s="309"/>
      <c r="P47" s="917"/>
      <c r="Q47" s="917"/>
      <c r="R47" s="310" t="s">
        <v>117</v>
      </c>
      <c r="S47" s="918"/>
      <c r="T47" s="918"/>
      <c r="U47" s="311" t="s">
        <v>143</v>
      </c>
      <c r="V47" s="279"/>
      <c r="W47" s="928">
        <f t="shared" si="2"/>
        <v>0</v>
      </c>
      <c r="X47" s="928"/>
      <c r="Y47" s="928"/>
      <c r="Z47" s="929"/>
      <c r="AB47" s="927">
        <v>0</v>
      </c>
      <c r="AC47" s="928"/>
      <c r="AD47" s="929"/>
      <c r="AF47" s="927">
        <f t="shared" si="3"/>
        <v>0</v>
      </c>
      <c r="AG47" s="928"/>
      <c r="AH47" s="929"/>
      <c r="AM47" s="416"/>
      <c r="AN47" s="930">
        <f t="shared" si="4"/>
        <v>0</v>
      </c>
      <c r="AO47" s="931"/>
      <c r="AP47" s="932"/>
      <c r="AU47" s="416"/>
      <c r="AV47" s="897">
        <f t="shared" si="5"/>
        <v>0</v>
      </c>
      <c r="AW47" s="898"/>
      <c r="AX47" s="899"/>
    </row>
    <row r="48" spans="3:50" s="51" customFormat="1" ht="18" customHeight="1" x14ac:dyDescent="0.15">
      <c r="C48" s="757">
        <v>4510</v>
      </c>
      <c r="D48" s="419"/>
      <c r="E48" s="700" t="s">
        <v>431</v>
      </c>
      <c r="F48" s="700"/>
      <c r="G48" s="700"/>
      <c r="H48" s="700"/>
      <c r="I48" s="700"/>
      <c r="J48" s="700"/>
      <c r="K48" s="700"/>
      <c r="L48" s="700"/>
      <c r="M48" s="700"/>
      <c r="N48" s="700"/>
      <c r="O48" s="309"/>
      <c r="P48" s="917" t="s">
        <v>451</v>
      </c>
      <c r="Q48" s="917"/>
      <c r="R48" s="310" t="s">
        <v>117</v>
      </c>
      <c r="S48" s="936"/>
      <c r="T48" s="936"/>
      <c r="U48" s="338" t="s">
        <v>143</v>
      </c>
      <c r="V48" s="309"/>
      <c r="W48" s="928">
        <f t="shared" si="2"/>
        <v>0</v>
      </c>
      <c r="X48" s="928"/>
      <c r="Y48" s="928"/>
      <c r="Z48" s="929"/>
      <c r="AB48" s="927">
        <v>0</v>
      </c>
      <c r="AC48" s="928"/>
      <c r="AD48" s="929"/>
      <c r="AF48" s="927">
        <f t="shared" si="3"/>
        <v>0</v>
      </c>
      <c r="AG48" s="928"/>
      <c r="AH48" s="929"/>
      <c r="AM48" s="416"/>
      <c r="AN48" s="930">
        <f t="shared" si="4"/>
        <v>0</v>
      </c>
      <c r="AO48" s="931"/>
      <c r="AP48" s="932"/>
      <c r="AU48" s="416"/>
      <c r="AV48" s="897">
        <f t="shared" si="5"/>
        <v>0</v>
      </c>
      <c r="AW48" s="898"/>
      <c r="AX48" s="899"/>
    </row>
    <row r="49" spans="3:50" s="51" customFormat="1" ht="18" customHeight="1" x14ac:dyDescent="0.15">
      <c r="C49" s="757">
        <v>4520</v>
      </c>
      <c r="D49" s="419"/>
      <c r="E49" s="700" t="s">
        <v>214</v>
      </c>
      <c r="F49" s="700"/>
      <c r="G49" s="700"/>
      <c r="H49" s="700"/>
      <c r="I49" s="700"/>
      <c r="J49" s="700"/>
      <c r="K49" s="700"/>
      <c r="L49" s="700"/>
      <c r="M49" s="700"/>
      <c r="N49" s="700"/>
      <c r="O49" s="309"/>
      <c r="P49" s="917" t="s">
        <v>451</v>
      </c>
      <c r="Q49" s="917"/>
      <c r="R49" s="310" t="s">
        <v>117</v>
      </c>
      <c r="S49" s="936"/>
      <c r="T49" s="936"/>
      <c r="U49" s="338" t="s">
        <v>143</v>
      </c>
      <c r="V49" s="309"/>
      <c r="W49" s="928">
        <f t="shared" si="2"/>
        <v>0</v>
      </c>
      <c r="X49" s="928"/>
      <c r="Y49" s="928"/>
      <c r="Z49" s="929"/>
      <c r="AB49" s="927">
        <v>0</v>
      </c>
      <c r="AC49" s="928"/>
      <c r="AD49" s="929"/>
      <c r="AF49" s="927">
        <f t="shared" si="3"/>
        <v>0</v>
      </c>
      <c r="AG49" s="928"/>
      <c r="AH49" s="929"/>
      <c r="AM49" s="416"/>
      <c r="AN49" s="930">
        <f t="shared" si="4"/>
        <v>0</v>
      </c>
      <c r="AO49" s="931"/>
      <c r="AP49" s="932"/>
      <c r="AU49" s="416"/>
      <c r="AV49" s="897">
        <f t="shared" si="5"/>
        <v>0</v>
      </c>
      <c r="AW49" s="898"/>
      <c r="AX49" s="899"/>
    </row>
    <row r="50" spans="3:50" s="51" customFormat="1" ht="18" customHeight="1" x14ac:dyDescent="0.15">
      <c r="C50" s="757">
        <v>4530</v>
      </c>
      <c r="D50" s="419"/>
      <c r="E50" s="700" t="s">
        <v>211</v>
      </c>
      <c r="F50" s="700"/>
      <c r="G50" s="700"/>
      <c r="H50" s="700"/>
      <c r="I50" s="700"/>
      <c r="J50" s="700"/>
      <c r="K50" s="700"/>
      <c r="L50" s="700"/>
      <c r="M50" s="700"/>
      <c r="N50" s="700"/>
      <c r="O50" s="309"/>
      <c r="P50" s="917" t="s">
        <v>451</v>
      </c>
      <c r="Q50" s="917"/>
      <c r="R50" s="310" t="s">
        <v>117</v>
      </c>
      <c r="S50" s="936"/>
      <c r="T50" s="936"/>
      <c r="U50" s="338" t="s">
        <v>143</v>
      </c>
      <c r="V50" s="309"/>
      <c r="W50" s="928">
        <f t="shared" si="2"/>
        <v>0</v>
      </c>
      <c r="X50" s="928"/>
      <c r="Y50" s="928"/>
      <c r="Z50" s="929"/>
      <c r="AB50" s="927">
        <v>0</v>
      </c>
      <c r="AC50" s="928"/>
      <c r="AD50" s="929"/>
      <c r="AF50" s="927">
        <f t="shared" si="3"/>
        <v>0</v>
      </c>
      <c r="AG50" s="928"/>
      <c r="AH50" s="929"/>
      <c r="AM50" s="416"/>
      <c r="AN50" s="930">
        <f t="shared" si="4"/>
        <v>0</v>
      </c>
      <c r="AO50" s="931"/>
      <c r="AP50" s="932"/>
      <c r="AU50" s="416"/>
      <c r="AV50" s="897">
        <f t="shared" si="5"/>
        <v>0</v>
      </c>
      <c r="AW50" s="898"/>
      <c r="AX50" s="899"/>
    </row>
    <row r="51" spans="3:50" s="51" customFormat="1" ht="18" customHeight="1" x14ac:dyDescent="0.15">
      <c r="C51" s="757">
        <v>4540</v>
      </c>
      <c r="D51" s="419"/>
      <c r="E51" s="700" t="s">
        <v>212</v>
      </c>
      <c r="F51" s="700"/>
      <c r="G51" s="700"/>
      <c r="H51" s="700"/>
      <c r="I51" s="700"/>
      <c r="J51" s="700"/>
      <c r="K51" s="700"/>
      <c r="L51" s="700"/>
      <c r="M51" s="700"/>
      <c r="N51" s="700"/>
      <c r="O51" s="309"/>
      <c r="P51" s="917" t="s">
        <v>451</v>
      </c>
      <c r="Q51" s="917"/>
      <c r="R51" s="310" t="s">
        <v>117</v>
      </c>
      <c r="S51" s="936"/>
      <c r="T51" s="936"/>
      <c r="U51" s="338" t="s">
        <v>143</v>
      </c>
      <c r="V51" s="309"/>
      <c r="W51" s="928">
        <f t="shared" si="2"/>
        <v>0</v>
      </c>
      <c r="X51" s="928"/>
      <c r="Y51" s="928"/>
      <c r="Z51" s="929"/>
      <c r="AB51" s="927">
        <v>0</v>
      </c>
      <c r="AC51" s="928"/>
      <c r="AD51" s="929"/>
      <c r="AF51" s="927">
        <f t="shared" si="3"/>
        <v>0</v>
      </c>
      <c r="AG51" s="928"/>
      <c r="AH51" s="929"/>
      <c r="AM51" s="416"/>
      <c r="AN51" s="930">
        <f t="shared" si="4"/>
        <v>0</v>
      </c>
      <c r="AO51" s="931"/>
      <c r="AP51" s="932"/>
      <c r="AU51" s="416"/>
      <c r="AV51" s="897">
        <f t="shared" si="5"/>
        <v>0</v>
      </c>
      <c r="AW51" s="898"/>
      <c r="AX51" s="899"/>
    </row>
    <row r="52" spans="3:50" s="51" customFormat="1" ht="18" customHeight="1" x14ac:dyDescent="0.15">
      <c r="C52" s="757">
        <v>4550</v>
      </c>
      <c r="D52" s="419"/>
      <c r="E52" s="700"/>
      <c r="F52" s="700"/>
      <c r="G52" s="700"/>
      <c r="H52" s="700"/>
      <c r="I52" s="700"/>
      <c r="J52" s="700"/>
      <c r="K52" s="700"/>
      <c r="L52" s="700"/>
      <c r="M52" s="700"/>
      <c r="N52" s="700"/>
      <c r="O52" s="309"/>
      <c r="P52" s="917"/>
      <c r="Q52" s="917"/>
      <c r="R52" s="310" t="s">
        <v>117</v>
      </c>
      <c r="S52" s="936"/>
      <c r="T52" s="936"/>
      <c r="U52" s="338" t="s">
        <v>143</v>
      </c>
      <c r="V52" s="309"/>
      <c r="W52" s="928">
        <f t="shared" si="2"/>
        <v>0</v>
      </c>
      <c r="X52" s="928"/>
      <c r="Y52" s="928"/>
      <c r="Z52" s="929"/>
      <c r="AB52" s="927">
        <v>0</v>
      </c>
      <c r="AC52" s="928"/>
      <c r="AD52" s="929"/>
      <c r="AF52" s="927">
        <f t="shared" si="3"/>
        <v>0</v>
      </c>
      <c r="AG52" s="928"/>
      <c r="AH52" s="929"/>
      <c r="AM52" s="416"/>
      <c r="AN52" s="930">
        <f t="shared" si="4"/>
        <v>0</v>
      </c>
      <c r="AO52" s="931"/>
      <c r="AP52" s="932"/>
      <c r="AU52" s="416"/>
      <c r="AV52" s="897">
        <f t="shared" si="5"/>
        <v>0</v>
      </c>
      <c r="AW52" s="898"/>
      <c r="AX52" s="899"/>
    </row>
    <row r="53" spans="3:50" s="51" customFormat="1" ht="18" customHeight="1" x14ac:dyDescent="0.15">
      <c r="C53" s="757">
        <v>4610</v>
      </c>
      <c r="D53" s="419"/>
      <c r="E53" s="604"/>
      <c r="F53" s="604"/>
      <c r="G53" s="604"/>
      <c r="H53" s="604"/>
      <c r="I53" s="604"/>
      <c r="J53" s="604"/>
      <c r="K53" s="604"/>
      <c r="L53" s="604"/>
      <c r="M53" s="604"/>
      <c r="N53" s="604"/>
      <c r="O53" s="309"/>
      <c r="P53" s="917" t="s">
        <v>140</v>
      </c>
      <c r="Q53" s="917"/>
      <c r="R53" s="310" t="s">
        <v>117</v>
      </c>
      <c r="S53" s="936"/>
      <c r="T53" s="936"/>
      <c r="U53" s="338" t="s">
        <v>143</v>
      </c>
      <c r="V53" s="309"/>
      <c r="W53" s="928">
        <f t="shared" si="2"/>
        <v>0</v>
      </c>
      <c r="X53" s="928"/>
      <c r="Y53" s="928"/>
      <c r="Z53" s="929"/>
      <c r="AB53" s="927">
        <v>0</v>
      </c>
      <c r="AC53" s="928"/>
      <c r="AD53" s="929"/>
      <c r="AF53" s="927">
        <f t="shared" si="3"/>
        <v>0</v>
      </c>
      <c r="AG53" s="928"/>
      <c r="AH53" s="929"/>
      <c r="AM53" s="416"/>
      <c r="AN53" s="930">
        <f t="shared" si="4"/>
        <v>0</v>
      </c>
      <c r="AO53" s="931"/>
      <c r="AP53" s="932"/>
      <c r="AU53" s="416"/>
      <c r="AV53" s="897">
        <f t="shared" si="5"/>
        <v>0</v>
      </c>
      <c r="AW53" s="898"/>
      <c r="AX53" s="899"/>
    </row>
    <row r="54" spans="3:50" s="51" customFormat="1" ht="18" customHeight="1" x14ac:dyDescent="0.15">
      <c r="C54" s="757">
        <v>4620</v>
      </c>
      <c r="D54" s="419"/>
      <c r="E54" s="604"/>
      <c r="F54" s="604"/>
      <c r="G54" s="604"/>
      <c r="H54" s="604"/>
      <c r="I54" s="604"/>
      <c r="J54" s="604"/>
      <c r="K54" s="604"/>
      <c r="L54" s="604"/>
      <c r="M54" s="604"/>
      <c r="N54" s="604"/>
      <c r="O54" s="309"/>
      <c r="P54" s="917" t="s">
        <v>116</v>
      </c>
      <c r="Q54" s="917"/>
      <c r="R54" s="310" t="s">
        <v>117</v>
      </c>
      <c r="S54" s="936"/>
      <c r="T54" s="936"/>
      <c r="U54" s="338" t="s">
        <v>143</v>
      </c>
      <c r="V54" s="309"/>
      <c r="W54" s="928">
        <f t="shared" si="2"/>
        <v>0</v>
      </c>
      <c r="X54" s="928"/>
      <c r="Y54" s="928"/>
      <c r="Z54" s="929"/>
      <c r="AB54" s="927">
        <v>0</v>
      </c>
      <c r="AC54" s="928"/>
      <c r="AD54" s="929"/>
      <c r="AF54" s="927">
        <f t="shared" si="3"/>
        <v>0</v>
      </c>
      <c r="AG54" s="928"/>
      <c r="AH54" s="929"/>
      <c r="AM54" s="416"/>
      <c r="AN54" s="930">
        <f t="shared" si="4"/>
        <v>0</v>
      </c>
      <c r="AO54" s="931"/>
      <c r="AP54" s="932"/>
      <c r="AU54" s="416"/>
      <c r="AV54" s="897">
        <f t="shared" si="5"/>
        <v>0</v>
      </c>
      <c r="AW54" s="898"/>
      <c r="AX54" s="899"/>
    </row>
    <row r="55" spans="3:50" s="51" customFormat="1" ht="18" customHeight="1" x14ac:dyDescent="0.15">
      <c r="C55" s="757">
        <v>4630</v>
      </c>
      <c r="D55" s="419"/>
      <c r="E55" s="604"/>
      <c r="F55" s="604"/>
      <c r="G55" s="604"/>
      <c r="H55" s="604"/>
      <c r="I55" s="604"/>
      <c r="J55" s="604"/>
      <c r="K55" s="604"/>
      <c r="L55" s="604"/>
      <c r="M55" s="604"/>
      <c r="N55" s="604"/>
      <c r="O55" s="309"/>
      <c r="P55" s="917" t="s">
        <v>116</v>
      </c>
      <c r="Q55" s="917"/>
      <c r="R55" s="310" t="s">
        <v>117</v>
      </c>
      <c r="S55" s="936"/>
      <c r="T55" s="936"/>
      <c r="U55" s="338" t="s">
        <v>143</v>
      </c>
      <c r="V55" s="309"/>
      <c r="W55" s="928">
        <f t="shared" si="2"/>
        <v>0</v>
      </c>
      <c r="X55" s="928"/>
      <c r="Y55" s="928"/>
      <c r="Z55" s="929"/>
      <c r="AB55" s="927">
        <v>0</v>
      </c>
      <c r="AC55" s="928"/>
      <c r="AD55" s="929"/>
      <c r="AF55" s="927">
        <f t="shared" si="3"/>
        <v>0</v>
      </c>
      <c r="AG55" s="928"/>
      <c r="AH55" s="929"/>
      <c r="AM55" s="416"/>
      <c r="AN55" s="930">
        <f t="shared" si="4"/>
        <v>0</v>
      </c>
      <c r="AO55" s="931"/>
      <c r="AP55" s="932"/>
      <c r="AU55" s="416"/>
      <c r="AV55" s="897">
        <f t="shared" si="5"/>
        <v>0</v>
      </c>
      <c r="AW55" s="898"/>
      <c r="AX55" s="899"/>
    </row>
    <row r="56" spans="3:50" s="51" customFormat="1" ht="18" customHeight="1" x14ac:dyDescent="0.15">
      <c r="C56" s="757">
        <v>4640</v>
      </c>
      <c r="D56" s="419"/>
      <c r="E56" s="604"/>
      <c r="F56" s="604"/>
      <c r="G56" s="604"/>
      <c r="H56" s="604"/>
      <c r="I56" s="604"/>
      <c r="J56" s="604"/>
      <c r="K56" s="604"/>
      <c r="L56" s="604"/>
      <c r="M56" s="604"/>
      <c r="N56" s="604"/>
      <c r="O56" s="309"/>
      <c r="P56" s="917" t="s">
        <v>451</v>
      </c>
      <c r="Q56" s="917"/>
      <c r="R56" s="310" t="s">
        <v>117</v>
      </c>
      <c r="S56" s="936"/>
      <c r="T56" s="936"/>
      <c r="U56" s="338" t="s">
        <v>143</v>
      </c>
      <c r="V56" s="309"/>
      <c r="W56" s="928">
        <f t="shared" si="2"/>
        <v>0</v>
      </c>
      <c r="X56" s="928"/>
      <c r="Y56" s="928"/>
      <c r="Z56" s="929"/>
      <c r="AB56" s="927">
        <v>0</v>
      </c>
      <c r="AC56" s="928"/>
      <c r="AD56" s="929"/>
      <c r="AF56" s="927">
        <f t="shared" si="3"/>
        <v>0</v>
      </c>
      <c r="AG56" s="928"/>
      <c r="AH56" s="929"/>
      <c r="AM56" s="416"/>
      <c r="AN56" s="930">
        <f t="shared" si="4"/>
        <v>0</v>
      </c>
      <c r="AO56" s="931"/>
      <c r="AP56" s="932"/>
      <c r="AU56" s="416"/>
      <c r="AV56" s="897">
        <f t="shared" si="5"/>
        <v>0</v>
      </c>
      <c r="AW56" s="898"/>
      <c r="AX56" s="899"/>
    </row>
    <row r="57" spans="3:50" s="51" customFormat="1" ht="18" customHeight="1" x14ac:dyDescent="0.15">
      <c r="C57" s="757">
        <v>4650</v>
      </c>
      <c r="D57" s="419"/>
      <c r="E57" s="604"/>
      <c r="F57" s="604"/>
      <c r="G57" s="604"/>
      <c r="H57" s="604"/>
      <c r="I57" s="604"/>
      <c r="J57" s="604"/>
      <c r="K57" s="604"/>
      <c r="L57" s="604"/>
      <c r="M57" s="604"/>
      <c r="N57" s="604"/>
      <c r="O57" s="309"/>
      <c r="P57" s="917" t="s">
        <v>451</v>
      </c>
      <c r="Q57" s="917"/>
      <c r="R57" s="310" t="s">
        <v>117</v>
      </c>
      <c r="S57" s="936"/>
      <c r="T57" s="936"/>
      <c r="U57" s="338" t="s">
        <v>143</v>
      </c>
      <c r="V57" s="309"/>
      <c r="W57" s="928">
        <f t="shared" si="2"/>
        <v>0</v>
      </c>
      <c r="X57" s="928"/>
      <c r="Y57" s="928"/>
      <c r="Z57" s="929"/>
      <c r="AB57" s="927">
        <v>0</v>
      </c>
      <c r="AC57" s="928"/>
      <c r="AD57" s="929"/>
      <c r="AF57" s="927">
        <f t="shared" si="3"/>
        <v>0</v>
      </c>
      <c r="AG57" s="928"/>
      <c r="AH57" s="929"/>
      <c r="AM57" s="416"/>
      <c r="AN57" s="930">
        <f t="shared" si="4"/>
        <v>0</v>
      </c>
      <c r="AO57" s="931"/>
      <c r="AP57" s="932"/>
      <c r="AU57" s="416"/>
      <c r="AV57" s="897">
        <f t="shared" si="5"/>
        <v>0</v>
      </c>
      <c r="AW57" s="898"/>
      <c r="AX57" s="899"/>
    </row>
    <row r="58" spans="3:50" s="51" customFormat="1" ht="18" customHeight="1" x14ac:dyDescent="0.15">
      <c r="C58" s="757">
        <v>4660</v>
      </c>
      <c r="D58" s="419"/>
      <c r="E58" s="604"/>
      <c r="F58" s="604"/>
      <c r="G58" s="604"/>
      <c r="H58" s="604"/>
      <c r="I58" s="604"/>
      <c r="J58" s="604"/>
      <c r="K58" s="604"/>
      <c r="L58" s="604"/>
      <c r="M58" s="604"/>
      <c r="N58" s="604"/>
      <c r="O58" s="309"/>
      <c r="P58" s="917"/>
      <c r="Q58" s="917"/>
      <c r="R58" s="310" t="s">
        <v>117</v>
      </c>
      <c r="S58" s="936"/>
      <c r="T58" s="936"/>
      <c r="U58" s="338" t="s">
        <v>143</v>
      </c>
      <c r="V58" s="309"/>
      <c r="W58" s="928">
        <f t="shared" si="2"/>
        <v>0</v>
      </c>
      <c r="X58" s="928"/>
      <c r="Y58" s="928"/>
      <c r="Z58" s="929"/>
      <c r="AB58" s="927">
        <v>0</v>
      </c>
      <c r="AC58" s="928"/>
      <c r="AD58" s="929"/>
      <c r="AF58" s="927">
        <f t="shared" si="3"/>
        <v>0</v>
      </c>
      <c r="AG58" s="928"/>
      <c r="AH58" s="929"/>
      <c r="AM58" s="416"/>
      <c r="AN58" s="930">
        <f t="shared" si="4"/>
        <v>0</v>
      </c>
      <c r="AO58" s="931"/>
      <c r="AP58" s="932"/>
      <c r="AU58" s="416"/>
      <c r="AV58" s="897">
        <f t="shared" si="5"/>
        <v>0</v>
      </c>
      <c r="AW58" s="898"/>
      <c r="AX58" s="899"/>
    </row>
    <row r="59" spans="3:50" s="51" customFormat="1" ht="18" customHeight="1" x14ac:dyDescent="0.15">
      <c r="C59" s="757">
        <v>4670</v>
      </c>
      <c r="D59" s="419"/>
      <c r="E59" s="604"/>
      <c r="F59" s="604"/>
      <c r="G59" s="604"/>
      <c r="H59" s="604"/>
      <c r="I59" s="604"/>
      <c r="J59" s="604"/>
      <c r="K59" s="604"/>
      <c r="L59" s="604"/>
      <c r="M59" s="604"/>
      <c r="N59" s="604"/>
      <c r="O59" s="309"/>
      <c r="P59" s="917"/>
      <c r="Q59" s="917"/>
      <c r="R59" s="310" t="s">
        <v>117</v>
      </c>
      <c r="S59" s="936"/>
      <c r="T59" s="936"/>
      <c r="U59" s="338" t="s">
        <v>143</v>
      </c>
      <c r="V59" s="309"/>
      <c r="W59" s="928">
        <f t="shared" si="2"/>
        <v>0</v>
      </c>
      <c r="X59" s="928"/>
      <c r="Y59" s="928"/>
      <c r="Z59" s="929"/>
      <c r="AB59" s="927">
        <v>0</v>
      </c>
      <c r="AC59" s="928"/>
      <c r="AD59" s="929"/>
      <c r="AF59" s="927">
        <f t="shared" si="3"/>
        <v>0</v>
      </c>
      <c r="AG59" s="928"/>
      <c r="AH59" s="929"/>
      <c r="AM59" s="416"/>
      <c r="AN59" s="930">
        <f t="shared" si="4"/>
        <v>0</v>
      </c>
      <c r="AO59" s="931"/>
      <c r="AP59" s="932"/>
      <c r="AU59" s="416"/>
      <c r="AV59" s="897">
        <f t="shared" si="5"/>
        <v>0</v>
      </c>
      <c r="AW59" s="898"/>
      <c r="AX59" s="899"/>
    </row>
    <row r="60" spans="3:50" s="51" customFormat="1" ht="18" customHeight="1" x14ac:dyDescent="0.15">
      <c r="C60" s="757">
        <v>4680</v>
      </c>
      <c r="D60" s="419"/>
      <c r="E60" s="604"/>
      <c r="F60" s="604"/>
      <c r="G60" s="604"/>
      <c r="H60" s="604"/>
      <c r="I60" s="604"/>
      <c r="J60" s="604"/>
      <c r="K60" s="604"/>
      <c r="L60" s="604"/>
      <c r="M60" s="604"/>
      <c r="N60" s="604"/>
      <c r="O60" s="309"/>
      <c r="P60" s="917"/>
      <c r="Q60" s="917"/>
      <c r="R60" s="310" t="s">
        <v>117</v>
      </c>
      <c r="S60" s="936"/>
      <c r="T60" s="936"/>
      <c r="U60" s="338" t="s">
        <v>143</v>
      </c>
      <c r="V60" s="309"/>
      <c r="W60" s="928">
        <f t="shared" si="2"/>
        <v>0</v>
      </c>
      <c r="X60" s="928"/>
      <c r="Y60" s="928"/>
      <c r="Z60" s="929"/>
      <c r="AB60" s="927">
        <v>0</v>
      </c>
      <c r="AC60" s="928"/>
      <c r="AD60" s="929"/>
      <c r="AF60" s="927">
        <f t="shared" si="3"/>
        <v>0</v>
      </c>
      <c r="AG60" s="928"/>
      <c r="AH60" s="929"/>
      <c r="AM60" s="416"/>
      <c r="AN60" s="930">
        <f t="shared" si="4"/>
        <v>0</v>
      </c>
      <c r="AO60" s="931"/>
      <c r="AP60" s="932"/>
      <c r="AU60" s="416"/>
      <c r="AV60" s="897">
        <f t="shared" si="5"/>
        <v>0</v>
      </c>
      <c r="AW60" s="898"/>
      <c r="AX60" s="899"/>
    </row>
    <row r="61" spans="3:50" s="322" customFormat="1" ht="18" customHeight="1" x14ac:dyDescent="0.2">
      <c r="O61" s="779" t="s">
        <v>237</v>
      </c>
      <c r="P61" s="779"/>
      <c r="Q61" s="779"/>
      <c r="R61" s="779"/>
      <c r="S61" s="779"/>
      <c r="T61" s="779"/>
      <c r="U61" s="779"/>
      <c r="V61" s="780"/>
      <c r="W61" s="924">
        <f>SUM(W7:Z60)</f>
        <v>0</v>
      </c>
      <c r="X61" s="925"/>
      <c r="Y61" s="925"/>
      <c r="Z61" s="926"/>
      <c r="AB61" s="933">
        <f>SUM(AB7:AD60)</f>
        <v>0</v>
      </c>
      <c r="AC61" s="934"/>
      <c r="AD61" s="935"/>
      <c r="AF61" s="933">
        <f t="shared" si="3"/>
        <v>0</v>
      </c>
      <c r="AG61" s="934"/>
      <c r="AH61" s="935"/>
      <c r="AK61" s="777" t="s">
        <v>419</v>
      </c>
      <c r="AL61" s="777"/>
      <c r="AM61" s="779"/>
      <c r="AN61" s="924">
        <f>SUM(AN7:AN60)</f>
        <v>0</v>
      </c>
      <c r="AO61" s="925"/>
      <c r="AP61" s="926"/>
      <c r="AS61" s="777" t="s">
        <v>420</v>
      </c>
      <c r="AT61" s="777"/>
      <c r="AU61" s="779"/>
      <c r="AV61" s="924">
        <f>SUM(AV7:AV60)</f>
        <v>0</v>
      </c>
      <c r="AW61" s="925"/>
      <c r="AX61" s="926"/>
    </row>
    <row r="62" spans="3:50" ht="18" customHeight="1" x14ac:dyDescent="0.2">
      <c r="C62" s="1"/>
      <c r="D62" s="1"/>
      <c r="E62" s="1"/>
      <c r="F62" s="1"/>
      <c r="G62" s="1"/>
      <c r="H62" s="1"/>
      <c r="I62" s="1"/>
      <c r="J62" s="1"/>
      <c r="K62" s="1"/>
      <c r="L62" s="1"/>
      <c r="M62" s="1"/>
      <c r="N62" s="1"/>
      <c r="O62" s="1"/>
      <c r="P62" s="1"/>
      <c r="Q62" s="12"/>
      <c r="R62" s="76"/>
      <c r="S62" s="76"/>
      <c r="T62" s="68"/>
      <c r="U62" s="71"/>
      <c r="V62" s="71"/>
      <c r="W62" s="71"/>
      <c r="AM62" s="71"/>
      <c r="AU62" s="71"/>
    </row>
    <row r="63" spans="3:50" ht="18" customHeight="1" x14ac:dyDescent="0.2">
      <c r="T63" s="39"/>
      <c r="U63" s="72"/>
      <c r="V63" s="72"/>
      <c r="W63" s="72"/>
      <c r="AM63" s="72"/>
      <c r="AU63" s="72"/>
    </row>
    <row r="64" spans="3:50" ht="18" customHeight="1" x14ac:dyDescent="0.2"/>
    <row r="65" ht="16.25" customHeight="1" x14ac:dyDescent="0.2"/>
    <row r="66" ht="16.25" customHeight="1" x14ac:dyDescent="0.2"/>
    <row r="67" ht="16.25" customHeight="1" x14ac:dyDescent="0.2"/>
    <row r="68" ht="16.25" customHeight="1" x14ac:dyDescent="0.2"/>
    <row r="69" ht="16.25" customHeight="1" x14ac:dyDescent="0.2"/>
    <row r="70" ht="16.25" customHeight="1" x14ac:dyDescent="0.2"/>
    <row r="71" ht="16.25" customHeight="1" x14ac:dyDescent="0.2"/>
    <row r="72" ht="16.25" customHeight="1" x14ac:dyDescent="0.2"/>
    <row r="73" ht="16.25" customHeight="1" x14ac:dyDescent="0.2"/>
  </sheetData>
  <sheetProtection selectLockedCells="1"/>
  <mergeCells count="506">
    <mergeCell ref="AB5:AX5"/>
    <mergeCell ref="AB49:AD49"/>
    <mergeCell ref="AB50:AD50"/>
    <mergeCell ref="AB51:AD51"/>
    <mergeCell ref="AB52:AD52"/>
    <mergeCell ref="AB53:AD53"/>
    <mergeCell ref="AB54:AD54"/>
    <mergeCell ref="AB55:AD55"/>
    <mergeCell ref="AB56:AD56"/>
    <mergeCell ref="AB40:AD40"/>
    <mergeCell ref="AB41:AD41"/>
    <mergeCell ref="AB42:AD42"/>
    <mergeCell ref="AB43:AD43"/>
    <mergeCell ref="AB44:AD44"/>
    <mergeCell ref="AB45:AD45"/>
    <mergeCell ref="AB46:AD46"/>
    <mergeCell ref="AB47:AD47"/>
    <mergeCell ref="AB48:AD48"/>
    <mergeCell ref="AN32:AP32"/>
    <mergeCell ref="AV32:AX32"/>
    <mergeCell ref="AB35:AD35"/>
    <mergeCell ref="AB36:AD36"/>
    <mergeCell ref="AB37:AD37"/>
    <mergeCell ref="AN56:AP56"/>
    <mergeCell ref="C60:D60"/>
    <mergeCell ref="E60:N60"/>
    <mergeCell ref="AF60:AH60"/>
    <mergeCell ref="AN60:AP60"/>
    <mergeCell ref="AV60:AX60"/>
    <mergeCell ref="C58:D58"/>
    <mergeCell ref="E58:N58"/>
    <mergeCell ref="AF58:AH58"/>
    <mergeCell ref="AN58:AP58"/>
    <mergeCell ref="AV58:AX58"/>
    <mergeCell ref="C59:D59"/>
    <mergeCell ref="E59:N59"/>
    <mergeCell ref="AF59:AH59"/>
    <mergeCell ref="AN59:AP59"/>
    <mergeCell ref="AV59:AX59"/>
    <mergeCell ref="P60:Q60"/>
    <mergeCell ref="S60:T60"/>
    <mergeCell ref="W60:Z60"/>
    <mergeCell ref="AB58:AD58"/>
    <mergeCell ref="AB59:AD59"/>
    <mergeCell ref="AB60:AD60"/>
    <mergeCell ref="P59:Q59"/>
    <mergeCell ref="S59:T59"/>
    <mergeCell ref="W59:Z59"/>
    <mergeCell ref="C53:D53"/>
    <mergeCell ref="C57:D57"/>
    <mergeCell ref="E57:N57"/>
    <mergeCell ref="C55:D55"/>
    <mergeCell ref="E55:N55"/>
    <mergeCell ref="E53:N53"/>
    <mergeCell ref="P53:Q53"/>
    <mergeCell ref="S53:T53"/>
    <mergeCell ref="W53:Z53"/>
    <mergeCell ref="C54:D54"/>
    <mergeCell ref="E54:N54"/>
    <mergeCell ref="P54:Q54"/>
    <mergeCell ref="S54:T54"/>
    <mergeCell ref="W54:Z54"/>
    <mergeCell ref="AV56:AX56"/>
    <mergeCell ref="AF57:AH57"/>
    <mergeCell ref="AN57:AP57"/>
    <mergeCell ref="AV57:AX57"/>
    <mergeCell ref="P56:Q56"/>
    <mergeCell ref="S56:T56"/>
    <mergeCell ref="W56:Z56"/>
    <mergeCell ref="P57:Q57"/>
    <mergeCell ref="S57:T57"/>
    <mergeCell ref="W57:Z57"/>
    <mergeCell ref="AB57:AD57"/>
    <mergeCell ref="AF56:AH56"/>
    <mergeCell ref="AV46:AX46"/>
    <mergeCell ref="P45:Q45"/>
    <mergeCell ref="S45:T45"/>
    <mergeCell ref="W45:Z45"/>
    <mergeCell ref="P46:Q46"/>
    <mergeCell ref="S46:T46"/>
    <mergeCell ref="W46:Z46"/>
    <mergeCell ref="AF55:AH55"/>
    <mergeCell ref="AN55:AP55"/>
    <mergeCell ref="AV55:AX55"/>
    <mergeCell ref="P55:Q55"/>
    <mergeCell ref="S55:T55"/>
    <mergeCell ref="W55:Z55"/>
    <mergeCell ref="P48:Q48"/>
    <mergeCell ref="S48:T48"/>
    <mergeCell ref="W48:Z48"/>
    <mergeCell ref="P49:Q49"/>
    <mergeCell ref="S49:T49"/>
    <mergeCell ref="W49:Z49"/>
    <mergeCell ref="P50:Q50"/>
    <mergeCell ref="S50:T50"/>
    <mergeCell ref="W50:Z50"/>
    <mergeCell ref="P51:Q51"/>
    <mergeCell ref="S51:T51"/>
    <mergeCell ref="AV40:AX40"/>
    <mergeCell ref="AV44:AX44"/>
    <mergeCell ref="P44:Q44"/>
    <mergeCell ref="S44:T44"/>
    <mergeCell ref="W44:Z44"/>
    <mergeCell ref="C45:D45"/>
    <mergeCell ref="E45:N45"/>
    <mergeCell ref="AF45:AH45"/>
    <mergeCell ref="AN45:AP45"/>
    <mergeCell ref="AV45:AX45"/>
    <mergeCell ref="C42:D42"/>
    <mergeCell ref="E42:N42"/>
    <mergeCell ref="C41:D41"/>
    <mergeCell ref="E41:N41"/>
    <mergeCell ref="P41:Q41"/>
    <mergeCell ref="P42:Q42"/>
    <mergeCell ref="P43:Q43"/>
    <mergeCell ref="C44:D44"/>
    <mergeCell ref="E44:N44"/>
    <mergeCell ref="C43:D43"/>
    <mergeCell ref="E43:N43"/>
    <mergeCell ref="AN44:AP44"/>
    <mergeCell ref="W40:Z40"/>
    <mergeCell ref="S43:T43"/>
    <mergeCell ref="AV31:AX31"/>
    <mergeCell ref="AV61:AX61"/>
    <mergeCell ref="AN34:AP34"/>
    <mergeCell ref="AN35:AP35"/>
    <mergeCell ref="AN36:AP36"/>
    <mergeCell ref="AN37:AP37"/>
    <mergeCell ref="AN38:AP38"/>
    <mergeCell ref="AN39:AP39"/>
    <mergeCell ref="AN40:AP40"/>
    <mergeCell ref="AN61:AP61"/>
    <mergeCell ref="AS61:AU61"/>
    <mergeCell ref="AN41:AP41"/>
    <mergeCell ref="AV41:AX41"/>
    <mergeCell ref="AN42:AP42"/>
    <mergeCell ref="AV42:AX42"/>
    <mergeCell ref="AN43:AP43"/>
    <mergeCell ref="AV43:AX43"/>
    <mergeCell ref="AN54:AP54"/>
    <mergeCell ref="AV54:AX54"/>
    <mergeCell ref="AV35:AX35"/>
    <mergeCell ref="AV36:AX36"/>
    <mergeCell ref="AV37:AX37"/>
    <mergeCell ref="AV38:AX38"/>
    <mergeCell ref="AV39:AX39"/>
    <mergeCell ref="AN29:AP29"/>
    <mergeCell ref="AN30:AP30"/>
    <mergeCell ref="AV24:AX24"/>
    <mergeCell ref="AV26:AX26"/>
    <mergeCell ref="AV27:AX27"/>
    <mergeCell ref="AV28:AX28"/>
    <mergeCell ref="AV29:AX29"/>
    <mergeCell ref="AV30:AX30"/>
    <mergeCell ref="AN27:AP27"/>
    <mergeCell ref="AN28:AP28"/>
    <mergeCell ref="AN24:AP24"/>
    <mergeCell ref="AB34:AD34"/>
    <mergeCell ref="AF34:AH34"/>
    <mergeCell ref="AF20:AH20"/>
    <mergeCell ref="AJ6:AL6"/>
    <mergeCell ref="AN6:AP6"/>
    <mergeCell ref="AN26:AP26"/>
    <mergeCell ref="AF25:AH25"/>
    <mergeCell ref="AF17:AH17"/>
    <mergeCell ref="C40:D40"/>
    <mergeCell ref="E40:N40"/>
    <mergeCell ref="C35:D35"/>
    <mergeCell ref="C39:D39"/>
    <mergeCell ref="C38:D38"/>
    <mergeCell ref="C36:D36"/>
    <mergeCell ref="C37:D37"/>
    <mergeCell ref="E34:N34"/>
    <mergeCell ref="E35:N35"/>
    <mergeCell ref="E36:N36"/>
    <mergeCell ref="E37:N37"/>
    <mergeCell ref="E38:N38"/>
    <mergeCell ref="E39:N39"/>
    <mergeCell ref="C31:D31"/>
    <mergeCell ref="AF31:AH31"/>
    <mergeCell ref="E30:N30"/>
    <mergeCell ref="S28:T28"/>
    <mergeCell ref="W28:Z28"/>
    <mergeCell ref="E31:N31"/>
    <mergeCell ref="C34:D34"/>
    <mergeCell ref="C32:D32"/>
    <mergeCell ref="E32:N32"/>
    <mergeCell ref="AF32:AH32"/>
    <mergeCell ref="P31:Q31"/>
    <mergeCell ref="S31:T31"/>
    <mergeCell ref="W31:Z31"/>
    <mergeCell ref="P32:Q32"/>
    <mergeCell ref="S32:T32"/>
    <mergeCell ref="W32:Z32"/>
    <mergeCell ref="C33:D33"/>
    <mergeCell ref="E33:N33"/>
    <mergeCell ref="P33:Q33"/>
    <mergeCell ref="S33:T33"/>
    <mergeCell ref="AF33:AH33"/>
    <mergeCell ref="W33:Z33"/>
    <mergeCell ref="P34:Q34"/>
    <mergeCell ref="S34:T34"/>
    <mergeCell ref="W34:Z34"/>
    <mergeCell ref="AB32:AD32"/>
    <mergeCell ref="AB33:AD33"/>
    <mergeCell ref="AB25:AD25"/>
    <mergeCell ref="AB26:AD26"/>
    <mergeCell ref="AB27:AD27"/>
    <mergeCell ref="P21:Q21"/>
    <mergeCell ref="AF23:AH23"/>
    <mergeCell ref="AB30:AD30"/>
    <mergeCell ref="AB31:AD31"/>
    <mergeCell ref="C28:D28"/>
    <mergeCell ref="AF28:AH28"/>
    <mergeCell ref="C29:D29"/>
    <mergeCell ref="AF29:AH29"/>
    <mergeCell ref="E28:N28"/>
    <mergeCell ref="E29:N29"/>
    <mergeCell ref="C30:D30"/>
    <mergeCell ref="AF30:AH30"/>
    <mergeCell ref="P29:Q29"/>
    <mergeCell ref="S29:T29"/>
    <mergeCell ref="W29:Z29"/>
    <mergeCell ref="P30:Q30"/>
    <mergeCell ref="S30:T30"/>
    <mergeCell ref="W30:Z30"/>
    <mergeCell ref="AB28:AD28"/>
    <mergeCell ref="AB29:AD29"/>
    <mergeCell ref="P28:Q28"/>
    <mergeCell ref="W17:Z17"/>
    <mergeCell ref="P18:Q18"/>
    <mergeCell ref="S18:T18"/>
    <mergeCell ref="W18:Z18"/>
    <mergeCell ref="AF15:AH15"/>
    <mergeCell ref="AF26:AH26"/>
    <mergeCell ref="C27:D27"/>
    <mergeCell ref="AF27:AH27"/>
    <mergeCell ref="E26:N26"/>
    <mergeCell ref="E27:N27"/>
    <mergeCell ref="C24:D24"/>
    <mergeCell ref="AF24:AH24"/>
    <mergeCell ref="C21:D21"/>
    <mergeCell ref="AF21:AH21"/>
    <mergeCell ref="C22:D22"/>
    <mergeCell ref="AF22:AH22"/>
    <mergeCell ref="E24:N24"/>
    <mergeCell ref="E22:N22"/>
    <mergeCell ref="E23:N23"/>
    <mergeCell ref="C23:D23"/>
    <mergeCell ref="AB21:AD21"/>
    <mergeCell ref="AB22:AD22"/>
    <mergeCell ref="AB23:AD23"/>
    <mergeCell ref="AB24:AD24"/>
    <mergeCell ref="AB19:AD19"/>
    <mergeCell ref="AF19:AH19"/>
    <mergeCell ref="AV6:AX6"/>
    <mergeCell ref="AV7:AX7"/>
    <mergeCell ref="AV8:AX8"/>
    <mergeCell ref="AV9:AX9"/>
    <mergeCell ref="AV10:AX10"/>
    <mergeCell ref="AV11:AX11"/>
    <mergeCell ref="AF9:AH9"/>
    <mergeCell ref="AF10:AH10"/>
    <mergeCell ref="AV13:AX13"/>
    <mergeCell ref="AF7:AH7"/>
    <mergeCell ref="AF8:AH8"/>
    <mergeCell ref="AB6:AD6"/>
    <mergeCell ref="AB7:AD7"/>
    <mergeCell ref="AF12:AH12"/>
    <mergeCell ref="AF13:AH13"/>
    <mergeCell ref="AF16:AH16"/>
    <mergeCell ref="AF18:AH18"/>
    <mergeCell ref="AF14:AH14"/>
    <mergeCell ref="AJ7:AL7"/>
    <mergeCell ref="AF11:AH11"/>
    <mergeCell ref="C14:D14"/>
    <mergeCell ref="AV14:AX14"/>
    <mergeCell ref="AV15:AX15"/>
    <mergeCell ref="AR6:AT6"/>
    <mergeCell ref="AR7:AT7"/>
    <mergeCell ref="AF6:AH6"/>
    <mergeCell ref="AB16:AD16"/>
    <mergeCell ref="AB17:AD17"/>
    <mergeCell ref="AB18:AD18"/>
    <mergeCell ref="C16:D16"/>
    <mergeCell ref="C17:D17"/>
    <mergeCell ref="C18:D18"/>
    <mergeCell ref="C13:D13"/>
    <mergeCell ref="E13:N13"/>
    <mergeCell ref="C15:D15"/>
    <mergeCell ref="E14:N14"/>
    <mergeCell ref="E15:N15"/>
    <mergeCell ref="S15:T15"/>
    <mergeCell ref="W15:Z15"/>
    <mergeCell ref="P16:Q16"/>
    <mergeCell ref="S16:T16"/>
    <mergeCell ref="W16:Z16"/>
    <mergeCell ref="P17:Q17"/>
    <mergeCell ref="S17:T17"/>
    <mergeCell ref="S10:T10"/>
    <mergeCell ref="W10:Z10"/>
    <mergeCell ref="C7:D7"/>
    <mergeCell ref="C8:D8"/>
    <mergeCell ref="C9:D9"/>
    <mergeCell ref="C10:D10"/>
    <mergeCell ref="C11:D11"/>
    <mergeCell ref="C12:D12"/>
    <mergeCell ref="P11:Q11"/>
    <mergeCell ref="S11:T11"/>
    <mergeCell ref="W11:Z11"/>
    <mergeCell ref="O6:P6"/>
    <mergeCell ref="X6:Z6"/>
    <mergeCell ref="R6:S6"/>
    <mergeCell ref="W7:Z7"/>
    <mergeCell ref="P8:Q8"/>
    <mergeCell ref="S8:T8"/>
    <mergeCell ref="W8:Z8"/>
    <mergeCell ref="P9:Q9"/>
    <mergeCell ref="S9:T9"/>
    <mergeCell ref="W9:Z9"/>
    <mergeCell ref="E17:N17"/>
    <mergeCell ref="E18:N18"/>
    <mergeCell ref="P7:Q7"/>
    <mergeCell ref="S7:T7"/>
    <mergeCell ref="AB8:AD8"/>
    <mergeCell ref="AB9:AD9"/>
    <mergeCell ref="E7:N7"/>
    <mergeCell ref="E8:N8"/>
    <mergeCell ref="E9:N9"/>
    <mergeCell ref="E10:N10"/>
    <mergeCell ref="E11:N11"/>
    <mergeCell ref="S13:T13"/>
    <mergeCell ref="W13:Z13"/>
    <mergeCell ref="P14:Q14"/>
    <mergeCell ref="S14:T14"/>
    <mergeCell ref="W14:Z14"/>
    <mergeCell ref="P15:Q15"/>
    <mergeCell ref="AB12:AD12"/>
    <mergeCell ref="AB13:AD13"/>
    <mergeCell ref="AB14:AD14"/>
    <mergeCell ref="AB15:AD15"/>
    <mergeCell ref="AB10:AD10"/>
    <mergeCell ref="AB11:AD11"/>
    <mergeCell ref="P10:Q10"/>
    <mergeCell ref="AV34:AX34"/>
    <mergeCell ref="AN7:AP7"/>
    <mergeCell ref="AN8:AP8"/>
    <mergeCell ref="AN9:AP9"/>
    <mergeCell ref="AN10:AP10"/>
    <mergeCell ref="AN11:AP11"/>
    <mergeCell ref="AN13:AP13"/>
    <mergeCell ref="AN14:AP14"/>
    <mergeCell ref="AN15:AP15"/>
    <mergeCell ref="AN16:AP16"/>
    <mergeCell ref="AN17:AP17"/>
    <mergeCell ref="AN18:AP18"/>
    <mergeCell ref="AN19:AP19"/>
    <mergeCell ref="AN21:AP21"/>
    <mergeCell ref="AN22:AP22"/>
    <mergeCell ref="AN23:AP23"/>
    <mergeCell ref="AN31:AP31"/>
    <mergeCell ref="AV16:AX16"/>
    <mergeCell ref="AV17:AX17"/>
    <mergeCell ref="AV18:AX18"/>
    <mergeCell ref="AV19:AX19"/>
    <mergeCell ref="AV21:AX21"/>
    <mergeCell ref="AV22:AX22"/>
    <mergeCell ref="AV23:AX23"/>
    <mergeCell ref="W43:Z43"/>
    <mergeCell ref="AF42:AH42"/>
    <mergeCell ref="AF43:AH43"/>
    <mergeCell ref="P36:Q36"/>
    <mergeCell ref="S36:T36"/>
    <mergeCell ref="W36:Z36"/>
    <mergeCell ref="S37:T37"/>
    <mergeCell ref="W37:Z37"/>
    <mergeCell ref="P38:Q38"/>
    <mergeCell ref="S38:T38"/>
    <mergeCell ref="W38:Z38"/>
    <mergeCell ref="P39:Q39"/>
    <mergeCell ref="S39:T39"/>
    <mergeCell ref="W39:Z39"/>
    <mergeCell ref="P40:Q40"/>
    <mergeCell ref="S40:T40"/>
    <mergeCell ref="AB20:AD20"/>
    <mergeCell ref="AB38:AD38"/>
    <mergeCell ref="AB39:AD39"/>
    <mergeCell ref="E16:N16"/>
    <mergeCell ref="E12:N12"/>
    <mergeCell ref="P12:Q12"/>
    <mergeCell ref="S12:T12"/>
    <mergeCell ref="W12:Z12"/>
    <mergeCell ref="P13:Q13"/>
    <mergeCell ref="P19:Q19"/>
    <mergeCell ref="S19:T19"/>
    <mergeCell ref="W19:Z19"/>
    <mergeCell ref="P22:Q22"/>
    <mergeCell ref="S22:T22"/>
    <mergeCell ref="W22:Z22"/>
    <mergeCell ref="P23:Q23"/>
    <mergeCell ref="S23:T23"/>
    <mergeCell ref="W23:Z23"/>
    <mergeCell ref="P24:Q24"/>
    <mergeCell ref="S24:T24"/>
    <mergeCell ref="W24:Z24"/>
    <mergeCell ref="P35:Q35"/>
    <mergeCell ref="S35:T35"/>
    <mergeCell ref="W35:Z35"/>
    <mergeCell ref="C20:D20"/>
    <mergeCell ref="E20:N20"/>
    <mergeCell ref="P20:Q20"/>
    <mergeCell ref="S20:T20"/>
    <mergeCell ref="W20:Z20"/>
    <mergeCell ref="E19:N19"/>
    <mergeCell ref="C19:D19"/>
    <mergeCell ref="S21:T21"/>
    <mergeCell ref="W21:Z21"/>
    <mergeCell ref="E21:N21"/>
    <mergeCell ref="C46:D46"/>
    <mergeCell ref="E46:N46"/>
    <mergeCell ref="P58:Q58"/>
    <mergeCell ref="S58:T58"/>
    <mergeCell ref="W58:Z58"/>
    <mergeCell ref="E56:N56"/>
    <mergeCell ref="C56:D56"/>
    <mergeCell ref="C25:D25"/>
    <mergeCell ref="E25:N25"/>
    <mergeCell ref="P25:Q25"/>
    <mergeCell ref="S25:T25"/>
    <mergeCell ref="W25:Z25"/>
    <mergeCell ref="P26:Q26"/>
    <mergeCell ref="S26:T26"/>
    <mergeCell ref="W26:Z26"/>
    <mergeCell ref="P27:Q27"/>
    <mergeCell ref="S27:T27"/>
    <mergeCell ref="W27:Z27"/>
    <mergeCell ref="C26:D26"/>
    <mergeCell ref="P37:Q37"/>
    <mergeCell ref="S41:T41"/>
    <mergeCell ref="W41:Z41"/>
    <mergeCell ref="S42:T42"/>
    <mergeCell ref="W42:Z42"/>
    <mergeCell ref="C52:D52"/>
    <mergeCell ref="E52:N52"/>
    <mergeCell ref="P52:Q52"/>
    <mergeCell ref="S52:T52"/>
    <mergeCell ref="C47:D47"/>
    <mergeCell ref="E47:N47"/>
    <mergeCell ref="P47:Q47"/>
    <mergeCell ref="S47:T47"/>
    <mergeCell ref="W47:Z47"/>
    <mergeCell ref="W52:Z52"/>
    <mergeCell ref="C48:D48"/>
    <mergeCell ref="E48:N48"/>
    <mergeCell ref="C49:D49"/>
    <mergeCell ref="E49:N49"/>
    <mergeCell ref="C50:D50"/>
    <mergeCell ref="E50:N50"/>
    <mergeCell ref="C51:D51"/>
    <mergeCell ref="E51:N51"/>
    <mergeCell ref="W51:Z51"/>
    <mergeCell ref="AF61:AH61"/>
    <mergeCell ref="AN33:AP33"/>
    <mergeCell ref="AF35:AH35"/>
    <mergeCell ref="AF36:AH36"/>
    <mergeCell ref="AF37:AH37"/>
    <mergeCell ref="AF38:AH38"/>
    <mergeCell ref="AF39:AH39"/>
    <mergeCell ref="AF40:AH40"/>
    <mergeCell ref="AF41:AH41"/>
    <mergeCell ref="AF47:AH47"/>
    <mergeCell ref="AF44:AH44"/>
    <mergeCell ref="AF46:AH46"/>
    <mergeCell ref="AN47:AP47"/>
    <mergeCell ref="AN46:AP46"/>
    <mergeCell ref="AN48:AP48"/>
    <mergeCell ref="AN49:AP49"/>
    <mergeCell ref="AN50:AP50"/>
    <mergeCell ref="AN51:AP51"/>
    <mergeCell ref="AN52:AP52"/>
    <mergeCell ref="AN53:AP53"/>
    <mergeCell ref="AK61:AM61"/>
    <mergeCell ref="O61:V61"/>
    <mergeCell ref="W61:Z61"/>
    <mergeCell ref="AV12:AX12"/>
    <mergeCell ref="AV20:AX20"/>
    <mergeCell ref="AV25:AX25"/>
    <mergeCell ref="AV33:AX33"/>
    <mergeCell ref="AV47:AX47"/>
    <mergeCell ref="AV48:AX48"/>
    <mergeCell ref="AV49:AX49"/>
    <mergeCell ref="AV50:AX50"/>
    <mergeCell ref="AV51:AX51"/>
    <mergeCell ref="AV52:AX52"/>
    <mergeCell ref="AV53:AX53"/>
    <mergeCell ref="AF48:AH48"/>
    <mergeCell ref="AF49:AH49"/>
    <mergeCell ref="AF50:AH50"/>
    <mergeCell ref="AF51:AH51"/>
    <mergeCell ref="AF52:AH52"/>
    <mergeCell ref="AF53:AH53"/>
    <mergeCell ref="AF54:AH54"/>
    <mergeCell ref="AN12:AP12"/>
    <mergeCell ref="AN20:AP20"/>
    <mergeCell ref="AN25:AP25"/>
    <mergeCell ref="AB61:AD61"/>
  </mergeCells>
  <pageMargins left="0.7" right="0.7" top="0.75" bottom="0.75" header="0.3" footer="0.3"/>
  <pageSetup scale="70"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B9A4C0-4240-4E5B-9CC7-A2CB849CA960}">
  <sheetPr codeName="Sheet17">
    <pageSetUpPr fitToPage="1"/>
  </sheetPr>
  <dimension ref="C3:BE72"/>
  <sheetViews>
    <sheetView topLeftCell="A6" zoomScale="110" zoomScaleNormal="110" workbookViewId="0"/>
  </sheetViews>
  <sheetFormatPr baseColWidth="10" defaultColWidth="11" defaultRowHeight="16" x14ac:dyDescent="0.2"/>
  <cols>
    <col min="1" max="17" width="4.6640625" customWidth="1"/>
    <col min="18" max="19" width="4.6640625" style="75" customWidth="1"/>
    <col min="20" max="38" width="4.6640625" customWidth="1"/>
    <col min="39" max="42" width="4.6640625" style="37" customWidth="1"/>
    <col min="43" max="46" width="4.6640625" customWidth="1"/>
    <col min="47" max="47" width="4.6640625" style="37" customWidth="1"/>
    <col min="48" max="50" width="4.6640625" style="13" customWidth="1"/>
  </cols>
  <sheetData>
    <row r="3" spans="3:50" ht="16.25" customHeight="1" x14ac:dyDescent="0.2"/>
    <row r="4" spans="3:50" ht="16.25" customHeight="1" x14ac:dyDescent="0.2"/>
    <row r="5" spans="3:50" s="323" customFormat="1" ht="20" customHeight="1" x14ac:dyDescent="0.2">
      <c r="C5" s="4" t="s">
        <v>280</v>
      </c>
      <c r="D5" s="17" t="s">
        <v>167</v>
      </c>
      <c r="E5" s="5"/>
      <c r="F5" s="349"/>
      <c r="G5" s="349"/>
      <c r="H5" s="349"/>
      <c r="I5" s="349"/>
      <c r="J5" s="349"/>
      <c r="K5" s="349"/>
      <c r="L5" s="349"/>
      <c r="M5" s="349"/>
      <c r="N5" s="349"/>
      <c r="O5" s="349"/>
      <c r="P5" s="349"/>
      <c r="Q5" s="349"/>
      <c r="R5" s="375"/>
      <c r="S5" s="375"/>
      <c r="T5" s="349"/>
      <c r="U5" s="349"/>
      <c r="V5" s="349"/>
      <c r="W5" s="349"/>
      <c r="X5" s="376"/>
      <c r="Y5" s="376"/>
      <c r="Z5" s="355"/>
      <c r="AB5" s="959"/>
      <c r="AC5" s="959"/>
      <c r="AD5" s="959"/>
      <c r="AE5" s="959"/>
      <c r="AF5" s="959"/>
      <c r="AG5" s="959"/>
      <c r="AH5" s="959"/>
      <c r="AI5" s="959"/>
      <c r="AJ5" s="959"/>
      <c r="AK5" s="959"/>
      <c r="AL5" s="959"/>
      <c r="AM5" s="959"/>
      <c r="AN5" s="959"/>
      <c r="AO5" s="959"/>
      <c r="AP5" s="959"/>
      <c r="AQ5" s="959"/>
      <c r="AR5" s="959"/>
      <c r="AS5" s="959"/>
      <c r="AT5" s="959"/>
      <c r="AU5" s="959"/>
      <c r="AV5" s="959"/>
      <c r="AW5" s="959"/>
      <c r="AX5" s="959"/>
    </row>
    <row r="6" spans="3:50" s="166" customFormat="1" ht="16.25" customHeight="1" x14ac:dyDescent="0.15">
      <c r="C6" s="128"/>
      <c r="D6" s="116"/>
      <c r="E6" s="116" t="s">
        <v>384</v>
      </c>
      <c r="F6" s="116"/>
      <c r="G6" s="116"/>
      <c r="H6" s="116"/>
      <c r="I6" s="116"/>
      <c r="J6" s="116"/>
      <c r="K6" s="116"/>
      <c r="L6" s="116"/>
      <c r="M6" s="116"/>
      <c r="N6" s="116"/>
      <c r="O6" s="885" t="s">
        <v>376</v>
      </c>
      <c r="P6" s="885"/>
      <c r="Q6" s="120"/>
      <c r="R6" s="944" t="s">
        <v>220</v>
      </c>
      <c r="S6" s="944"/>
      <c r="T6" s="120"/>
      <c r="U6" s="120"/>
      <c r="V6" s="120"/>
      <c r="W6" s="120"/>
      <c r="X6" s="942" t="s">
        <v>370</v>
      </c>
      <c r="Y6" s="942"/>
      <c r="Z6" s="943"/>
      <c r="AB6" s="950" t="s">
        <v>363</v>
      </c>
      <c r="AC6" s="942"/>
      <c r="AD6" s="943"/>
      <c r="AF6" s="950" t="s">
        <v>447</v>
      </c>
      <c r="AG6" s="942"/>
      <c r="AH6" s="943"/>
      <c r="AJ6" s="945" t="s">
        <v>302</v>
      </c>
      <c r="AK6" s="767"/>
      <c r="AL6" s="946"/>
      <c r="AM6" s="129" t="s">
        <v>290</v>
      </c>
      <c r="AN6" s="945" t="s">
        <v>293</v>
      </c>
      <c r="AO6" s="767"/>
      <c r="AP6" s="946"/>
      <c r="AR6" s="945" t="s">
        <v>303</v>
      </c>
      <c r="AS6" s="767"/>
      <c r="AT6" s="946"/>
      <c r="AU6" s="133" t="s">
        <v>291</v>
      </c>
      <c r="AV6" s="945" t="s">
        <v>294</v>
      </c>
      <c r="AW6" s="767"/>
      <c r="AX6" s="946"/>
    </row>
    <row r="7" spans="3:50" s="51" customFormat="1" ht="18" customHeight="1" x14ac:dyDescent="0.15">
      <c r="C7" s="757">
        <v>5010</v>
      </c>
      <c r="D7" s="419"/>
      <c r="E7" s="700" t="s">
        <v>201</v>
      </c>
      <c r="F7" s="700"/>
      <c r="G7" s="700"/>
      <c r="H7" s="700"/>
      <c r="I7" s="700"/>
      <c r="J7" s="700"/>
      <c r="K7" s="700"/>
      <c r="L7" s="700"/>
      <c r="M7" s="700"/>
      <c r="N7" s="700"/>
      <c r="O7" s="309"/>
      <c r="P7" s="917" t="s">
        <v>142</v>
      </c>
      <c r="Q7" s="917"/>
      <c r="R7" s="310" t="s">
        <v>117</v>
      </c>
      <c r="S7" s="918"/>
      <c r="T7" s="918"/>
      <c r="U7" s="311" t="s">
        <v>143</v>
      </c>
      <c r="V7" s="279"/>
      <c r="W7" s="928">
        <f>O7*S7*(IF(ISNUMBER(V7),V7,IF(ISNUMBER(O7),1,0)))</f>
        <v>0</v>
      </c>
      <c r="X7" s="928"/>
      <c r="Y7" s="928"/>
      <c r="Z7" s="929"/>
      <c r="AB7" s="930">
        <v>0</v>
      </c>
      <c r="AC7" s="931"/>
      <c r="AD7" s="932"/>
      <c r="AF7" s="930">
        <f>AB7-W7</f>
        <v>0</v>
      </c>
      <c r="AG7" s="931"/>
      <c r="AH7" s="932"/>
      <c r="AJ7" s="951">
        <v>0</v>
      </c>
      <c r="AK7" s="952"/>
      <c r="AL7" s="953"/>
      <c r="AM7" s="416"/>
      <c r="AN7" s="930">
        <f t="shared" ref="AN7:AN38" si="0">IF(AM7="X",W7*T_MU,0)</f>
        <v>0</v>
      </c>
      <c r="AO7" s="931"/>
      <c r="AP7" s="932"/>
      <c r="AR7" s="947">
        <v>0</v>
      </c>
      <c r="AS7" s="948"/>
      <c r="AT7" s="949"/>
      <c r="AU7" s="416"/>
      <c r="AV7" s="897">
        <f t="shared" ref="AV7:AV38" si="1">IF(AU7="X",W7*T_TX,0)</f>
        <v>0</v>
      </c>
      <c r="AW7" s="898"/>
      <c r="AX7" s="899"/>
    </row>
    <row r="8" spans="3:50" s="51" customFormat="1" ht="18" customHeight="1" x14ac:dyDescent="0.15">
      <c r="C8" s="757">
        <v>5020</v>
      </c>
      <c r="D8" s="419"/>
      <c r="E8" s="700" t="s">
        <v>202</v>
      </c>
      <c r="F8" s="700"/>
      <c r="G8" s="700"/>
      <c r="H8" s="700"/>
      <c r="I8" s="700"/>
      <c r="J8" s="700"/>
      <c r="K8" s="700"/>
      <c r="L8" s="700"/>
      <c r="M8" s="700"/>
      <c r="N8" s="700"/>
      <c r="O8" s="309"/>
      <c r="P8" s="917" t="s">
        <v>142</v>
      </c>
      <c r="Q8" s="917"/>
      <c r="R8" s="310" t="s">
        <v>117</v>
      </c>
      <c r="S8" s="918"/>
      <c r="T8" s="918"/>
      <c r="U8" s="311" t="s">
        <v>143</v>
      </c>
      <c r="V8" s="279"/>
      <c r="W8" s="928">
        <f t="shared" ref="W8:W60" si="2">O8*S8*(IF(ISNUMBER(V8),V8,IF(ISNUMBER(O8),1,0)))</f>
        <v>0</v>
      </c>
      <c r="X8" s="928"/>
      <c r="Y8" s="928"/>
      <c r="Z8" s="929"/>
      <c r="AB8" s="930">
        <v>0</v>
      </c>
      <c r="AC8" s="931"/>
      <c r="AD8" s="932"/>
      <c r="AF8" s="930">
        <f t="shared" ref="AF8:AF61" si="3">AB8-W8</f>
        <v>0</v>
      </c>
      <c r="AG8" s="931"/>
      <c r="AH8" s="932"/>
      <c r="AM8" s="416"/>
      <c r="AN8" s="930">
        <f t="shared" si="0"/>
        <v>0</v>
      </c>
      <c r="AO8" s="931"/>
      <c r="AP8" s="932"/>
      <c r="AU8" s="416"/>
      <c r="AV8" s="897">
        <f t="shared" si="1"/>
        <v>0</v>
      </c>
      <c r="AW8" s="898"/>
      <c r="AX8" s="899"/>
    </row>
    <row r="9" spans="3:50" s="51" customFormat="1" ht="18" customHeight="1" x14ac:dyDescent="0.15">
      <c r="C9" s="757">
        <v>5030</v>
      </c>
      <c r="D9" s="419"/>
      <c r="E9" s="700" t="s">
        <v>203</v>
      </c>
      <c r="F9" s="700"/>
      <c r="G9" s="700"/>
      <c r="H9" s="700"/>
      <c r="I9" s="700"/>
      <c r="J9" s="700"/>
      <c r="K9" s="700"/>
      <c r="L9" s="700"/>
      <c r="M9" s="700"/>
      <c r="N9" s="700"/>
      <c r="O9" s="309"/>
      <c r="P9" s="917" t="s">
        <v>140</v>
      </c>
      <c r="Q9" s="917"/>
      <c r="R9" s="310" t="s">
        <v>117</v>
      </c>
      <c r="S9" s="918"/>
      <c r="T9" s="918"/>
      <c r="U9" s="311" t="s">
        <v>143</v>
      </c>
      <c r="V9" s="279"/>
      <c r="W9" s="928">
        <f t="shared" si="2"/>
        <v>0</v>
      </c>
      <c r="X9" s="928"/>
      <c r="Y9" s="928"/>
      <c r="Z9" s="929"/>
      <c r="AB9" s="930">
        <v>0</v>
      </c>
      <c r="AC9" s="931"/>
      <c r="AD9" s="932"/>
      <c r="AF9" s="930">
        <f t="shared" si="3"/>
        <v>0</v>
      </c>
      <c r="AG9" s="931"/>
      <c r="AH9" s="932"/>
      <c r="AM9" s="416"/>
      <c r="AN9" s="930">
        <f t="shared" si="0"/>
        <v>0</v>
      </c>
      <c r="AO9" s="931"/>
      <c r="AP9" s="932"/>
      <c r="AU9" s="416"/>
      <c r="AV9" s="897">
        <f t="shared" si="1"/>
        <v>0</v>
      </c>
      <c r="AW9" s="898"/>
      <c r="AX9" s="899"/>
    </row>
    <row r="10" spans="3:50" s="51" customFormat="1" ht="18" customHeight="1" x14ac:dyDescent="0.15">
      <c r="C10" s="757">
        <v>5040</v>
      </c>
      <c r="D10" s="419"/>
      <c r="E10" s="700" t="s">
        <v>478</v>
      </c>
      <c r="F10" s="700"/>
      <c r="G10" s="700"/>
      <c r="H10" s="700"/>
      <c r="I10" s="700"/>
      <c r="J10" s="700"/>
      <c r="K10" s="700"/>
      <c r="L10" s="700"/>
      <c r="M10" s="700"/>
      <c r="N10" s="700"/>
      <c r="O10" s="309"/>
      <c r="P10" s="917" t="s">
        <v>140</v>
      </c>
      <c r="Q10" s="917"/>
      <c r="R10" s="310" t="s">
        <v>117</v>
      </c>
      <c r="S10" s="918"/>
      <c r="T10" s="918"/>
      <c r="U10" s="311" t="s">
        <v>143</v>
      </c>
      <c r="V10" s="279"/>
      <c r="W10" s="928">
        <f t="shared" si="2"/>
        <v>0</v>
      </c>
      <c r="X10" s="928"/>
      <c r="Y10" s="928"/>
      <c r="Z10" s="929"/>
      <c r="AB10" s="930">
        <v>0</v>
      </c>
      <c r="AC10" s="931"/>
      <c r="AD10" s="932"/>
      <c r="AF10" s="930">
        <f t="shared" si="3"/>
        <v>0</v>
      </c>
      <c r="AG10" s="931"/>
      <c r="AH10" s="932"/>
      <c r="AM10" s="416"/>
      <c r="AN10" s="930">
        <f t="shared" si="0"/>
        <v>0</v>
      </c>
      <c r="AO10" s="931"/>
      <c r="AP10" s="932"/>
      <c r="AU10" s="416"/>
      <c r="AV10" s="897">
        <f t="shared" si="1"/>
        <v>0</v>
      </c>
      <c r="AW10" s="898"/>
      <c r="AX10" s="899"/>
    </row>
    <row r="11" spans="3:50" s="51" customFormat="1" ht="18" customHeight="1" x14ac:dyDescent="0.15">
      <c r="C11" s="757">
        <v>5050</v>
      </c>
      <c r="D11" s="419"/>
      <c r="E11" s="700" t="s">
        <v>399</v>
      </c>
      <c r="F11" s="700"/>
      <c r="G11" s="700"/>
      <c r="H11" s="700"/>
      <c r="I11" s="700"/>
      <c r="J11" s="700"/>
      <c r="K11" s="700"/>
      <c r="L11" s="700"/>
      <c r="M11" s="700"/>
      <c r="N11" s="700"/>
      <c r="O11" s="309"/>
      <c r="P11" s="917" t="s">
        <v>140</v>
      </c>
      <c r="Q11" s="917"/>
      <c r="R11" s="310" t="s">
        <v>117</v>
      </c>
      <c r="S11" s="918"/>
      <c r="T11" s="918"/>
      <c r="U11" s="311" t="s">
        <v>143</v>
      </c>
      <c r="V11" s="279"/>
      <c r="W11" s="928">
        <f t="shared" si="2"/>
        <v>0</v>
      </c>
      <c r="X11" s="928"/>
      <c r="Y11" s="928"/>
      <c r="Z11" s="929"/>
      <c r="AB11" s="930">
        <v>0</v>
      </c>
      <c r="AC11" s="931"/>
      <c r="AD11" s="932"/>
      <c r="AF11" s="930">
        <f t="shared" si="3"/>
        <v>0</v>
      </c>
      <c r="AG11" s="931"/>
      <c r="AH11" s="932"/>
      <c r="AM11" s="416"/>
      <c r="AN11" s="930">
        <f t="shared" si="0"/>
        <v>0</v>
      </c>
      <c r="AO11" s="931"/>
      <c r="AP11" s="932"/>
      <c r="AU11" s="416"/>
      <c r="AV11" s="897">
        <f t="shared" si="1"/>
        <v>0</v>
      </c>
      <c r="AW11" s="898"/>
      <c r="AX11" s="899"/>
    </row>
    <row r="12" spans="3:50" s="51" customFormat="1" ht="18" customHeight="1" x14ac:dyDescent="0.15">
      <c r="C12" s="757">
        <v>5060</v>
      </c>
      <c r="D12" s="419"/>
      <c r="E12" s="700" t="s">
        <v>479</v>
      </c>
      <c r="F12" s="700"/>
      <c r="G12" s="700"/>
      <c r="H12" s="700"/>
      <c r="I12" s="700"/>
      <c r="J12" s="700"/>
      <c r="K12" s="700"/>
      <c r="L12" s="700"/>
      <c r="M12" s="700"/>
      <c r="N12" s="700"/>
      <c r="O12" s="309"/>
      <c r="P12" s="917" t="s">
        <v>140</v>
      </c>
      <c r="Q12" s="917"/>
      <c r="R12" s="310" t="s">
        <v>117</v>
      </c>
      <c r="S12" s="918"/>
      <c r="T12" s="918"/>
      <c r="U12" s="311" t="s">
        <v>143</v>
      </c>
      <c r="V12" s="279"/>
      <c r="W12" s="928">
        <f t="shared" si="2"/>
        <v>0</v>
      </c>
      <c r="X12" s="928"/>
      <c r="Y12" s="928"/>
      <c r="Z12" s="929"/>
      <c r="AB12" s="930">
        <v>0</v>
      </c>
      <c r="AC12" s="931"/>
      <c r="AD12" s="932"/>
      <c r="AF12" s="930">
        <f t="shared" si="3"/>
        <v>0</v>
      </c>
      <c r="AG12" s="931"/>
      <c r="AH12" s="932"/>
      <c r="AM12" s="416"/>
      <c r="AN12" s="930">
        <f t="shared" si="0"/>
        <v>0</v>
      </c>
      <c r="AO12" s="931"/>
      <c r="AP12" s="932"/>
      <c r="AU12" s="416"/>
      <c r="AV12" s="897">
        <f t="shared" si="1"/>
        <v>0</v>
      </c>
      <c r="AW12" s="898"/>
      <c r="AX12" s="899"/>
    </row>
    <row r="13" spans="3:50" s="51" customFormat="1" ht="18" customHeight="1" x14ac:dyDescent="0.15">
      <c r="C13" s="757">
        <v>5070</v>
      </c>
      <c r="D13" s="419"/>
      <c r="E13" s="700" t="s">
        <v>480</v>
      </c>
      <c r="F13" s="700"/>
      <c r="G13" s="700"/>
      <c r="H13" s="700"/>
      <c r="I13" s="700"/>
      <c r="J13" s="700"/>
      <c r="K13" s="700"/>
      <c r="L13" s="700"/>
      <c r="M13" s="700"/>
      <c r="N13" s="700"/>
      <c r="O13" s="309"/>
      <c r="P13" s="917" t="s">
        <v>140</v>
      </c>
      <c r="Q13" s="917"/>
      <c r="R13" s="310" t="s">
        <v>117</v>
      </c>
      <c r="S13" s="918"/>
      <c r="T13" s="918"/>
      <c r="U13" s="311" t="s">
        <v>143</v>
      </c>
      <c r="V13" s="279"/>
      <c r="W13" s="928">
        <f t="shared" si="2"/>
        <v>0</v>
      </c>
      <c r="X13" s="928"/>
      <c r="Y13" s="928"/>
      <c r="Z13" s="929"/>
      <c r="AB13" s="930">
        <v>0</v>
      </c>
      <c r="AC13" s="931"/>
      <c r="AD13" s="932"/>
      <c r="AF13" s="930">
        <f t="shared" si="3"/>
        <v>0</v>
      </c>
      <c r="AG13" s="931"/>
      <c r="AH13" s="932"/>
      <c r="AM13" s="416"/>
      <c r="AN13" s="930">
        <f t="shared" si="0"/>
        <v>0</v>
      </c>
      <c r="AO13" s="931"/>
      <c r="AP13" s="932"/>
      <c r="AU13" s="416"/>
      <c r="AV13" s="897">
        <f t="shared" si="1"/>
        <v>0</v>
      </c>
      <c r="AW13" s="898"/>
      <c r="AX13" s="899"/>
    </row>
    <row r="14" spans="3:50" s="51" customFormat="1" ht="18" customHeight="1" x14ac:dyDescent="0.15">
      <c r="C14" s="757">
        <v>5080</v>
      </c>
      <c r="D14" s="419"/>
      <c r="E14" s="700" t="s">
        <v>204</v>
      </c>
      <c r="F14" s="700"/>
      <c r="G14" s="700"/>
      <c r="H14" s="700"/>
      <c r="I14" s="700"/>
      <c r="J14" s="700"/>
      <c r="K14" s="700"/>
      <c r="L14" s="700"/>
      <c r="M14" s="700"/>
      <c r="N14" s="700"/>
      <c r="O14" s="309"/>
      <c r="P14" s="917" t="s">
        <v>140</v>
      </c>
      <c r="Q14" s="917"/>
      <c r="R14" s="310" t="s">
        <v>117</v>
      </c>
      <c r="S14" s="918"/>
      <c r="T14" s="918"/>
      <c r="U14" s="311" t="s">
        <v>143</v>
      </c>
      <c r="V14" s="279"/>
      <c r="W14" s="928">
        <f t="shared" si="2"/>
        <v>0</v>
      </c>
      <c r="X14" s="928"/>
      <c r="Y14" s="928"/>
      <c r="Z14" s="929"/>
      <c r="AB14" s="930">
        <v>0</v>
      </c>
      <c r="AC14" s="931"/>
      <c r="AD14" s="932"/>
      <c r="AF14" s="930">
        <f t="shared" si="3"/>
        <v>0</v>
      </c>
      <c r="AG14" s="931"/>
      <c r="AH14" s="932"/>
      <c r="AM14" s="416"/>
      <c r="AN14" s="930">
        <f t="shared" si="0"/>
        <v>0</v>
      </c>
      <c r="AO14" s="931"/>
      <c r="AP14" s="932"/>
      <c r="AU14" s="416"/>
      <c r="AV14" s="897">
        <f t="shared" si="1"/>
        <v>0</v>
      </c>
      <c r="AW14" s="898"/>
      <c r="AX14" s="899"/>
    </row>
    <row r="15" spans="3:50" s="51" customFormat="1" ht="18" customHeight="1" x14ac:dyDescent="0.15">
      <c r="C15" s="757">
        <v>5090</v>
      </c>
      <c r="D15" s="419"/>
      <c r="E15" s="700"/>
      <c r="F15" s="700"/>
      <c r="G15" s="700"/>
      <c r="H15" s="700"/>
      <c r="I15" s="700"/>
      <c r="J15" s="700"/>
      <c r="K15" s="700"/>
      <c r="L15" s="700"/>
      <c r="M15" s="700"/>
      <c r="N15" s="700"/>
      <c r="O15" s="309"/>
      <c r="P15" s="917" t="s">
        <v>140</v>
      </c>
      <c r="Q15" s="917"/>
      <c r="R15" s="310" t="s">
        <v>117</v>
      </c>
      <c r="S15" s="918"/>
      <c r="T15" s="918"/>
      <c r="U15" s="311" t="s">
        <v>143</v>
      </c>
      <c r="V15" s="279"/>
      <c r="W15" s="928">
        <f t="shared" si="2"/>
        <v>0</v>
      </c>
      <c r="X15" s="928"/>
      <c r="Y15" s="928"/>
      <c r="Z15" s="929"/>
      <c r="AB15" s="930">
        <v>0</v>
      </c>
      <c r="AC15" s="931"/>
      <c r="AD15" s="932"/>
      <c r="AF15" s="930">
        <f t="shared" si="3"/>
        <v>0</v>
      </c>
      <c r="AG15" s="931"/>
      <c r="AH15" s="932"/>
      <c r="AM15" s="416"/>
      <c r="AN15" s="930">
        <f t="shared" si="0"/>
        <v>0</v>
      </c>
      <c r="AO15" s="931"/>
      <c r="AP15" s="932"/>
      <c r="AU15" s="416"/>
      <c r="AV15" s="897">
        <f t="shared" si="1"/>
        <v>0</v>
      </c>
      <c r="AW15" s="898"/>
      <c r="AX15" s="899"/>
    </row>
    <row r="16" spans="3:50" s="51" customFormat="1" ht="18" customHeight="1" x14ac:dyDescent="0.15">
      <c r="C16" s="757">
        <v>5110</v>
      </c>
      <c r="D16" s="419"/>
      <c r="E16" s="700" t="s">
        <v>481</v>
      </c>
      <c r="F16" s="700"/>
      <c r="G16" s="700"/>
      <c r="H16" s="700"/>
      <c r="I16" s="700"/>
      <c r="J16" s="700"/>
      <c r="K16" s="700"/>
      <c r="L16" s="700"/>
      <c r="M16" s="700"/>
      <c r="N16" s="700"/>
      <c r="O16" s="309"/>
      <c r="P16" s="917" t="s">
        <v>142</v>
      </c>
      <c r="Q16" s="917"/>
      <c r="R16" s="310" t="s">
        <v>117</v>
      </c>
      <c r="S16" s="918"/>
      <c r="T16" s="918"/>
      <c r="U16" s="311" t="s">
        <v>143</v>
      </c>
      <c r="V16" s="279"/>
      <c r="W16" s="928">
        <f t="shared" si="2"/>
        <v>0</v>
      </c>
      <c r="X16" s="928"/>
      <c r="Y16" s="928"/>
      <c r="Z16" s="929"/>
      <c r="AB16" s="930">
        <v>0</v>
      </c>
      <c r="AC16" s="931"/>
      <c r="AD16" s="932"/>
      <c r="AF16" s="930">
        <f t="shared" si="3"/>
        <v>0</v>
      </c>
      <c r="AG16" s="931"/>
      <c r="AH16" s="932"/>
      <c r="AM16" s="416"/>
      <c r="AN16" s="930">
        <f t="shared" si="0"/>
        <v>0</v>
      </c>
      <c r="AO16" s="931"/>
      <c r="AP16" s="932"/>
      <c r="AU16" s="416"/>
      <c r="AV16" s="897">
        <f t="shared" si="1"/>
        <v>0</v>
      </c>
      <c r="AW16" s="898"/>
      <c r="AX16" s="899"/>
    </row>
    <row r="17" spans="3:57" s="51" customFormat="1" ht="18" customHeight="1" x14ac:dyDescent="0.15">
      <c r="C17" s="757">
        <v>5120</v>
      </c>
      <c r="D17" s="419"/>
      <c r="E17" s="700" t="s">
        <v>482</v>
      </c>
      <c r="F17" s="700"/>
      <c r="G17" s="700"/>
      <c r="H17" s="700"/>
      <c r="I17" s="700"/>
      <c r="J17" s="700"/>
      <c r="K17" s="700"/>
      <c r="L17" s="700"/>
      <c r="M17" s="700"/>
      <c r="N17" s="700"/>
      <c r="O17" s="309"/>
      <c r="P17" s="917" t="s">
        <v>140</v>
      </c>
      <c r="Q17" s="917"/>
      <c r="R17" s="310" t="s">
        <v>117</v>
      </c>
      <c r="S17" s="918"/>
      <c r="T17" s="918"/>
      <c r="U17" s="311" t="s">
        <v>143</v>
      </c>
      <c r="V17" s="279"/>
      <c r="W17" s="928">
        <f t="shared" si="2"/>
        <v>0</v>
      </c>
      <c r="X17" s="928"/>
      <c r="Y17" s="928"/>
      <c r="Z17" s="929"/>
      <c r="AB17" s="930">
        <v>0</v>
      </c>
      <c r="AC17" s="931"/>
      <c r="AD17" s="932"/>
      <c r="AF17" s="930">
        <f t="shared" si="3"/>
        <v>0</v>
      </c>
      <c r="AG17" s="931"/>
      <c r="AH17" s="932"/>
      <c r="AM17" s="416"/>
      <c r="AN17" s="930">
        <f t="shared" si="0"/>
        <v>0</v>
      </c>
      <c r="AO17" s="931"/>
      <c r="AP17" s="932"/>
      <c r="AU17" s="416"/>
      <c r="AV17" s="897">
        <f t="shared" si="1"/>
        <v>0</v>
      </c>
      <c r="AW17" s="898"/>
      <c r="AX17" s="899"/>
    </row>
    <row r="18" spans="3:57" s="51" customFormat="1" ht="18" customHeight="1" x14ac:dyDescent="0.15">
      <c r="C18" s="757">
        <v>5130</v>
      </c>
      <c r="D18" s="419"/>
      <c r="E18" s="700" t="s">
        <v>483</v>
      </c>
      <c r="F18" s="700"/>
      <c r="G18" s="700"/>
      <c r="H18" s="700"/>
      <c r="I18" s="700"/>
      <c r="J18" s="700"/>
      <c r="K18" s="700"/>
      <c r="L18" s="700"/>
      <c r="M18" s="700"/>
      <c r="N18" s="700"/>
      <c r="O18" s="309"/>
      <c r="P18" s="917" t="s">
        <v>140</v>
      </c>
      <c r="Q18" s="917"/>
      <c r="R18" s="310" t="s">
        <v>117</v>
      </c>
      <c r="S18" s="918"/>
      <c r="T18" s="918"/>
      <c r="U18" s="311" t="s">
        <v>143</v>
      </c>
      <c r="V18" s="279"/>
      <c r="W18" s="928">
        <f t="shared" si="2"/>
        <v>0</v>
      </c>
      <c r="X18" s="928"/>
      <c r="Y18" s="928"/>
      <c r="Z18" s="929"/>
      <c r="AB18" s="930">
        <v>0</v>
      </c>
      <c r="AC18" s="931"/>
      <c r="AD18" s="932"/>
      <c r="AF18" s="930">
        <f t="shared" si="3"/>
        <v>0</v>
      </c>
      <c r="AG18" s="931"/>
      <c r="AH18" s="932"/>
      <c r="AM18" s="416"/>
      <c r="AN18" s="930">
        <f t="shared" si="0"/>
        <v>0</v>
      </c>
      <c r="AO18" s="931"/>
      <c r="AP18" s="932"/>
      <c r="AU18" s="416"/>
      <c r="AV18" s="897">
        <f t="shared" si="1"/>
        <v>0</v>
      </c>
      <c r="AW18" s="898"/>
      <c r="AX18" s="899"/>
    </row>
    <row r="19" spans="3:57" s="51" customFormat="1" ht="18" customHeight="1" x14ac:dyDescent="0.15">
      <c r="C19" s="757">
        <v>5140</v>
      </c>
      <c r="D19" s="419"/>
      <c r="E19" s="700" t="s">
        <v>484</v>
      </c>
      <c r="F19" s="700"/>
      <c r="G19" s="700"/>
      <c r="H19" s="700"/>
      <c r="I19" s="700"/>
      <c r="J19" s="700"/>
      <c r="K19" s="700"/>
      <c r="L19" s="700"/>
      <c r="M19" s="700"/>
      <c r="N19" s="700"/>
      <c r="O19" s="309"/>
      <c r="P19" s="917" t="s">
        <v>140</v>
      </c>
      <c r="Q19" s="917"/>
      <c r="R19" s="310" t="s">
        <v>117</v>
      </c>
      <c r="S19" s="918"/>
      <c r="T19" s="918"/>
      <c r="U19" s="311" t="s">
        <v>143</v>
      </c>
      <c r="V19" s="279"/>
      <c r="W19" s="928">
        <f t="shared" si="2"/>
        <v>0</v>
      </c>
      <c r="X19" s="928"/>
      <c r="Y19" s="928"/>
      <c r="Z19" s="929"/>
      <c r="AB19" s="930">
        <v>0</v>
      </c>
      <c r="AC19" s="931"/>
      <c r="AD19" s="932"/>
      <c r="AF19" s="930">
        <f t="shared" si="3"/>
        <v>0</v>
      </c>
      <c r="AG19" s="931"/>
      <c r="AH19" s="932"/>
      <c r="AM19" s="416"/>
      <c r="AN19" s="930">
        <f t="shared" si="0"/>
        <v>0</v>
      </c>
      <c r="AO19" s="931"/>
      <c r="AP19" s="932"/>
      <c r="AU19" s="416"/>
      <c r="AV19" s="897">
        <f t="shared" si="1"/>
        <v>0</v>
      </c>
      <c r="AW19" s="898"/>
      <c r="AX19" s="899"/>
    </row>
    <row r="20" spans="3:57" s="51" customFormat="1" ht="18" customHeight="1" x14ac:dyDescent="0.15">
      <c r="C20" s="757">
        <v>5150</v>
      </c>
      <c r="D20" s="419"/>
      <c r="E20" s="700" t="s">
        <v>485</v>
      </c>
      <c r="F20" s="700"/>
      <c r="G20" s="700"/>
      <c r="H20" s="700"/>
      <c r="I20" s="700"/>
      <c r="J20" s="700"/>
      <c r="K20" s="700"/>
      <c r="L20" s="700"/>
      <c r="M20" s="700"/>
      <c r="N20" s="700"/>
      <c r="O20" s="309"/>
      <c r="P20" s="917" t="s">
        <v>142</v>
      </c>
      <c r="Q20" s="917"/>
      <c r="R20" s="310" t="s">
        <v>117</v>
      </c>
      <c r="S20" s="918"/>
      <c r="T20" s="918"/>
      <c r="U20" s="311" t="s">
        <v>143</v>
      </c>
      <c r="V20" s="279"/>
      <c r="W20" s="928">
        <f t="shared" si="2"/>
        <v>0</v>
      </c>
      <c r="X20" s="928"/>
      <c r="Y20" s="928"/>
      <c r="Z20" s="929"/>
      <c r="AB20" s="930">
        <v>0</v>
      </c>
      <c r="AC20" s="931"/>
      <c r="AD20" s="932"/>
      <c r="AF20" s="930">
        <f t="shared" si="3"/>
        <v>0</v>
      </c>
      <c r="AG20" s="931"/>
      <c r="AH20" s="932"/>
      <c r="AM20" s="416"/>
      <c r="AN20" s="930">
        <f t="shared" si="0"/>
        <v>0</v>
      </c>
      <c r="AO20" s="931"/>
      <c r="AP20" s="932"/>
      <c r="AU20" s="416"/>
      <c r="AV20" s="897">
        <f t="shared" si="1"/>
        <v>0</v>
      </c>
      <c r="AW20" s="898"/>
      <c r="AX20" s="899"/>
    </row>
    <row r="21" spans="3:57" s="51" customFormat="1" ht="18" customHeight="1" x14ac:dyDescent="0.15">
      <c r="C21" s="757">
        <v>5160</v>
      </c>
      <c r="D21" s="419"/>
      <c r="E21" s="700" t="s">
        <v>486</v>
      </c>
      <c r="F21" s="700"/>
      <c r="G21" s="700"/>
      <c r="H21" s="700"/>
      <c r="I21" s="700"/>
      <c r="J21" s="700"/>
      <c r="K21" s="700"/>
      <c r="L21" s="700"/>
      <c r="M21" s="700"/>
      <c r="N21" s="700"/>
      <c r="O21" s="309"/>
      <c r="P21" s="917" t="s">
        <v>142</v>
      </c>
      <c r="Q21" s="917"/>
      <c r="R21" s="310" t="s">
        <v>117</v>
      </c>
      <c r="S21" s="918"/>
      <c r="T21" s="918"/>
      <c r="U21" s="311" t="s">
        <v>143</v>
      </c>
      <c r="V21" s="279"/>
      <c r="W21" s="928">
        <f t="shared" si="2"/>
        <v>0</v>
      </c>
      <c r="X21" s="928"/>
      <c r="Y21" s="928"/>
      <c r="Z21" s="929"/>
      <c r="AB21" s="930">
        <v>0</v>
      </c>
      <c r="AC21" s="931"/>
      <c r="AD21" s="932"/>
      <c r="AF21" s="930">
        <f t="shared" si="3"/>
        <v>0</v>
      </c>
      <c r="AG21" s="931"/>
      <c r="AH21" s="932"/>
      <c r="AM21" s="416"/>
      <c r="AN21" s="930">
        <f t="shared" si="0"/>
        <v>0</v>
      </c>
      <c r="AO21" s="931"/>
      <c r="AP21" s="932"/>
      <c r="AU21" s="416"/>
      <c r="AV21" s="897">
        <f t="shared" si="1"/>
        <v>0</v>
      </c>
      <c r="AW21" s="898"/>
      <c r="AX21" s="899"/>
    </row>
    <row r="22" spans="3:57" s="51" customFormat="1" ht="18" customHeight="1" x14ac:dyDescent="0.15">
      <c r="C22" s="757">
        <v>5170</v>
      </c>
      <c r="D22" s="419"/>
      <c r="E22" s="700" t="s">
        <v>487</v>
      </c>
      <c r="F22" s="700"/>
      <c r="G22" s="700"/>
      <c r="H22" s="700"/>
      <c r="I22" s="700"/>
      <c r="J22" s="700"/>
      <c r="K22" s="700"/>
      <c r="L22" s="700"/>
      <c r="M22" s="700"/>
      <c r="N22" s="700"/>
      <c r="O22" s="309"/>
      <c r="P22" s="917" t="s">
        <v>140</v>
      </c>
      <c r="Q22" s="917"/>
      <c r="R22" s="310" t="s">
        <v>117</v>
      </c>
      <c r="S22" s="918"/>
      <c r="T22" s="918"/>
      <c r="U22" s="311" t="s">
        <v>143</v>
      </c>
      <c r="V22" s="279"/>
      <c r="W22" s="928">
        <f t="shared" si="2"/>
        <v>0</v>
      </c>
      <c r="X22" s="928"/>
      <c r="Y22" s="928"/>
      <c r="Z22" s="929"/>
      <c r="AB22" s="930">
        <v>0</v>
      </c>
      <c r="AC22" s="931"/>
      <c r="AD22" s="932"/>
      <c r="AF22" s="930">
        <f t="shared" si="3"/>
        <v>0</v>
      </c>
      <c r="AG22" s="931"/>
      <c r="AH22" s="932"/>
      <c r="AM22" s="416"/>
      <c r="AN22" s="930">
        <f t="shared" si="0"/>
        <v>0</v>
      </c>
      <c r="AO22" s="931"/>
      <c r="AP22" s="932"/>
      <c r="AU22" s="416"/>
      <c r="AV22" s="897">
        <f t="shared" si="1"/>
        <v>0</v>
      </c>
      <c r="AW22" s="898"/>
      <c r="AX22" s="899"/>
    </row>
    <row r="23" spans="3:57" s="51" customFormat="1" ht="18" customHeight="1" x14ac:dyDescent="0.15">
      <c r="C23" s="757">
        <v>5180</v>
      </c>
      <c r="D23" s="419"/>
      <c r="E23" s="700" t="s">
        <v>488</v>
      </c>
      <c r="F23" s="700"/>
      <c r="G23" s="700"/>
      <c r="H23" s="700"/>
      <c r="I23" s="700"/>
      <c r="J23" s="700"/>
      <c r="K23" s="700"/>
      <c r="L23" s="700"/>
      <c r="M23" s="700"/>
      <c r="N23" s="700"/>
      <c r="O23" s="309"/>
      <c r="P23" s="917" t="s">
        <v>140</v>
      </c>
      <c r="Q23" s="917"/>
      <c r="R23" s="310" t="s">
        <v>117</v>
      </c>
      <c r="S23" s="918"/>
      <c r="T23" s="918"/>
      <c r="U23" s="311" t="s">
        <v>143</v>
      </c>
      <c r="V23" s="279"/>
      <c r="W23" s="928">
        <f t="shared" si="2"/>
        <v>0</v>
      </c>
      <c r="X23" s="928"/>
      <c r="Y23" s="928"/>
      <c r="Z23" s="929"/>
      <c r="AB23" s="930">
        <v>0</v>
      </c>
      <c r="AC23" s="931"/>
      <c r="AD23" s="932"/>
      <c r="AF23" s="930">
        <f t="shared" si="3"/>
        <v>0</v>
      </c>
      <c r="AG23" s="931"/>
      <c r="AH23" s="932"/>
      <c r="AM23" s="416"/>
      <c r="AN23" s="930">
        <f t="shared" si="0"/>
        <v>0</v>
      </c>
      <c r="AO23" s="931"/>
      <c r="AP23" s="932"/>
      <c r="AU23" s="416"/>
      <c r="AV23" s="897">
        <f t="shared" si="1"/>
        <v>0</v>
      </c>
      <c r="AW23" s="898"/>
      <c r="AX23" s="899"/>
    </row>
    <row r="24" spans="3:57" s="51" customFormat="1" ht="18" customHeight="1" x14ac:dyDescent="0.15">
      <c r="C24" s="757">
        <v>5190</v>
      </c>
      <c r="D24" s="419"/>
      <c r="E24" s="700"/>
      <c r="F24" s="700"/>
      <c r="G24" s="700"/>
      <c r="H24" s="700"/>
      <c r="I24" s="700"/>
      <c r="J24" s="700"/>
      <c r="K24" s="700"/>
      <c r="L24" s="700"/>
      <c r="M24" s="700"/>
      <c r="N24" s="700"/>
      <c r="O24" s="309"/>
      <c r="P24" s="917" t="s">
        <v>140</v>
      </c>
      <c r="Q24" s="917"/>
      <c r="R24" s="310" t="s">
        <v>117</v>
      </c>
      <c r="S24" s="918"/>
      <c r="T24" s="918"/>
      <c r="U24" s="311" t="s">
        <v>143</v>
      </c>
      <c r="V24" s="279"/>
      <c r="W24" s="928">
        <f t="shared" si="2"/>
        <v>0</v>
      </c>
      <c r="X24" s="928"/>
      <c r="Y24" s="928"/>
      <c r="Z24" s="929"/>
      <c r="AB24" s="930">
        <v>0</v>
      </c>
      <c r="AC24" s="931"/>
      <c r="AD24" s="932"/>
      <c r="AF24" s="930">
        <f t="shared" si="3"/>
        <v>0</v>
      </c>
      <c r="AG24" s="931"/>
      <c r="AH24" s="932"/>
      <c r="AM24" s="416"/>
      <c r="AN24" s="930">
        <f t="shared" si="0"/>
        <v>0</v>
      </c>
      <c r="AO24" s="931"/>
      <c r="AP24" s="932"/>
      <c r="AU24" s="416"/>
      <c r="AV24" s="897">
        <f t="shared" si="1"/>
        <v>0</v>
      </c>
      <c r="AW24" s="898"/>
      <c r="AX24" s="899"/>
    </row>
    <row r="25" spans="3:57" s="51" customFormat="1" ht="18" customHeight="1" x14ac:dyDescent="0.15">
      <c r="C25" s="757">
        <v>5210</v>
      </c>
      <c r="D25" s="419"/>
      <c r="E25" s="700" t="s">
        <v>154</v>
      </c>
      <c r="F25" s="700"/>
      <c r="G25" s="700"/>
      <c r="H25" s="700"/>
      <c r="I25" s="700"/>
      <c r="J25" s="700"/>
      <c r="K25" s="700"/>
      <c r="L25" s="700"/>
      <c r="M25" s="700"/>
      <c r="N25" s="700"/>
      <c r="O25" s="309"/>
      <c r="P25" s="917" t="s">
        <v>140</v>
      </c>
      <c r="Q25" s="917"/>
      <c r="R25" s="310" t="s">
        <v>117</v>
      </c>
      <c r="S25" s="918"/>
      <c r="T25" s="918"/>
      <c r="U25" s="311" t="s">
        <v>143</v>
      </c>
      <c r="V25" s="279"/>
      <c r="W25" s="928">
        <f t="shared" si="2"/>
        <v>0</v>
      </c>
      <c r="X25" s="928"/>
      <c r="Y25" s="928"/>
      <c r="Z25" s="929"/>
      <c r="AB25" s="930">
        <v>0</v>
      </c>
      <c r="AC25" s="931"/>
      <c r="AD25" s="932"/>
      <c r="AF25" s="930">
        <f t="shared" si="3"/>
        <v>0</v>
      </c>
      <c r="AG25" s="931"/>
      <c r="AH25" s="932"/>
      <c r="AM25" s="416"/>
      <c r="AN25" s="930">
        <f t="shared" si="0"/>
        <v>0</v>
      </c>
      <c r="AO25" s="931"/>
      <c r="AP25" s="932"/>
      <c r="AU25" s="416"/>
      <c r="AV25" s="897">
        <f t="shared" si="1"/>
        <v>0</v>
      </c>
      <c r="AW25" s="898"/>
      <c r="AX25" s="899"/>
    </row>
    <row r="26" spans="3:57" s="51" customFormat="1" ht="18" customHeight="1" x14ac:dyDescent="0.15">
      <c r="C26" s="757">
        <v>5220</v>
      </c>
      <c r="D26" s="419"/>
      <c r="E26" s="700" t="s">
        <v>210</v>
      </c>
      <c r="F26" s="700"/>
      <c r="G26" s="700"/>
      <c r="H26" s="700"/>
      <c r="I26" s="700"/>
      <c r="J26" s="700"/>
      <c r="K26" s="700"/>
      <c r="L26" s="700"/>
      <c r="M26" s="700"/>
      <c r="N26" s="700"/>
      <c r="O26" s="309"/>
      <c r="P26" s="917" t="s">
        <v>140</v>
      </c>
      <c r="Q26" s="917"/>
      <c r="R26" s="310" t="s">
        <v>117</v>
      </c>
      <c r="S26" s="918"/>
      <c r="T26" s="918"/>
      <c r="U26" s="311" t="s">
        <v>143</v>
      </c>
      <c r="V26" s="279"/>
      <c r="W26" s="928">
        <f t="shared" si="2"/>
        <v>0</v>
      </c>
      <c r="X26" s="928"/>
      <c r="Y26" s="928"/>
      <c r="Z26" s="929"/>
      <c r="AB26" s="930">
        <v>0</v>
      </c>
      <c r="AC26" s="931"/>
      <c r="AD26" s="932"/>
      <c r="AF26" s="930">
        <f t="shared" si="3"/>
        <v>0</v>
      </c>
      <c r="AG26" s="931"/>
      <c r="AH26" s="932"/>
      <c r="AM26" s="416"/>
      <c r="AN26" s="930">
        <f t="shared" si="0"/>
        <v>0</v>
      </c>
      <c r="AO26" s="931"/>
      <c r="AP26" s="932"/>
      <c r="AU26" s="416"/>
      <c r="AV26" s="897">
        <f t="shared" si="1"/>
        <v>0</v>
      </c>
      <c r="AW26" s="898"/>
      <c r="AX26" s="899"/>
    </row>
    <row r="27" spans="3:57" s="51" customFormat="1" ht="18" customHeight="1" x14ac:dyDescent="0.15">
      <c r="C27" s="757">
        <v>5230</v>
      </c>
      <c r="D27" s="419"/>
      <c r="E27" s="700" t="s">
        <v>397</v>
      </c>
      <c r="F27" s="700"/>
      <c r="G27" s="700"/>
      <c r="H27" s="700"/>
      <c r="I27" s="700"/>
      <c r="J27" s="700"/>
      <c r="K27" s="700"/>
      <c r="L27" s="700"/>
      <c r="M27" s="700"/>
      <c r="N27" s="700"/>
      <c r="O27" s="309"/>
      <c r="P27" s="917" t="s">
        <v>140</v>
      </c>
      <c r="Q27" s="917"/>
      <c r="R27" s="310" t="s">
        <v>117</v>
      </c>
      <c r="S27" s="918"/>
      <c r="T27" s="918"/>
      <c r="U27" s="311" t="s">
        <v>143</v>
      </c>
      <c r="V27" s="279"/>
      <c r="W27" s="928">
        <f t="shared" si="2"/>
        <v>0</v>
      </c>
      <c r="X27" s="928"/>
      <c r="Y27" s="928"/>
      <c r="Z27" s="929"/>
      <c r="AB27" s="930">
        <v>0</v>
      </c>
      <c r="AC27" s="931"/>
      <c r="AD27" s="932"/>
      <c r="AF27" s="930">
        <f t="shared" si="3"/>
        <v>0</v>
      </c>
      <c r="AG27" s="931"/>
      <c r="AH27" s="932"/>
      <c r="AM27" s="416"/>
      <c r="AN27" s="930">
        <f t="shared" si="0"/>
        <v>0</v>
      </c>
      <c r="AO27" s="931"/>
      <c r="AP27" s="932"/>
      <c r="AU27" s="416"/>
      <c r="AV27" s="897">
        <f t="shared" si="1"/>
        <v>0</v>
      </c>
      <c r="AW27" s="898"/>
      <c r="AX27" s="899"/>
    </row>
    <row r="28" spans="3:57" s="51" customFormat="1" ht="18" customHeight="1" x14ac:dyDescent="0.15">
      <c r="C28" s="757">
        <v>5240</v>
      </c>
      <c r="D28" s="419"/>
      <c r="E28" s="700" t="s">
        <v>398</v>
      </c>
      <c r="F28" s="700"/>
      <c r="G28" s="700"/>
      <c r="H28" s="700"/>
      <c r="I28" s="700"/>
      <c r="J28" s="700"/>
      <c r="K28" s="700"/>
      <c r="L28" s="700"/>
      <c r="M28" s="700"/>
      <c r="N28" s="700"/>
      <c r="O28" s="309"/>
      <c r="P28" s="917" t="s">
        <v>140</v>
      </c>
      <c r="Q28" s="917"/>
      <c r="R28" s="310" t="s">
        <v>117</v>
      </c>
      <c r="S28" s="918"/>
      <c r="T28" s="918"/>
      <c r="U28" s="311" t="s">
        <v>143</v>
      </c>
      <c r="V28" s="279"/>
      <c r="W28" s="928">
        <f t="shared" si="2"/>
        <v>0</v>
      </c>
      <c r="X28" s="928"/>
      <c r="Y28" s="928"/>
      <c r="Z28" s="929"/>
      <c r="AB28" s="930">
        <v>0</v>
      </c>
      <c r="AC28" s="931"/>
      <c r="AD28" s="932"/>
      <c r="AF28" s="930">
        <f t="shared" si="3"/>
        <v>0</v>
      </c>
      <c r="AG28" s="931"/>
      <c r="AH28" s="932"/>
      <c r="AM28" s="416"/>
      <c r="AN28" s="930">
        <f t="shared" si="0"/>
        <v>0</v>
      </c>
      <c r="AO28" s="931"/>
      <c r="AP28" s="932"/>
      <c r="AU28" s="416"/>
      <c r="AV28" s="897">
        <f t="shared" si="1"/>
        <v>0</v>
      </c>
      <c r="AW28" s="898"/>
      <c r="AX28" s="899"/>
    </row>
    <row r="29" spans="3:57" s="51" customFormat="1" ht="18" customHeight="1" x14ac:dyDescent="0.15">
      <c r="C29" s="757">
        <v>5250</v>
      </c>
      <c r="D29" s="419"/>
      <c r="E29" s="700"/>
      <c r="F29" s="700"/>
      <c r="G29" s="700"/>
      <c r="H29" s="700"/>
      <c r="I29" s="700"/>
      <c r="J29" s="700"/>
      <c r="K29" s="700"/>
      <c r="L29" s="700"/>
      <c r="M29" s="700"/>
      <c r="N29" s="700"/>
      <c r="O29" s="309"/>
      <c r="P29" s="917" t="s">
        <v>140</v>
      </c>
      <c r="Q29" s="917"/>
      <c r="R29" s="310" t="s">
        <v>117</v>
      </c>
      <c r="S29" s="918"/>
      <c r="T29" s="918"/>
      <c r="U29" s="311" t="s">
        <v>143</v>
      </c>
      <c r="V29" s="279"/>
      <c r="W29" s="928">
        <f t="shared" si="2"/>
        <v>0</v>
      </c>
      <c r="X29" s="928"/>
      <c r="Y29" s="928"/>
      <c r="Z29" s="929"/>
      <c r="AB29" s="930">
        <v>0</v>
      </c>
      <c r="AC29" s="931"/>
      <c r="AD29" s="932"/>
      <c r="AF29" s="930">
        <f t="shared" si="3"/>
        <v>0</v>
      </c>
      <c r="AG29" s="931"/>
      <c r="AH29" s="932"/>
      <c r="AM29" s="416"/>
      <c r="AN29" s="930">
        <f t="shared" si="0"/>
        <v>0</v>
      </c>
      <c r="AO29" s="931"/>
      <c r="AP29" s="932"/>
      <c r="AU29" s="416"/>
      <c r="AV29" s="897">
        <f t="shared" si="1"/>
        <v>0</v>
      </c>
      <c r="AW29" s="898"/>
      <c r="AX29" s="899"/>
    </row>
    <row r="30" spans="3:57" s="51" customFormat="1" ht="18" customHeight="1" x14ac:dyDescent="0.15">
      <c r="C30" s="757">
        <v>5260</v>
      </c>
      <c r="D30" s="419"/>
      <c r="E30" s="700"/>
      <c r="F30" s="700"/>
      <c r="G30" s="700"/>
      <c r="H30" s="700"/>
      <c r="I30" s="700"/>
      <c r="J30" s="700"/>
      <c r="K30" s="700"/>
      <c r="L30" s="700"/>
      <c r="M30" s="700"/>
      <c r="N30" s="700"/>
      <c r="O30" s="309"/>
      <c r="P30" s="917" t="s">
        <v>140</v>
      </c>
      <c r="Q30" s="917"/>
      <c r="R30" s="310" t="s">
        <v>117</v>
      </c>
      <c r="S30" s="918"/>
      <c r="T30" s="918"/>
      <c r="U30" s="311" t="s">
        <v>143</v>
      </c>
      <c r="V30" s="279"/>
      <c r="W30" s="928">
        <f t="shared" si="2"/>
        <v>0</v>
      </c>
      <c r="X30" s="928"/>
      <c r="Y30" s="928"/>
      <c r="Z30" s="929"/>
      <c r="AB30" s="930">
        <v>0</v>
      </c>
      <c r="AC30" s="931"/>
      <c r="AD30" s="932"/>
      <c r="AF30" s="930">
        <f t="shared" si="3"/>
        <v>0</v>
      </c>
      <c r="AG30" s="931"/>
      <c r="AH30" s="932"/>
      <c r="AM30" s="416"/>
      <c r="AN30" s="930">
        <f t="shared" si="0"/>
        <v>0</v>
      </c>
      <c r="AO30" s="931"/>
      <c r="AP30" s="932"/>
      <c r="AU30" s="416"/>
      <c r="AV30" s="897">
        <f t="shared" si="1"/>
        <v>0</v>
      </c>
      <c r="AW30" s="898"/>
      <c r="AX30" s="899"/>
    </row>
    <row r="31" spans="3:57" s="51" customFormat="1" ht="18" customHeight="1" x14ac:dyDescent="0.15">
      <c r="C31" s="757">
        <v>5270</v>
      </c>
      <c r="D31" s="419"/>
      <c r="E31" s="700"/>
      <c r="F31" s="700"/>
      <c r="G31" s="700"/>
      <c r="H31" s="700"/>
      <c r="I31" s="700"/>
      <c r="J31" s="700"/>
      <c r="K31" s="700"/>
      <c r="L31" s="700"/>
      <c r="M31" s="700"/>
      <c r="N31" s="700"/>
      <c r="O31" s="309"/>
      <c r="P31" s="917" t="s">
        <v>140</v>
      </c>
      <c r="Q31" s="917"/>
      <c r="R31" s="310" t="s">
        <v>117</v>
      </c>
      <c r="S31" s="918"/>
      <c r="T31" s="918"/>
      <c r="U31" s="311" t="s">
        <v>143</v>
      </c>
      <c r="V31" s="279"/>
      <c r="W31" s="928">
        <f t="shared" si="2"/>
        <v>0</v>
      </c>
      <c r="X31" s="928"/>
      <c r="Y31" s="928"/>
      <c r="Z31" s="929"/>
      <c r="AB31" s="930">
        <v>0</v>
      </c>
      <c r="AC31" s="931"/>
      <c r="AD31" s="932"/>
      <c r="AF31" s="930">
        <f t="shared" si="3"/>
        <v>0</v>
      </c>
      <c r="AG31" s="931"/>
      <c r="AH31" s="932"/>
      <c r="AM31" s="416"/>
      <c r="AN31" s="930">
        <f t="shared" si="0"/>
        <v>0</v>
      </c>
      <c r="AO31" s="931"/>
      <c r="AP31" s="932"/>
      <c r="AU31" s="416"/>
      <c r="AV31" s="897">
        <f t="shared" si="1"/>
        <v>0</v>
      </c>
      <c r="AW31" s="898"/>
      <c r="AX31" s="899"/>
    </row>
    <row r="32" spans="3:57" s="51" customFormat="1" ht="18" customHeight="1" x14ac:dyDescent="0.15">
      <c r="C32" s="757">
        <v>5280</v>
      </c>
      <c r="D32" s="419"/>
      <c r="E32" s="700"/>
      <c r="F32" s="700"/>
      <c r="G32" s="700"/>
      <c r="H32" s="700"/>
      <c r="I32" s="700"/>
      <c r="J32" s="700"/>
      <c r="K32" s="700"/>
      <c r="L32" s="700"/>
      <c r="M32" s="700"/>
      <c r="N32" s="700"/>
      <c r="O32" s="309"/>
      <c r="P32" s="917" t="s">
        <v>140</v>
      </c>
      <c r="Q32" s="917"/>
      <c r="R32" s="310" t="s">
        <v>117</v>
      </c>
      <c r="S32" s="918"/>
      <c r="T32" s="918"/>
      <c r="U32" s="311" t="s">
        <v>143</v>
      </c>
      <c r="V32" s="279"/>
      <c r="W32" s="928">
        <f t="shared" si="2"/>
        <v>0</v>
      </c>
      <c r="X32" s="928"/>
      <c r="Y32" s="928"/>
      <c r="Z32" s="929"/>
      <c r="AB32" s="930">
        <v>0</v>
      </c>
      <c r="AC32" s="931"/>
      <c r="AD32" s="932"/>
      <c r="AF32" s="930">
        <f t="shared" si="3"/>
        <v>0</v>
      </c>
      <c r="AG32" s="931"/>
      <c r="AH32" s="932"/>
      <c r="AM32" s="416"/>
      <c r="AN32" s="930">
        <f t="shared" si="0"/>
        <v>0</v>
      </c>
      <c r="AO32" s="931"/>
      <c r="AP32" s="932"/>
      <c r="AU32" s="416"/>
      <c r="AV32" s="897">
        <f t="shared" si="1"/>
        <v>0</v>
      </c>
      <c r="AW32" s="898"/>
      <c r="AX32" s="899"/>
      <c r="BE32" s="51" t="s">
        <v>233</v>
      </c>
    </row>
    <row r="33" spans="3:50" s="51" customFormat="1" ht="18" customHeight="1" x14ac:dyDescent="0.15">
      <c r="C33" s="757">
        <v>5290</v>
      </c>
      <c r="D33" s="419"/>
      <c r="E33" s="700"/>
      <c r="F33" s="700"/>
      <c r="G33" s="700"/>
      <c r="H33" s="700"/>
      <c r="I33" s="700"/>
      <c r="J33" s="700"/>
      <c r="K33" s="700"/>
      <c r="L33" s="700"/>
      <c r="M33" s="700"/>
      <c r="N33" s="700"/>
      <c r="O33" s="309"/>
      <c r="P33" s="917" t="s">
        <v>140</v>
      </c>
      <c r="Q33" s="917"/>
      <c r="R33" s="310" t="s">
        <v>117</v>
      </c>
      <c r="S33" s="918"/>
      <c r="T33" s="918"/>
      <c r="U33" s="311" t="s">
        <v>143</v>
      </c>
      <c r="V33" s="279"/>
      <c r="W33" s="928">
        <f t="shared" si="2"/>
        <v>0</v>
      </c>
      <c r="X33" s="928"/>
      <c r="Y33" s="928"/>
      <c r="Z33" s="929"/>
      <c r="AB33" s="930">
        <v>0</v>
      </c>
      <c r="AC33" s="931"/>
      <c r="AD33" s="932"/>
      <c r="AF33" s="930">
        <f t="shared" si="3"/>
        <v>0</v>
      </c>
      <c r="AG33" s="931"/>
      <c r="AH33" s="932"/>
      <c r="AM33" s="416"/>
      <c r="AN33" s="930">
        <f t="shared" si="0"/>
        <v>0</v>
      </c>
      <c r="AO33" s="931"/>
      <c r="AP33" s="932"/>
      <c r="AU33" s="416"/>
      <c r="AV33" s="897">
        <f t="shared" si="1"/>
        <v>0</v>
      </c>
      <c r="AW33" s="898"/>
      <c r="AX33" s="899"/>
    </row>
    <row r="34" spans="3:50" s="51" customFormat="1" ht="18" customHeight="1" x14ac:dyDescent="0.15">
      <c r="C34" s="757">
        <v>5310</v>
      </c>
      <c r="D34" s="419"/>
      <c r="E34" s="700" t="s">
        <v>204</v>
      </c>
      <c r="F34" s="700"/>
      <c r="G34" s="700"/>
      <c r="H34" s="700"/>
      <c r="I34" s="700"/>
      <c r="J34" s="700"/>
      <c r="K34" s="700"/>
      <c r="L34" s="700"/>
      <c r="M34" s="700"/>
      <c r="N34" s="700"/>
      <c r="O34" s="309"/>
      <c r="P34" s="917" t="s">
        <v>140</v>
      </c>
      <c r="Q34" s="917"/>
      <c r="R34" s="310" t="s">
        <v>117</v>
      </c>
      <c r="S34" s="918"/>
      <c r="T34" s="918"/>
      <c r="U34" s="311" t="s">
        <v>143</v>
      </c>
      <c r="V34" s="279"/>
      <c r="W34" s="928">
        <f t="shared" si="2"/>
        <v>0</v>
      </c>
      <c r="X34" s="928"/>
      <c r="Y34" s="928"/>
      <c r="Z34" s="929"/>
      <c r="AB34" s="930">
        <v>0</v>
      </c>
      <c r="AC34" s="931"/>
      <c r="AD34" s="932"/>
      <c r="AF34" s="930">
        <f t="shared" si="3"/>
        <v>0</v>
      </c>
      <c r="AG34" s="931"/>
      <c r="AH34" s="932"/>
      <c r="AM34" s="416"/>
      <c r="AN34" s="930">
        <f t="shared" si="0"/>
        <v>0</v>
      </c>
      <c r="AO34" s="931"/>
      <c r="AP34" s="932"/>
      <c r="AU34" s="416"/>
      <c r="AV34" s="897">
        <f t="shared" si="1"/>
        <v>0</v>
      </c>
      <c r="AW34" s="898"/>
      <c r="AX34" s="899"/>
    </row>
    <row r="35" spans="3:50" s="51" customFormat="1" ht="18" customHeight="1" x14ac:dyDescent="0.15">
      <c r="C35" s="757">
        <v>5320</v>
      </c>
      <c r="D35" s="419"/>
      <c r="E35" s="700" t="s">
        <v>205</v>
      </c>
      <c r="F35" s="700"/>
      <c r="G35" s="700"/>
      <c r="H35" s="700"/>
      <c r="I35" s="700"/>
      <c r="J35" s="700"/>
      <c r="K35" s="700"/>
      <c r="L35" s="700"/>
      <c r="M35" s="700"/>
      <c r="N35" s="700"/>
      <c r="O35" s="309"/>
      <c r="P35" s="917" t="s">
        <v>140</v>
      </c>
      <c r="Q35" s="917"/>
      <c r="R35" s="310" t="s">
        <v>117</v>
      </c>
      <c r="S35" s="918"/>
      <c r="T35" s="918"/>
      <c r="U35" s="311" t="s">
        <v>143</v>
      </c>
      <c r="V35" s="279"/>
      <c r="W35" s="928">
        <f t="shared" si="2"/>
        <v>0</v>
      </c>
      <c r="X35" s="928"/>
      <c r="Y35" s="928"/>
      <c r="Z35" s="929"/>
      <c r="AB35" s="930">
        <v>0</v>
      </c>
      <c r="AC35" s="931"/>
      <c r="AD35" s="932"/>
      <c r="AF35" s="930">
        <f t="shared" si="3"/>
        <v>0</v>
      </c>
      <c r="AG35" s="931"/>
      <c r="AH35" s="932"/>
      <c r="AL35" s="344"/>
      <c r="AM35" s="416"/>
      <c r="AN35" s="930">
        <f t="shared" si="0"/>
        <v>0</v>
      </c>
      <c r="AO35" s="931"/>
      <c r="AP35" s="932"/>
      <c r="AT35" s="344"/>
      <c r="AU35" s="416"/>
      <c r="AV35" s="897">
        <f t="shared" si="1"/>
        <v>0</v>
      </c>
      <c r="AW35" s="898"/>
      <c r="AX35" s="899"/>
    </row>
    <row r="36" spans="3:50" s="51" customFormat="1" ht="18" customHeight="1" x14ac:dyDescent="0.15">
      <c r="C36" s="757">
        <v>5330</v>
      </c>
      <c r="D36" s="419"/>
      <c r="E36" s="700" t="s">
        <v>206</v>
      </c>
      <c r="F36" s="700"/>
      <c r="G36" s="700"/>
      <c r="H36" s="700"/>
      <c r="I36" s="700"/>
      <c r="J36" s="700"/>
      <c r="K36" s="700"/>
      <c r="L36" s="700"/>
      <c r="M36" s="700"/>
      <c r="N36" s="700"/>
      <c r="O36" s="309"/>
      <c r="P36" s="917" t="s">
        <v>140</v>
      </c>
      <c r="Q36" s="917"/>
      <c r="R36" s="310" t="s">
        <v>117</v>
      </c>
      <c r="S36" s="918"/>
      <c r="T36" s="918"/>
      <c r="U36" s="311" t="s">
        <v>143</v>
      </c>
      <c r="V36" s="279"/>
      <c r="W36" s="928">
        <f t="shared" si="2"/>
        <v>0</v>
      </c>
      <c r="X36" s="928"/>
      <c r="Y36" s="928"/>
      <c r="Z36" s="929"/>
      <c r="AB36" s="930">
        <v>0</v>
      </c>
      <c r="AC36" s="931"/>
      <c r="AD36" s="932"/>
      <c r="AF36" s="930">
        <f t="shared" si="3"/>
        <v>0</v>
      </c>
      <c r="AG36" s="931"/>
      <c r="AH36" s="932"/>
      <c r="AM36" s="416"/>
      <c r="AN36" s="930">
        <f t="shared" si="0"/>
        <v>0</v>
      </c>
      <c r="AO36" s="931"/>
      <c r="AP36" s="932"/>
      <c r="AU36" s="416"/>
      <c r="AV36" s="897">
        <f t="shared" si="1"/>
        <v>0</v>
      </c>
      <c r="AW36" s="898"/>
      <c r="AX36" s="899"/>
    </row>
    <row r="37" spans="3:50" s="51" customFormat="1" ht="18" customHeight="1" x14ac:dyDescent="0.15">
      <c r="C37" s="757">
        <v>5340</v>
      </c>
      <c r="D37" s="419"/>
      <c r="E37" s="700" t="s">
        <v>158</v>
      </c>
      <c r="F37" s="700"/>
      <c r="G37" s="700"/>
      <c r="H37" s="700"/>
      <c r="I37" s="700"/>
      <c r="J37" s="700"/>
      <c r="K37" s="700"/>
      <c r="L37" s="700"/>
      <c r="M37" s="700"/>
      <c r="N37" s="700"/>
      <c r="O37" s="309"/>
      <c r="P37" s="917" t="s">
        <v>140</v>
      </c>
      <c r="Q37" s="917"/>
      <c r="R37" s="310" t="s">
        <v>117</v>
      </c>
      <c r="S37" s="918"/>
      <c r="T37" s="918"/>
      <c r="U37" s="311" t="s">
        <v>143</v>
      </c>
      <c r="V37" s="279"/>
      <c r="W37" s="928">
        <f t="shared" si="2"/>
        <v>0</v>
      </c>
      <c r="X37" s="928"/>
      <c r="Y37" s="928"/>
      <c r="Z37" s="929"/>
      <c r="AB37" s="930">
        <v>0</v>
      </c>
      <c r="AC37" s="931"/>
      <c r="AD37" s="932"/>
      <c r="AF37" s="930">
        <f t="shared" si="3"/>
        <v>0</v>
      </c>
      <c r="AG37" s="931"/>
      <c r="AH37" s="932"/>
      <c r="AM37" s="416"/>
      <c r="AN37" s="930">
        <f t="shared" si="0"/>
        <v>0</v>
      </c>
      <c r="AO37" s="931"/>
      <c r="AP37" s="932"/>
      <c r="AU37" s="416"/>
      <c r="AV37" s="897">
        <f t="shared" si="1"/>
        <v>0</v>
      </c>
      <c r="AW37" s="898"/>
      <c r="AX37" s="899"/>
    </row>
    <row r="38" spans="3:50" s="51" customFormat="1" ht="18" customHeight="1" x14ac:dyDescent="0.15">
      <c r="C38" s="757">
        <v>5350</v>
      </c>
      <c r="D38" s="419"/>
      <c r="E38" s="700" t="s">
        <v>489</v>
      </c>
      <c r="F38" s="700"/>
      <c r="G38" s="700"/>
      <c r="H38" s="700"/>
      <c r="I38" s="700"/>
      <c r="J38" s="700"/>
      <c r="K38" s="700"/>
      <c r="L38" s="700"/>
      <c r="M38" s="700"/>
      <c r="N38" s="700"/>
      <c r="O38" s="309"/>
      <c r="P38" s="917" t="s">
        <v>140</v>
      </c>
      <c r="Q38" s="917"/>
      <c r="R38" s="310" t="s">
        <v>117</v>
      </c>
      <c r="S38" s="918"/>
      <c r="T38" s="918"/>
      <c r="U38" s="311" t="s">
        <v>143</v>
      </c>
      <c r="V38" s="279"/>
      <c r="W38" s="928">
        <f t="shared" si="2"/>
        <v>0</v>
      </c>
      <c r="X38" s="928"/>
      <c r="Y38" s="928"/>
      <c r="Z38" s="929"/>
      <c r="AB38" s="930">
        <v>0</v>
      </c>
      <c r="AC38" s="931"/>
      <c r="AD38" s="932"/>
      <c r="AF38" s="930">
        <f t="shared" si="3"/>
        <v>0</v>
      </c>
      <c r="AG38" s="931"/>
      <c r="AH38" s="932"/>
      <c r="AM38" s="416"/>
      <c r="AN38" s="930">
        <f t="shared" si="0"/>
        <v>0</v>
      </c>
      <c r="AO38" s="931"/>
      <c r="AP38" s="932"/>
      <c r="AU38" s="416"/>
      <c r="AV38" s="897">
        <f t="shared" si="1"/>
        <v>0</v>
      </c>
      <c r="AW38" s="898"/>
      <c r="AX38" s="899"/>
    </row>
    <row r="39" spans="3:50" s="51" customFormat="1" ht="18" customHeight="1" x14ac:dyDescent="0.15">
      <c r="C39" s="757">
        <v>5360</v>
      </c>
      <c r="D39" s="419"/>
      <c r="E39" s="700" t="s">
        <v>207</v>
      </c>
      <c r="F39" s="700"/>
      <c r="G39" s="700"/>
      <c r="H39" s="700"/>
      <c r="I39" s="700"/>
      <c r="J39" s="700"/>
      <c r="K39" s="700"/>
      <c r="L39" s="700"/>
      <c r="M39" s="700"/>
      <c r="N39" s="700"/>
      <c r="O39" s="309"/>
      <c r="P39" s="917" t="s">
        <v>140</v>
      </c>
      <c r="Q39" s="917"/>
      <c r="R39" s="310" t="s">
        <v>117</v>
      </c>
      <c r="S39" s="918"/>
      <c r="T39" s="918"/>
      <c r="U39" s="311" t="s">
        <v>143</v>
      </c>
      <c r="V39" s="279"/>
      <c r="W39" s="928">
        <f t="shared" si="2"/>
        <v>0</v>
      </c>
      <c r="X39" s="928"/>
      <c r="Y39" s="928"/>
      <c r="Z39" s="929"/>
      <c r="AB39" s="930">
        <v>0</v>
      </c>
      <c r="AC39" s="931"/>
      <c r="AD39" s="932"/>
      <c r="AF39" s="930">
        <f t="shared" si="3"/>
        <v>0</v>
      </c>
      <c r="AG39" s="931"/>
      <c r="AH39" s="932"/>
      <c r="AM39" s="416"/>
      <c r="AN39" s="930">
        <f t="shared" ref="AN39:AN60" si="4">IF(AM39="X",W39*T_MU,0)</f>
        <v>0</v>
      </c>
      <c r="AO39" s="931"/>
      <c r="AP39" s="932"/>
      <c r="AU39" s="416"/>
      <c r="AV39" s="897">
        <f t="shared" ref="AV39:AV60" si="5">IF(AU39="X",W39*T_TX,0)</f>
        <v>0</v>
      </c>
      <c r="AW39" s="898"/>
      <c r="AX39" s="899"/>
    </row>
    <row r="40" spans="3:50" s="51" customFormat="1" ht="18" customHeight="1" x14ac:dyDescent="0.15">
      <c r="C40" s="757">
        <v>5370</v>
      </c>
      <c r="D40" s="419"/>
      <c r="E40" s="700" t="s">
        <v>208</v>
      </c>
      <c r="F40" s="700"/>
      <c r="G40" s="700"/>
      <c r="H40" s="700"/>
      <c r="I40" s="700"/>
      <c r="J40" s="700"/>
      <c r="K40" s="700"/>
      <c r="L40" s="700"/>
      <c r="M40" s="700"/>
      <c r="N40" s="700"/>
      <c r="O40" s="309"/>
      <c r="P40" s="917" t="s">
        <v>140</v>
      </c>
      <c r="Q40" s="917"/>
      <c r="R40" s="310" t="s">
        <v>117</v>
      </c>
      <c r="S40" s="918"/>
      <c r="T40" s="918"/>
      <c r="U40" s="311" t="s">
        <v>143</v>
      </c>
      <c r="V40" s="279"/>
      <c r="W40" s="928">
        <f t="shared" si="2"/>
        <v>0</v>
      </c>
      <c r="X40" s="928"/>
      <c r="Y40" s="928"/>
      <c r="Z40" s="929"/>
      <c r="AB40" s="930">
        <v>0</v>
      </c>
      <c r="AC40" s="931"/>
      <c r="AD40" s="932"/>
      <c r="AF40" s="930">
        <f t="shared" si="3"/>
        <v>0</v>
      </c>
      <c r="AG40" s="931"/>
      <c r="AH40" s="932"/>
      <c r="AM40" s="416"/>
      <c r="AN40" s="930">
        <f t="shared" si="4"/>
        <v>0</v>
      </c>
      <c r="AO40" s="931"/>
      <c r="AP40" s="932"/>
      <c r="AU40" s="416"/>
      <c r="AV40" s="897">
        <f t="shared" si="5"/>
        <v>0</v>
      </c>
      <c r="AW40" s="898"/>
      <c r="AX40" s="899"/>
    </row>
    <row r="41" spans="3:50" s="51" customFormat="1" ht="18" customHeight="1" x14ac:dyDescent="0.15">
      <c r="C41" s="757">
        <v>5380</v>
      </c>
      <c r="D41" s="419"/>
      <c r="E41" s="700" t="s">
        <v>209</v>
      </c>
      <c r="F41" s="700"/>
      <c r="G41" s="700"/>
      <c r="H41" s="700"/>
      <c r="I41" s="700"/>
      <c r="J41" s="700"/>
      <c r="K41" s="700"/>
      <c r="L41" s="700"/>
      <c r="M41" s="700"/>
      <c r="N41" s="700"/>
      <c r="O41" s="309"/>
      <c r="P41" s="917" t="s">
        <v>140</v>
      </c>
      <c r="Q41" s="917"/>
      <c r="R41" s="310" t="s">
        <v>117</v>
      </c>
      <c r="S41" s="918"/>
      <c r="T41" s="918"/>
      <c r="U41" s="311" t="s">
        <v>143</v>
      </c>
      <c r="V41" s="279"/>
      <c r="W41" s="928">
        <f t="shared" si="2"/>
        <v>0</v>
      </c>
      <c r="X41" s="928"/>
      <c r="Y41" s="928"/>
      <c r="Z41" s="929"/>
      <c r="AB41" s="930">
        <v>0</v>
      </c>
      <c r="AC41" s="931"/>
      <c r="AD41" s="932"/>
      <c r="AF41" s="930">
        <f t="shared" si="3"/>
        <v>0</v>
      </c>
      <c r="AG41" s="931"/>
      <c r="AH41" s="932"/>
      <c r="AM41" s="416"/>
      <c r="AN41" s="930">
        <f t="shared" si="4"/>
        <v>0</v>
      </c>
      <c r="AO41" s="931"/>
      <c r="AP41" s="932"/>
      <c r="AU41" s="416"/>
      <c r="AV41" s="897">
        <f t="shared" si="5"/>
        <v>0</v>
      </c>
      <c r="AW41" s="898"/>
      <c r="AX41" s="899"/>
    </row>
    <row r="42" spans="3:50" s="51" customFormat="1" ht="18" customHeight="1" x14ac:dyDescent="0.15">
      <c r="C42" s="757">
        <v>5390</v>
      </c>
      <c r="D42" s="419"/>
      <c r="E42" s="700" t="s">
        <v>153</v>
      </c>
      <c r="F42" s="700"/>
      <c r="G42" s="700"/>
      <c r="H42" s="700"/>
      <c r="I42" s="700"/>
      <c r="J42" s="700"/>
      <c r="K42" s="700"/>
      <c r="L42" s="700"/>
      <c r="M42" s="700"/>
      <c r="N42" s="700"/>
      <c r="O42" s="309"/>
      <c r="P42" s="917" t="s">
        <v>140</v>
      </c>
      <c r="Q42" s="917"/>
      <c r="R42" s="310" t="s">
        <v>117</v>
      </c>
      <c r="S42" s="918"/>
      <c r="T42" s="918"/>
      <c r="U42" s="311" t="s">
        <v>143</v>
      </c>
      <c r="V42" s="279"/>
      <c r="W42" s="928">
        <f t="shared" si="2"/>
        <v>0</v>
      </c>
      <c r="X42" s="928"/>
      <c r="Y42" s="928"/>
      <c r="Z42" s="929"/>
      <c r="AB42" s="930">
        <v>0</v>
      </c>
      <c r="AC42" s="931"/>
      <c r="AD42" s="932"/>
      <c r="AF42" s="930">
        <f t="shared" si="3"/>
        <v>0</v>
      </c>
      <c r="AG42" s="931"/>
      <c r="AH42" s="932"/>
      <c r="AM42" s="416"/>
      <c r="AN42" s="930">
        <f t="shared" si="4"/>
        <v>0</v>
      </c>
      <c r="AO42" s="931"/>
      <c r="AP42" s="932"/>
      <c r="AU42" s="416"/>
      <c r="AV42" s="897">
        <f t="shared" si="5"/>
        <v>0</v>
      </c>
      <c r="AW42" s="898"/>
      <c r="AX42" s="899"/>
    </row>
    <row r="43" spans="3:50" s="51" customFormat="1" ht="18" customHeight="1" x14ac:dyDescent="0.15">
      <c r="C43" s="757">
        <v>5410</v>
      </c>
      <c r="D43" s="419"/>
      <c r="E43" s="700" t="s">
        <v>431</v>
      </c>
      <c r="F43" s="700"/>
      <c r="G43" s="700"/>
      <c r="H43" s="700"/>
      <c r="I43" s="700"/>
      <c r="J43" s="700"/>
      <c r="K43" s="700"/>
      <c r="L43" s="700"/>
      <c r="M43" s="700"/>
      <c r="N43" s="700"/>
      <c r="O43" s="309"/>
      <c r="P43" s="917" t="s">
        <v>116</v>
      </c>
      <c r="Q43" s="917"/>
      <c r="R43" s="310" t="s">
        <v>117</v>
      </c>
      <c r="S43" s="936"/>
      <c r="T43" s="936"/>
      <c r="U43" s="338" t="s">
        <v>143</v>
      </c>
      <c r="V43" s="309"/>
      <c r="W43" s="928">
        <f t="shared" si="2"/>
        <v>0</v>
      </c>
      <c r="X43" s="928"/>
      <c r="Y43" s="928"/>
      <c r="Z43" s="929"/>
      <c r="AB43" s="930">
        <v>0</v>
      </c>
      <c r="AC43" s="931"/>
      <c r="AD43" s="932"/>
      <c r="AF43" s="930">
        <f t="shared" si="3"/>
        <v>0</v>
      </c>
      <c r="AG43" s="931"/>
      <c r="AH43" s="932"/>
      <c r="AM43" s="416"/>
      <c r="AN43" s="930">
        <f t="shared" si="4"/>
        <v>0</v>
      </c>
      <c r="AO43" s="931"/>
      <c r="AP43" s="932"/>
      <c r="AU43" s="416"/>
      <c r="AV43" s="897">
        <f t="shared" si="5"/>
        <v>0</v>
      </c>
      <c r="AW43" s="898"/>
      <c r="AX43" s="899"/>
    </row>
    <row r="44" spans="3:50" s="51" customFormat="1" ht="18" customHeight="1" x14ac:dyDescent="0.15">
      <c r="C44" s="757">
        <v>5420</v>
      </c>
      <c r="D44" s="419"/>
      <c r="E44" s="700" t="s">
        <v>214</v>
      </c>
      <c r="F44" s="700"/>
      <c r="G44" s="700"/>
      <c r="H44" s="700"/>
      <c r="I44" s="700"/>
      <c r="J44" s="700"/>
      <c r="K44" s="700"/>
      <c r="L44" s="700"/>
      <c r="M44" s="700"/>
      <c r="N44" s="700"/>
      <c r="O44" s="309"/>
      <c r="P44" s="917" t="s">
        <v>116</v>
      </c>
      <c r="Q44" s="917"/>
      <c r="R44" s="310" t="s">
        <v>117</v>
      </c>
      <c r="S44" s="936"/>
      <c r="T44" s="936"/>
      <c r="U44" s="338" t="s">
        <v>143</v>
      </c>
      <c r="V44" s="309"/>
      <c r="W44" s="928">
        <f t="shared" si="2"/>
        <v>0</v>
      </c>
      <c r="X44" s="928"/>
      <c r="Y44" s="928"/>
      <c r="Z44" s="929"/>
      <c r="AB44" s="930">
        <v>0</v>
      </c>
      <c r="AC44" s="931"/>
      <c r="AD44" s="932"/>
      <c r="AF44" s="930">
        <f t="shared" si="3"/>
        <v>0</v>
      </c>
      <c r="AG44" s="931"/>
      <c r="AH44" s="932"/>
      <c r="AM44" s="416"/>
      <c r="AN44" s="930">
        <f t="shared" si="4"/>
        <v>0</v>
      </c>
      <c r="AO44" s="931"/>
      <c r="AP44" s="932"/>
      <c r="AU44" s="416"/>
      <c r="AV44" s="897">
        <f t="shared" si="5"/>
        <v>0</v>
      </c>
      <c r="AW44" s="898"/>
      <c r="AX44" s="899"/>
    </row>
    <row r="45" spans="3:50" s="51" customFormat="1" ht="18" customHeight="1" x14ac:dyDescent="0.15">
      <c r="C45" s="757">
        <v>5430</v>
      </c>
      <c r="D45" s="419"/>
      <c r="E45" s="700" t="s">
        <v>211</v>
      </c>
      <c r="F45" s="700"/>
      <c r="G45" s="700"/>
      <c r="H45" s="700"/>
      <c r="I45" s="700"/>
      <c r="J45" s="700"/>
      <c r="K45" s="700"/>
      <c r="L45" s="700"/>
      <c r="M45" s="700"/>
      <c r="N45" s="700"/>
      <c r="O45" s="309"/>
      <c r="P45" s="917" t="s">
        <v>116</v>
      </c>
      <c r="Q45" s="917"/>
      <c r="R45" s="310" t="s">
        <v>117</v>
      </c>
      <c r="S45" s="936"/>
      <c r="T45" s="936"/>
      <c r="U45" s="338" t="s">
        <v>143</v>
      </c>
      <c r="V45" s="309"/>
      <c r="W45" s="928">
        <f t="shared" si="2"/>
        <v>0</v>
      </c>
      <c r="X45" s="928"/>
      <c r="Y45" s="928"/>
      <c r="Z45" s="929"/>
      <c r="AB45" s="930">
        <v>0</v>
      </c>
      <c r="AC45" s="931"/>
      <c r="AD45" s="932"/>
      <c r="AF45" s="930">
        <f t="shared" si="3"/>
        <v>0</v>
      </c>
      <c r="AG45" s="931"/>
      <c r="AH45" s="932"/>
      <c r="AM45" s="416"/>
      <c r="AN45" s="930">
        <f t="shared" si="4"/>
        <v>0</v>
      </c>
      <c r="AO45" s="931"/>
      <c r="AP45" s="932"/>
      <c r="AU45" s="416"/>
      <c r="AV45" s="897">
        <f t="shared" si="5"/>
        <v>0</v>
      </c>
      <c r="AW45" s="898"/>
      <c r="AX45" s="899"/>
    </row>
    <row r="46" spans="3:50" s="51" customFormat="1" ht="18" customHeight="1" x14ac:dyDescent="0.15">
      <c r="C46" s="757">
        <v>5440</v>
      </c>
      <c r="D46" s="419"/>
      <c r="E46" s="700" t="s">
        <v>212</v>
      </c>
      <c r="F46" s="700"/>
      <c r="G46" s="700"/>
      <c r="H46" s="700"/>
      <c r="I46" s="700"/>
      <c r="J46" s="700"/>
      <c r="K46" s="700"/>
      <c r="L46" s="700"/>
      <c r="M46" s="700"/>
      <c r="N46" s="700"/>
      <c r="O46" s="309"/>
      <c r="P46" s="917" t="s">
        <v>116</v>
      </c>
      <c r="Q46" s="917"/>
      <c r="R46" s="310" t="s">
        <v>117</v>
      </c>
      <c r="S46" s="936"/>
      <c r="T46" s="936"/>
      <c r="U46" s="338" t="s">
        <v>143</v>
      </c>
      <c r="V46" s="309"/>
      <c r="W46" s="928">
        <f t="shared" si="2"/>
        <v>0</v>
      </c>
      <c r="X46" s="928"/>
      <c r="Y46" s="928"/>
      <c r="Z46" s="929"/>
      <c r="AB46" s="930">
        <v>0</v>
      </c>
      <c r="AC46" s="931"/>
      <c r="AD46" s="932"/>
      <c r="AF46" s="930">
        <f t="shared" si="3"/>
        <v>0</v>
      </c>
      <c r="AG46" s="931"/>
      <c r="AH46" s="932"/>
      <c r="AM46" s="416"/>
      <c r="AN46" s="930">
        <f t="shared" si="4"/>
        <v>0</v>
      </c>
      <c r="AO46" s="931"/>
      <c r="AP46" s="932"/>
      <c r="AU46" s="416"/>
      <c r="AV46" s="897">
        <f t="shared" si="5"/>
        <v>0</v>
      </c>
      <c r="AW46" s="898"/>
      <c r="AX46" s="899"/>
    </row>
    <row r="47" spans="3:50" s="51" customFormat="1" ht="18" customHeight="1" x14ac:dyDescent="0.15">
      <c r="C47" s="757">
        <v>5450</v>
      </c>
      <c r="D47" s="419"/>
      <c r="E47" s="700"/>
      <c r="F47" s="700"/>
      <c r="G47" s="700"/>
      <c r="H47" s="700"/>
      <c r="I47" s="700"/>
      <c r="J47" s="700"/>
      <c r="K47" s="700"/>
      <c r="L47" s="700"/>
      <c r="M47" s="700"/>
      <c r="N47" s="700"/>
      <c r="O47" s="309"/>
      <c r="P47" s="917" t="s">
        <v>116</v>
      </c>
      <c r="Q47" s="917"/>
      <c r="R47" s="310" t="s">
        <v>117</v>
      </c>
      <c r="S47" s="936"/>
      <c r="T47" s="936"/>
      <c r="U47" s="338" t="s">
        <v>143</v>
      </c>
      <c r="V47" s="309"/>
      <c r="W47" s="928">
        <f t="shared" si="2"/>
        <v>0</v>
      </c>
      <c r="X47" s="928"/>
      <c r="Y47" s="928"/>
      <c r="Z47" s="929"/>
      <c r="AB47" s="930">
        <v>0</v>
      </c>
      <c r="AC47" s="931"/>
      <c r="AD47" s="932"/>
      <c r="AF47" s="930">
        <f t="shared" si="3"/>
        <v>0</v>
      </c>
      <c r="AG47" s="931"/>
      <c r="AH47" s="932"/>
      <c r="AM47" s="416"/>
      <c r="AN47" s="930">
        <f t="shared" si="4"/>
        <v>0</v>
      </c>
      <c r="AO47" s="931"/>
      <c r="AP47" s="932"/>
      <c r="AU47" s="416"/>
      <c r="AV47" s="897">
        <f t="shared" si="5"/>
        <v>0</v>
      </c>
      <c r="AW47" s="898"/>
      <c r="AX47" s="899"/>
    </row>
    <row r="48" spans="3:50" s="51" customFormat="1" ht="18" customHeight="1" x14ac:dyDescent="0.15">
      <c r="C48" s="757">
        <v>5460</v>
      </c>
      <c r="D48" s="419"/>
      <c r="E48" s="700"/>
      <c r="F48" s="700"/>
      <c r="G48" s="700"/>
      <c r="H48" s="700"/>
      <c r="I48" s="700"/>
      <c r="J48" s="700"/>
      <c r="K48" s="700"/>
      <c r="L48" s="700"/>
      <c r="M48" s="700"/>
      <c r="N48" s="700"/>
      <c r="O48" s="309"/>
      <c r="P48" s="917" t="s">
        <v>116</v>
      </c>
      <c r="Q48" s="917"/>
      <c r="R48" s="310" t="s">
        <v>117</v>
      </c>
      <c r="S48" s="936"/>
      <c r="T48" s="936"/>
      <c r="U48" s="338" t="s">
        <v>143</v>
      </c>
      <c r="V48" s="309"/>
      <c r="W48" s="928">
        <f t="shared" si="2"/>
        <v>0</v>
      </c>
      <c r="X48" s="928"/>
      <c r="Y48" s="928"/>
      <c r="Z48" s="929"/>
      <c r="AB48" s="930">
        <v>0</v>
      </c>
      <c r="AC48" s="931"/>
      <c r="AD48" s="932"/>
      <c r="AF48" s="930">
        <f t="shared" si="3"/>
        <v>0</v>
      </c>
      <c r="AG48" s="931"/>
      <c r="AH48" s="932"/>
      <c r="AM48" s="416"/>
      <c r="AN48" s="930">
        <f t="shared" si="4"/>
        <v>0</v>
      </c>
      <c r="AO48" s="931"/>
      <c r="AP48" s="932"/>
      <c r="AU48" s="416"/>
      <c r="AV48" s="897">
        <f t="shared" si="5"/>
        <v>0</v>
      </c>
      <c r="AW48" s="898"/>
      <c r="AX48" s="899"/>
    </row>
    <row r="49" spans="3:50" s="51" customFormat="1" ht="18" customHeight="1" x14ac:dyDescent="0.15">
      <c r="C49" s="757">
        <v>5470</v>
      </c>
      <c r="D49" s="419"/>
      <c r="E49" s="700"/>
      <c r="F49" s="700"/>
      <c r="G49" s="700"/>
      <c r="H49" s="700"/>
      <c r="I49" s="700"/>
      <c r="J49" s="700"/>
      <c r="K49" s="700"/>
      <c r="L49" s="700"/>
      <c r="M49" s="700"/>
      <c r="N49" s="700"/>
      <c r="O49" s="309"/>
      <c r="P49" s="917" t="s">
        <v>116</v>
      </c>
      <c r="Q49" s="917"/>
      <c r="R49" s="310" t="s">
        <v>117</v>
      </c>
      <c r="S49" s="936"/>
      <c r="T49" s="936"/>
      <c r="U49" s="338" t="s">
        <v>143</v>
      </c>
      <c r="V49" s="309"/>
      <c r="W49" s="928">
        <f t="shared" si="2"/>
        <v>0</v>
      </c>
      <c r="X49" s="928"/>
      <c r="Y49" s="928"/>
      <c r="Z49" s="929"/>
      <c r="AB49" s="930">
        <v>0</v>
      </c>
      <c r="AC49" s="931"/>
      <c r="AD49" s="932"/>
      <c r="AF49" s="930">
        <f t="shared" si="3"/>
        <v>0</v>
      </c>
      <c r="AG49" s="931"/>
      <c r="AH49" s="932"/>
      <c r="AM49" s="416"/>
      <c r="AN49" s="930">
        <f t="shared" si="4"/>
        <v>0</v>
      </c>
      <c r="AO49" s="931"/>
      <c r="AP49" s="932"/>
      <c r="AU49" s="416"/>
      <c r="AV49" s="897">
        <f t="shared" si="5"/>
        <v>0</v>
      </c>
      <c r="AW49" s="898"/>
      <c r="AX49" s="899"/>
    </row>
    <row r="50" spans="3:50" s="51" customFormat="1" ht="18" customHeight="1" x14ac:dyDescent="0.15">
      <c r="C50" s="757">
        <v>5480</v>
      </c>
      <c r="D50" s="419"/>
      <c r="E50" s="700"/>
      <c r="F50" s="700"/>
      <c r="G50" s="700"/>
      <c r="H50" s="700"/>
      <c r="I50" s="700"/>
      <c r="J50" s="700"/>
      <c r="K50" s="700"/>
      <c r="L50" s="700"/>
      <c r="M50" s="700"/>
      <c r="N50" s="700"/>
      <c r="O50" s="309"/>
      <c r="P50" s="917" t="s">
        <v>116</v>
      </c>
      <c r="Q50" s="917"/>
      <c r="R50" s="310" t="s">
        <v>117</v>
      </c>
      <c r="S50" s="936"/>
      <c r="T50" s="936"/>
      <c r="U50" s="338" t="s">
        <v>143</v>
      </c>
      <c r="V50" s="309"/>
      <c r="W50" s="928">
        <f t="shared" si="2"/>
        <v>0</v>
      </c>
      <c r="X50" s="928"/>
      <c r="Y50" s="928"/>
      <c r="Z50" s="929"/>
      <c r="AB50" s="930">
        <v>0</v>
      </c>
      <c r="AC50" s="931"/>
      <c r="AD50" s="932"/>
      <c r="AF50" s="930">
        <f t="shared" si="3"/>
        <v>0</v>
      </c>
      <c r="AG50" s="931"/>
      <c r="AH50" s="932"/>
      <c r="AM50" s="416"/>
      <c r="AN50" s="930">
        <f t="shared" si="4"/>
        <v>0</v>
      </c>
      <c r="AO50" s="931"/>
      <c r="AP50" s="932"/>
      <c r="AU50" s="416"/>
      <c r="AV50" s="897">
        <f t="shared" si="5"/>
        <v>0</v>
      </c>
      <c r="AW50" s="898"/>
      <c r="AX50" s="899"/>
    </row>
    <row r="51" spans="3:50" s="51" customFormat="1" ht="18" customHeight="1" x14ac:dyDescent="0.15">
      <c r="C51" s="757">
        <v>5490</v>
      </c>
      <c r="D51" s="419"/>
      <c r="E51" s="700"/>
      <c r="F51" s="700"/>
      <c r="G51" s="700"/>
      <c r="H51" s="700"/>
      <c r="I51" s="700"/>
      <c r="J51" s="700"/>
      <c r="K51" s="700"/>
      <c r="L51" s="700"/>
      <c r="M51" s="700"/>
      <c r="N51" s="700"/>
      <c r="O51" s="309"/>
      <c r="P51" s="917" t="s">
        <v>116</v>
      </c>
      <c r="Q51" s="917"/>
      <c r="R51" s="310" t="s">
        <v>117</v>
      </c>
      <c r="S51" s="936"/>
      <c r="T51" s="936"/>
      <c r="U51" s="338" t="s">
        <v>143</v>
      </c>
      <c r="V51" s="309"/>
      <c r="W51" s="928">
        <f t="shared" si="2"/>
        <v>0</v>
      </c>
      <c r="X51" s="928"/>
      <c r="Y51" s="928"/>
      <c r="Z51" s="929"/>
      <c r="AB51" s="930">
        <v>0</v>
      </c>
      <c r="AC51" s="931"/>
      <c r="AD51" s="932"/>
      <c r="AF51" s="930">
        <f t="shared" si="3"/>
        <v>0</v>
      </c>
      <c r="AG51" s="931"/>
      <c r="AH51" s="932"/>
      <c r="AM51" s="416"/>
      <c r="AN51" s="930">
        <f t="shared" si="4"/>
        <v>0</v>
      </c>
      <c r="AO51" s="931"/>
      <c r="AP51" s="932"/>
      <c r="AU51" s="416"/>
      <c r="AV51" s="897">
        <f t="shared" si="5"/>
        <v>0</v>
      </c>
      <c r="AW51" s="898"/>
      <c r="AX51" s="899"/>
    </row>
    <row r="52" spans="3:50" s="51" customFormat="1" ht="18" customHeight="1" x14ac:dyDescent="0.15">
      <c r="C52" s="757">
        <v>5510</v>
      </c>
      <c r="D52" s="419"/>
      <c r="E52" s="604"/>
      <c r="F52" s="604"/>
      <c r="G52" s="604"/>
      <c r="H52" s="604"/>
      <c r="I52" s="604"/>
      <c r="J52" s="604"/>
      <c r="K52" s="604"/>
      <c r="L52" s="604"/>
      <c r="M52" s="604"/>
      <c r="N52" s="604"/>
      <c r="O52" s="309"/>
      <c r="P52" s="917" t="s">
        <v>490</v>
      </c>
      <c r="Q52" s="917"/>
      <c r="R52" s="310" t="s">
        <v>117</v>
      </c>
      <c r="S52" s="936"/>
      <c r="T52" s="936"/>
      <c r="U52" s="338" t="s">
        <v>143</v>
      </c>
      <c r="V52" s="309"/>
      <c r="W52" s="928">
        <f t="shared" si="2"/>
        <v>0</v>
      </c>
      <c r="X52" s="928"/>
      <c r="Y52" s="928"/>
      <c r="Z52" s="929"/>
      <c r="AB52" s="930">
        <v>0</v>
      </c>
      <c r="AC52" s="931"/>
      <c r="AD52" s="932"/>
      <c r="AF52" s="930">
        <f t="shared" si="3"/>
        <v>0</v>
      </c>
      <c r="AG52" s="931"/>
      <c r="AH52" s="932"/>
      <c r="AM52" s="416"/>
      <c r="AN52" s="930">
        <f t="shared" si="4"/>
        <v>0</v>
      </c>
      <c r="AO52" s="931"/>
      <c r="AP52" s="932"/>
      <c r="AU52" s="416"/>
      <c r="AV52" s="897">
        <f t="shared" si="5"/>
        <v>0</v>
      </c>
      <c r="AW52" s="898"/>
      <c r="AX52" s="899"/>
    </row>
    <row r="53" spans="3:50" s="51" customFormat="1" ht="18" customHeight="1" x14ac:dyDescent="0.15">
      <c r="C53" s="757">
        <v>5520</v>
      </c>
      <c r="D53" s="419"/>
      <c r="E53" s="604"/>
      <c r="F53" s="604"/>
      <c r="G53" s="604"/>
      <c r="H53" s="604"/>
      <c r="I53" s="604"/>
      <c r="J53" s="604"/>
      <c r="K53" s="604"/>
      <c r="L53" s="604"/>
      <c r="M53" s="604"/>
      <c r="N53" s="604"/>
      <c r="O53" s="309"/>
      <c r="P53" s="917" t="s">
        <v>116</v>
      </c>
      <c r="Q53" s="917"/>
      <c r="R53" s="310" t="s">
        <v>117</v>
      </c>
      <c r="S53" s="936"/>
      <c r="T53" s="936"/>
      <c r="U53" s="338" t="s">
        <v>143</v>
      </c>
      <c r="V53" s="309"/>
      <c r="W53" s="928">
        <f t="shared" si="2"/>
        <v>0</v>
      </c>
      <c r="X53" s="928"/>
      <c r="Y53" s="928"/>
      <c r="Z53" s="929"/>
      <c r="AB53" s="930">
        <v>0</v>
      </c>
      <c r="AC53" s="931"/>
      <c r="AD53" s="932"/>
      <c r="AF53" s="930">
        <f t="shared" si="3"/>
        <v>0</v>
      </c>
      <c r="AG53" s="931"/>
      <c r="AH53" s="932"/>
      <c r="AM53" s="416"/>
      <c r="AN53" s="930">
        <f t="shared" si="4"/>
        <v>0</v>
      </c>
      <c r="AO53" s="931"/>
      <c r="AP53" s="932"/>
      <c r="AU53" s="416"/>
      <c r="AV53" s="897">
        <f t="shared" si="5"/>
        <v>0</v>
      </c>
      <c r="AW53" s="898"/>
      <c r="AX53" s="899"/>
    </row>
    <row r="54" spans="3:50" s="51" customFormat="1" ht="18" customHeight="1" x14ac:dyDescent="0.15">
      <c r="C54" s="757">
        <v>5530</v>
      </c>
      <c r="D54" s="419"/>
      <c r="E54" s="604"/>
      <c r="F54" s="604"/>
      <c r="G54" s="604"/>
      <c r="H54" s="604"/>
      <c r="I54" s="604"/>
      <c r="J54" s="604"/>
      <c r="K54" s="604"/>
      <c r="L54" s="604"/>
      <c r="M54" s="604"/>
      <c r="N54" s="604"/>
      <c r="O54" s="309"/>
      <c r="P54" s="917"/>
      <c r="Q54" s="917"/>
      <c r="R54" s="310"/>
      <c r="S54" s="936"/>
      <c r="T54" s="936"/>
      <c r="U54" s="338"/>
      <c r="V54" s="309"/>
      <c r="W54" s="928">
        <f t="shared" si="2"/>
        <v>0</v>
      </c>
      <c r="X54" s="928"/>
      <c r="Y54" s="928"/>
      <c r="Z54" s="929"/>
      <c r="AB54" s="930">
        <v>0</v>
      </c>
      <c r="AC54" s="931"/>
      <c r="AD54" s="932"/>
      <c r="AF54" s="930">
        <f t="shared" si="3"/>
        <v>0</v>
      </c>
      <c r="AG54" s="931"/>
      <c r="AH54" s="932"/>
      <c r="AM54" s="416"/>
      <c r="AN54" s="930">
        <f t="shared" si="4"/>
        <v>0</v>
      </c>
      <c r="AO54" s="931"/>
      <c r="AP54" s="932"/>
      <c r="AU54" s="416"/>
      <c r="AV54" s="897">
        <f t="shared" si="5"/>
        <v>0</v>
      </c>
      <c r="AW54" s="898"/>
      <c r="AX54" s="899"/>
    </row>
    <row r="55" spans="3:50" s="51" customFormat="1" ht="18" customHeight="1" x14ac:dyDescent="0.15">
      <c r="C55" s="757">
        <v>5540</v>
      </c>
      <c r="D55" s="419"/>
      <c r="E55" s="604"/>
      <c r="F55" s="604"/>
      <c r="G55" s="604"/>
      <c r="H55" s="604"/>
      <c r="I55" s="604"/>
      <c r="J55" s="604"/>
      <c r="K55" s="604"/>
      <c r="L55" s="604"/>
      <c r="M55" s="604"/>
      <c r="N55" s="604"/>
      <c r="O55" s="309"/>
      <c r="P55" s="917" t="s">
        <v>116</v>
      </c>
      <c r="Q55" s="917"/>
      <c r="R55" s="310" t="s">
        <v>117</v>
      </c>
      <c r="S55" s="936"/>
      <c r="T55" s="936"/>
      <c r="U55" s="338" t="s">
        <v>143</v>
      </c>
      <c r="V55" s="309"/>
      <c r="W55" s="928">
        <f t="shared" si="2"/>
        <v>0</v>
      </c>
      <c r="X55" s="928"/>
      <c r="Y55" s="928"/>
      <c r="Z55" s="929"/>
      <c r="AB55" s="930">
        <v>0</v>
      </c>
      <c r="AC55" s="931"/>
      <c r="AD55" s="932"/>
      <c r="AF55" s="930">
        <f t="shared" si="3"/>
        <v>0</v>
      </c>
      <c r="AG55" s="931"/>
      <c r="AH55" s="932"/>
      <c r="AM55" s="416"/>
      <c r="AN55" s="930">
        <f t="shared" si="4"/>
        <v>0</v>
      </c>
      <c r="AO55" s="931"/>
      <c r="AP55" s="932"/>
      <c r="AU55" s="416"/>
      <c r="AV55" s="897">
        <f t="shared" si="5"/>
        <v>0</v>
      </c>
      <c r="AW55" s="898"/>
      <c r="AX55" s="899"/>
    </row>
    <row r="56" spans="3:50" s="51" customFormat="1" ht="18" customHeight="1" x14ac:dyDescent="0.15">
      <c r="C56" s="757">
        <v>5550</v>
      </c>
      <c r="D56" s="419"/>
      <c r="E56" s="700"/>
      <c r="F56" s="700"/>
      <c r="G56" s="700"/>
      <c r="H56" s="700"/>
      <c r="I56" s="700"/>
      <c r="J56" s="700"/>
      <c r="K56" s="700"/>
      <c r="L56" s="700"/>
      <c r="M56" s="700"/>
      <c r="N56" s="700"/>
      <c r="O56" s="309"/>
      <c r="P56" s="917"/>
      <c r="Q56" s="917"/>
      <c r="R56" s="310"/>
      <c r="S56" s="936"/>
      <c r="T56" s="936"/>
      <c r="U56" s="338"/>
      <c r="V56" s="309"/>
      <c r="W56" s="928">
        <f t="shared" si="2"/>
        <v>0</v>
      </c>
      <c r="X56" s="928"/>
      <c r="Y56" s="928"/>
      <c r="Z56" s="929"/>
      <c r="AB56" s="930">
        <v>0</v>
      </c>
      <c r="AC56" s="931"/>
      <c r="AD56" s="932"/>
      <c r="AF56" s="930">
        <f t="shared" si="3"/>
        <v>0</v>
      </c>
      <c r="AG56" s="931"/>
      <c r="AH56" s="932"/>
      <c r="AM56" s="416"/>
      <c r="AN56" s="930">
        <f t="shared" si="4"/>
        <v>0</v>
      </c>
      <c r="AO56" s="931"/>
      <c r="AP56" s="932"/>
      <c r="AU56" s="416"/>
      <c r="AV56" s="897">
        <f t="shared" si="5"/>
        <v>0</v>
      </c>
      <c r="AW56" s="898"/>
      <c r="AX56" s="899"/>
    </row>
    <row r="57" spans="3:50" s="51" customFormat="1" ht="18" customHeight="1" x14ac:dyDescent="0.15">
      <c r="C57" s="757">
        <v>5560</v>
      </c>
      <c r="D57" s="419"/>
      <c r="E57" s="700"/>
      <c r="F57" s="700"/>
      <c r="G57" s="700"/>
      <c r="H57" s="700"/>
      <c r="I57" s="700"/>
      <c r="J57" s="700"/>
      <c r="K57" s="700"/>
      <c r="L57" s="700"/>
      <c r="M57" s="700"/>
      <c r="N57" s="700"/>
      <c r="O57" s="309"/>
      <c r="P57" s="917" t="s">
        <v>116</v>
      </c>
      <c r="Q57" s="917"/>
      <c r="R57" s="310" t="s">
        <v>117</v>
      </c>
      <c r="S57" s="936"/>
      <c r="T57" s="936"/>
      <c r="U57" s="338" t="s">
        <v>143</v>
      </c>
      <c r="V57" s="309"/>
      <c r="W57" s="928">
        <f t="shared" si="2"/>
        <v>0</v>
      </c>
      <c r="X57" s="928"/>
      <c r="Y57" s="928"/>
      <c r="Z57" s="929"/>
      <c r="AB57" s="930">
        <v>0</v>
      </c>
      <c r="AC57" s="931"/>
      <c r="AD57" s="932"/>
      <c r="AF57" s="930">
        <f t="shared" si="3"/>
        <v>0</v>
      </c>
      <c r="AG57" s="931"/>
      <c r="AH57" s="932"/>
      <c r="AM57" s="416"/>
      <c r="AN57" s="930">
        <f t="shared" si="4"/>
        <v>0</v>
      </c>
      <c r="AO57" s="931"/>
      <c r="AP57" s="932"/>
      <c r="AU57" s="416"/>
      <c r="AV57" s="897">
        <f t="shared" si="5"/>
        <v>0</v>
      </c>
      <c r="AW57" s="898"/>
      <c r="AX57" s="899"/>
    </row>
    <row r="58" spans="3:50" s="51" customFormat="1" ht="18" customHeight="1" x14ac:dyDescent="0.15">
      <c r="C58" s="757">
        <v>5570</v>
      </c>
      <c r="D58" s="419"/>
      <c r="E58" s="700"/>
      <c r="F58" s="700"/>
      <c r="G58" s="700"/>
      <c r="H58" s="700"/>
      <c r="I58" s="700"/>
      <c r="J58" s="700"/>
      <c r="K58" s="700"/>
      <c r="L58" s="700"/>
      <c r="M58" s="700"/>
      <c r="N58" s="700"/>
      <c r="O58" s="309"/>
      <c r="P58" s="917" t="s">
        <v>116</v>
      </c>
      <c r="Q58" s="917"/>
      <c r="R58" s="310" t="s">
        <v>117</v>
      </c>
      <c r="S58" s="936"/>
      <c r="T58" s="936"/>
      <c r="U58" s="338" t="s">
        <v>143</v>
      </c>
      <c r="V58" s="309"/>
      <c r="W58" s="928">
        <f t="shared" si="2"/>
        <v>0</v>
      </c>
      <c r="X58" s="928"/>
      <c r="Y58" s="928"/>
      <c r="Z58" s="929"/>
      <c r="AB58" s="930">
        <v>0</v>
      </c>
      <c r="AC58" s="931"/>
      <c r="AD58" s="932"/>
      <c r="AF58" s="930">
        <f t="shared" si="3"/>
        <v>0</v>
      </c>
      <c r="AG58" s="931"/>
      <c r="AH58" s="932"/>
      <c r="AM58" s="416"/>
      <c r="AN58" s="930">
        <f t="shared" si="4"/>
        <v>0</v>
      </c>
      <c r="AO58" s="931"/>
      <c r="AP58" s="932"/>
      <c r="AU58" s="416"/>
      <c r="AV58" s="897">
        <f t="shared" si="5"/>
        <v>0</v>
      </c>
      <c r="AW58" s="898"/>
      <c r="AX58" s="899"/>
    </row>
    <row r="59" spans="3:50" s="51" customFormat="1" ht="18" customHeight="1" x14ac:dyDescent="0.15">
      <c r="C59" s="757">
        <v>5580</v>
      </c>
      <c r="D59" s="419"/>
      <c r="E59" s="700"/>
      <c r="F59" s="700"/>
      <c r="G59" s="700"/>
      <c r="H59" s="700"/>
      <c r="I59" s="700"/>
      <c r="J59" s="700"/>
      <c r="K59" s="700"/>
      <c r="L59" s="700"/>
      <c r="M59" s="700"/>
      <c r="N59" s="700"/>
      <c r="O59" s="309"/>
      <c r="P59" s="917"/>
      <c r="Q59" s="917"/>
      <c r="R59" s="345"/>
      <c r="S59" s="936"/>
      <c r="T59" s="936"/>
      <c r="U59" s="338"/>
      <c r="V59" s="309"/>
      <c r="W59" s="928">
        <f t="shared" si="2"/>
        <v>0</v>
      </c>
      <c r="X59" s="928"/>
      <c r="Y59" s="928"/>
      <c r="Z59" s="929"/>
      <c r="AB59" s="930">
        <v>0</v>
      </c>
      <c r="AC59" s="931"/>
      <c r="AD59" s="932"/>
      <c r="AF59" s="930">
        <f t="shared" si="3"/>
        <v>0</v>
      </c>
      <c r="AG59" s="931"/>
      <c r="AH59" s="932"/>
      <c r="AM59" s="416"/>
      <c r="AN59" s="930">
        <f t="shared" si="4"/>
        <v>0</v>
      </c>
      <c r="AO59" s="931"/>
      <c r="AP59" s="932"/>
      <c r="AU59" s="416"/>
      <c r="AV59" s="897">
        <f t="shared" si="5"/>
        <v>0</v>
      </c>
      <c r="AW59" s="898"/>
      <c r="AX59" s="899"/>
    </row>
    <row r="60" spans="3:50" s="51" customFormat="1" ht="18" customHeight="1" x14ac:dyDescent="0.15">
      <c r="C60" s="757">
        <v>5590</v>
      </c>
      <c r="D60" s="419"/>
      <c r="E60" s="700"/>
      <c r="F60" s="700"/>
      <c r="G60" s="700"/>
      <c r="H60" s="700"/>
      <c r="I60" s="700"/>
      <c r="J60" s="700"/>
      <c r="K60" s="700"/>
      <c r="L60" s="700"/>
      <c r="M60" s="700"/>
      <c r="N60" s="700"/>
      <c r="O60" s="309"/>
      <c r="P60" s="917" t="s">
        <v>116</v>
      </c>
      <c r="Q60" s="917"/>
      <c r="R60" s="310" t="s">
        <v>117</v>
      </c>
      <c r="S60" s="936"/>
      <c r="T60" s="936"/>
      <c r="U60" s="338" t="s">
        <v>143</v>
      </c>
      <c r="V60" s="309"/>
      <c r="W60" s="928">
        <f t="shared" si="2"/>
        <v>0</v>
      </c>
      <c r="X60" s="928"/>
      <c r="Y60" s="928"/>
      <c r="Z60" s="929"/>
      <c r="AB60" s="930">
        <v>0</v>
      </c>
      <c r="AC60" s="931"/>
      <c r="AD60" s="932"/>
      <c r="AF60" s="930">
        <f t="shared" si="3"/>
        <v>0</v>
      </c>
      <c r="AG60" s="931"/>
      <c r="AH60" s="932"/>
      <c r="AM60" s="416"/>
      <c r="AN60" s="930">
        <f t="shared" si="4"/>
        <v>0</v>
      </c>
      <c r="AO60" s="931"/>
      <c r="AP60" s="932"/>
      <c r="AU60" s="416"/>
      <c r="AV60" s="897">
        <f t="shared" si="5"/>
        <v>0</v>
      </c>
      <c r="AW60" s="898"/>
      <c r="AX60" s="899"/>
    </row>
    <row r="61" spans="3:50" s="322" customFormat="1" ht="18" customHeight="1" x14ac:dyDescent="0.2">
      <c r="O61" s="779" t="s">
        <v>238</v>
      </c>
      <c r="P61" s="779"/>
      <c r="Q61" s="779"/>
      <c r="R61" s="779"/>
      <c r="S61" s="779"/>
      <c r="T61" s="779"/>
      <c r="U61" s="779"/>
      <c r="V61" s="780"/>
      <c r="W61" s="924">
        <f>SUM(W7:Z60)</f>
        <v>0</v>
      </c>
      <c r="X61" s="925"/>
      <c r="Y61" s="925"/>
      <c r="Z61" s="926"/>
      <c r="AB61" s="956">
        <f>SUM(AB7:AD60)</f>
        <v>0</v>
      </c>
      <c r="AC61" s="957"/>
      <c r="AD61" s="958"/>
      <c r="AF61" s="956">
        <f t="shared" si="3"/>
        <v>0</v>
      </c>
      <c r="AG61" s="957"/>
      <c r="AH61" s="958"/>
      <c r="AK61" s="777" t="s">
        <v>405</v>
      </c>
      <c r="AL61" s="777"/>
      <c r="AM61" s="779"/>
      <c r="AN61" s="924">
        <f>SUM(AN7:AP60)</f>
        <v>0</v>
      </c>
      <c r="AO61" s="925"/>
      <c r="AP61" s="926"/>
      <c r="AS61" s="777" t="s">
        <v>406</v>
      </c>
      <c r="AT61" s="777"/>
      <c r="AU61" s="779"/>
      <c r="AV61" s="924">
        <f>SUM(AV7:AX60)</f>
        <v>0</v>
      </c>
      <c r="AW61" s="925"/>
      <c r="AX61" s="926"/>
    </row>
    <row r="62" spans="3:50" ht="18" customHeight="1" x14ac:dyDescent="0.2">
      <c r="T62" s="39"/>
      <c r="U62" s="72"/>
      <c r="V62" s="72"/>
      <c r="W62" s="72"/>
      <c r="AM62" s="72"/>
      <c r="AU62" s="72"/>
    </row>
    <row r="63" spans="3:50" ht="16.25" customHeight="1" x14ac:dyDescent="0.2"/>
    <row r="64" spans="3:50" ht="16.25" customHeight="1" x14ac:dyDescent="0.2"/>
    <row r="65" ht="16.25" customHeight="1" x14ac:dyDescent="0.2"/>
    <row r="66" ht="16.25" customHeight="1" x14ac:dyDescent="0.2"/>
    <row r="67" ht="16.25" customHeight="1" x14ac:dyDescent="0.2"/>
    <row r="68" ht="16.25" customHeight="1" x14ac:dyDescent="0.2"/>
    <row r="69" ht="16.25" customHeight="1" x14ac:dyDescent="0.2"/>
    <row r="70" ht="16.25" customHeight="1" x14ac:dyDescent="0.2"/>
    <row r="71" ht="16.25" customHeight="1" x14ac:dyDescent="0.2"/>
    <row r="72" ht="16.25" customHeight="1" x14ac:dyDescent="0.2"/>
  </sheetData>
  <sheetProtection selectLockedCells="1"/>
  <mergeCells count="506">
    <mergeCell ref="AN56:AP56"/>
    <mergeCell ref="AV33:AX33"/>
    <mergeCell ref="AV31:AX31"/>
    <mergeCell ref="AV6:AX6"/>
    <mergeCell ref="AV14:AX14"/>
    <mergeCell ref="AV15:AX15"/>
    <mergeCell ref="C40:D40"/>
    <mergeCell ref="AB40:AD40"/>
    <mergeCell ref="AB41:AD41"/>
    <mergeCell ref="AB20:AD20"/>
    <mergeCell ref="AB21:AD21"/>
    <mergeCell ref="AB22:AD22"/>
    <mergeCell ref="AB23:AD23"/>
    <mergeCell ref="AB24:AD24"/>
    <mergeCell ref="AB25:AD25"/>
    <mergeCell ref="AB26:AD26"/>
    <mergeCell ref="AB27:AD27"/>
    <mergeCell ref="E40:N40"/>
    <mergeCell ref="AF40:AH40"/>
    <mergeCell ref="AN40:AP40"/>
    <mergeCell ref="AV40:AX40"/>
    <mergeCell ref="AV56:AX56"/>
    <mergeCell ref="C50:D50"/>
    <mergeCell ref="E50:N50"/>
    <mergeCell ref="AB5:AX5"/>
    <mergeCell ref="AB50:AD50"/>
    <mergeCell ref="AB51:AD51"/>
    <mergeCell ref="AB52:AD52"/>
    <mergeCell ref="AB53:AD53"/>
    <mergeCell ref="AB54:AD54"/>
    <mergeCell ref="AB6:AD6"/>
    <mergeCell ref="AB7:AD7"/>
    <mergeCell ref="AB8:AD8"/>
    <mergeCell ref="AB9:AD9"/>
    <mergeCell ref="AB10:AD10"/>
    <mergeCell ref="AB11:AD11"/>
    <mergeCell ref="AB12:AD12"/>
    <mergeCell ref="AB13:AD13"/>
    <mergeCell ref="AB14:AD14"/>
    <mergeCell ref="AN44:AP44"/>
    <mergeCell ref="AN36:AP36"/>
    <mergeCell ref="AF26:AH26"/>
    <mergeCell ref="AF43:AH43"/>
    <mergeCell ref="AB15:AD15"/>
    <mergeCell ref="AB16:AD16"/>
    <mergeCell ref="AB17:AD17"/>
    <mergeCell ref="AB18:AD18"/>
    <mergeCell ref="AB19:AD19"/>
    <mergeCell ref="AK61:AM61"/>
    <mergeCell ref="AN61:AP61"/>
    <mergeCell ref="AS61:AU61"/>
    <mergeCell ref="AV61:AX61"/>
    <mergeCell ref="AV59:AX59"/>
    <mergeCell ref="C60:D60"/>
    <mergeCell ref="E60:N60"/>
    <mergeCell ref="AF60:AH60"/>
    <mergeCell ref="AN60:AP60"/>
    <mergeCell ref="AV60:AX60"/>
    <mergeCell ref="C59:D59"/>
    <mergeCell ref="E59:N59"/>
    <mergeCell ref="AF59:AH59"/>
    <mergeCell ref="AN59:AP59"/>
    <mergeCell ref="P59:Q59"/>
    <mergeCell ref="S59:T59"/>
    <mergeCell ref="W59:Z59"/>
    <mergeCell ref="AB59:AD59"/>
    <mergeCell ref="AB60:AD60"/>
    <mergeCell ref="AB61:AD61"/>
    <mergeCell ref="P60:Q60"/>
    <mergeCell ref="S60:T60"/>
    <mergeCell ref="W60:Z60"/>
    <mergeCell ref="W61:Z61"/>
    <mergeCell ref="AV57:AX57"/>
    <mergeCell ref="C58:D58"/>
    <mergeCell ref="E58:N58"/>
    <mergeCell ref="AF58:AH58"/>
    <mergeCell ref="AN58:AP58"/>
    <mergeCell ref="AV58:AX58"/>
    <mergeCell ref="C57:D57"/>
    <mergeCell ref="E57:N57"/>
    <mergeCell ref="AF57:AH57"/>
    <mergeCell ref="AN57:AP57"/>
    <mergeCell ref="P58:Q58"/>
    <mergeCell ref="S58:T58"/>
    <mergeCell ref="W58:Z58"/>
    <mergeCell ref="P50:Q50"/>
    <mergeCell ref="C34:D34"/>
    <mergeCell ref="E34:N34"/>
    <mergeCell ref="AF34:AH34"/>
    <mergeCell ref="AN34:AP34"/>
    <mergeCell ref="AV34:AX34"/>
    <mergeCell ref="S50:T50"/>
    <mergeCell ref="W50:Z50"/>
    <mergeCell ref="C41:D41"/>
    <mergeCell ref="E41:N41"/>
    <mergeCell ref="AV42:AX42"/>
    <mergeCell ref="C43:D43"/>
    <mergeCell ref="E43:N43"/>
    <mergeCell ref="AV43:AX43"/>
    <mergeCell ref="C42:D42"/>
    <mergeCell ref="E42:N42"/>
    <mergeCell ref="C39:D39"/>
    <mergeCell ref="E39:N39"/>
    <mergeCell ref="AV39:AX39"/>
    <mergeCell ref="C38:D38"/>
    <mergeCell ref="E38:N38"/>
    <mergeCell ref="C45:D45"/>
    <mergeCell ref="E45:N45"/>
    <mergeCell ref="AF45:AH45"/>
    <mergeCell ref="C33:D33"/>
    <mergeCell ref="E33:N33"/>
    <mergeCell ref="AF33:AH33"/>
    <mergeCell ref="AN33:AP33"/>
    <mergeCell ref="AB33:AD33"/>
    <mergeCell ref="AB34:AD34"/>
    <mergeCell ref="C32:D32"/>
    <mergeCell ref="E32:N32"/>
    <mergeCell ref="AF32:AH32"/>
    <mergeCell ref="AN32:AP32"/>
    <mergeCell ref="S33:T33"/>
    <mergeCell ref="W33:Z33"/>
    <mergeCell ref="P34:Q34"/>
    <mergeCell ref="S34:T34"/>
    <mergeCell ref="W34:Z34"/>
    <mergeCell ref="AV32:AX32"/>
    <mergeCell ref="C31:D31"/>
    <mergeCell ref="E31:N31"/>
    <mergeCell ref="AF31:AH31"/>
    <mergeCell ref="AN31:AP31"/>
    <mergeCell ref="P31:Q31"/>
    <mergeCell ref="S31:T31"/>
    <mergeCell ref="W31:Z31"/>
    <mergeCell ref="P32:Q32"/>
    <mergeCell ref="S32:T32"/>
    <mergeCell ref="W32:Z32"/>
    <mergeCell ref="AB31:AD31"/>
    <mergeCell ref="AB32:AD32"/>
    <mergeCell ref="C30:D30"/>
    <mergeCell ref="E30:N30"/>
    <mergeCell ref="AF30:AH30"/>
    <mergeCell ref="AN30:AP30"/>
    <mergeCell ref="AV30:AX30"/>
    <mergeCell ref="C29:D29"/>
    <mergeCell ref="E29:N29"/>
    <mergeCell ref="AF29:AH29"/>
    <mergeCell ref="AN29:AP29"/>
    <mergeCell ref="P30:Q30"/>
    <mergeCell ref="S30:T30"/>
    <mergeCell ref="W30:Z30"/>
    <mergeCell ref="AB29:AD29"/>
    <mergeCell ref="AB30:AD30"/>
    <mergeCell ref="P29:Q29"/>
    <mergeCell ref="S29:T29"/>
    <mergeCell ref="W29:Z29"/>
    <mergeCell ref="C28:D28"/>
    <mergeCell ref="E28:N28"/>
    <mergeCell ref="AF28:AH28"/>
    <mergeCell ref="AN28:AP28"/>
    <mergeCell ref="AV28:AX28"/>
    <mergeCell ref="C27:D27"/>
    <mergeCell ref="E27:N27"/>
    <mergeCell ref="AF27:AH27"/>
    <mergeCell ref="AN27:AP27"/>
    <mergeCell ref="AB28:AD28"/>
    <mergeCell ref="P28:Q28"/>
    <mergeCell ref="S28:T28"/>
    <mergeCell ref="W28:Z28"/>
    <mergeCell ref="AF25:AH25"/>
    <mergeCell ref="AN25:AP25"/>
    <mergeCell ref="AV25:AX25"/>
    <mergeCell ref="C24:D24"/>
    <mergeCell ref="E24:N24"/>
    <mergeCell ref="AF24:AH24"/>
    <mergeCell ref="AN24:AP24"/>
    <mergeCell ref="P24:Q24"/>
    <mergeCell ref="S24:T24"/>
    <mergeCell ref="W24:Z24"/>
    <mergeCell ref="P25:Q25"/>
    <mergeCell ref="S25:T25"/>
    <mergeCell ref="W25:Z25"/>
    <mergeCell ref="AF23:AH23"/>
    <mergeCell ref="AN23:AP23"/>
    <mergeCell ref="AV23:AX23"/>
    <mergeCell ref="C22:D22"/>
    <mergeCell ref="E22:N22"/>
    <mergeCell ref="AF22:AH22"/>
    <mergeCell ref="AN22:AP22"/>
    <mergeCell ref="P22:Q22"/>
    <mergeCell ref="S22:T22"/>
    <mergeCell ref="W22:Z22"/>
    <mergeCell ref="P23:Q23"/>
    <mergeCell ref="S23:T23"/>
    <mergeCell ref="W23:Z23"/>
    <mergeCell ref="C8:D8"/>
    <mergeCell ref="E8:N8"/>
    <mergeCell ref="AF8:AH8"/>
    <mergeCell ref="AN8:AP8"/>
    <mergeCell ref="AV8:AX8"/>
    <mergeCell ref="C7:D7"/>
    <mergeCell ref="E7:N7"/>
    <mergeCell ref="AF7:AH7"/>
    <mergeCell ref="AJ7:AL7"/>
    <mergeCell ref="P7:Q7"/>
    <mergeCell ref="S7:T7"/>
    <mergeCell ref="W7:Z7"/>
    <mergeCell ref="P8:Q8"/>
    <mergeCell ref="S8:T8"/>
    <mergeCell ref="W8:Z8"/>
    <mergeCell ref="AV7:AX7"/>
    <mergeCell ref="O6:P6"/>
    <mergeCell ref="R6:S6"/>
    <mergeCell ref="X6:Z6"/>
    <mergeCell ref="AF6:AH6"/>
    <mergeCell ref="AJ6:AL6"/>
    <mergeCell ref="AN6:AP6"/>
    <mergeCell ref="AR6:AT6"/>
    <mergeCell ref="AN7:AP7"/>
    <mergeCell ref="AR7:AT7"/>
    <mergeCell ref="AF13:AH13"/>
    <mergeCell ref="AN13:AP13"/>
    <mergeCell ref="AF16:AH16"/>
    <mergeCell ref="AF15:AH15"/>
    <mergeCell ref="AN15:AP15"/>
    <mergeCell ref="P14:Q14"/>
    <mergeCell ref="AF47:AH47"/>
    <mergeCell ref="AN47:AP47"/>
    <mergeCell ref="AF19:AH19"/>
    <mergeCell ref="AN19:AP19"/>
    <mergeCell ref="AF17:AH17"/>
    <mergeCell ref="AN17:AP17"/>
    <mergeCell ref="AF44:AH44"/>
    <mergeCell ref="AF41:AH41"/>
    <mergeCell ref="AN41:AP41"/>
    <mergeCell ref="AN43:AP43"/>
    <mergeCell ref="AF42:AH42"/>
    <mergeCell ref="AN42:AP42"/>
    <mergeCell ref="AF39:AH39"/>
    <mergeCell ref="AN39:AP39"/>
    <mergeCell ref="AF38:AH38"/>
    <mergeCell ref="P38:Q38"/>
    <mergeCell ref="S38:T38"/>
    <mergeCell ref="W38:Z38"/>
    <mergeCell ref="AN45:AP45"/>
    <mergeCell ref="AV45:AX45"/>
    <mergeCell ref="S41:T41"/>
    <mergeCell ref="W41:Z41"/>
    <mergeCell ref="C49:D49"/>
    <mergeCell ref="E49:N49"/>
    <mergeCell ref="AF49:AH49"/>
    <mergeCell ref="AN49:AP49"/>
    <mergeCell ref="AV49:AX49"/>
    <mergeCell ref="C48:D48"/>
    <mergeCell ref="E48:N48"/>
    <mergeCell ref="AF48:AH48"/>
    <mergeCell ref="AN48:AP48"/>
    <mergeCell ref="P49:Q49"/>
    <mergeCell ref="S49:T49"/>
    <mergeCell ref="W49:Z49"/>
    <mergeCell ref="AB49:AD49"/>
    <mergeCell ref="AB48:AD48"/>
    <mergeCell ref="C44:D44"/>
    <mergeCell ref="E44:N44"/>
    <mergeCell ref="AN46:AP46"/>
    <mergeCell ref="C46:D46"/>
    <mergeCell ref="E46:N46"/>
    <mergeCell ref="P46:Q46"/>
    <mergeCell ref="P39:Q39"/>
    <mergeCell ref="S39:T39"/>
    <mergeCell ref="W39:Z39"/>
    <mergeCell ref="AB38:AD38"/>
    <mergeCell ref="AB39:AD39"/>
    <mergeCell ref="C37:D37"/>
    <mergeCell ref="E37:N37"/>
    <mergeCell ref="AN37:AP37"/>
    <mergeCell ref="AV37:AX37"/>
    <mergeCell ref="AF37:AH37"/>
    <mergeCell ref="P37:Q37"/>
    <mergeCell ref="S37:T37"/>
    <mergeCell ref="W37:Z37"/>
    <mergeCell ref="AB37:AD37"/>
    <mergeCell ref="C35:D35"/>
    <mergeCell ref="E35:N35"/>
    <mergeCell ref="AN35:AP35"/>
    <mergeCell ref="AV35:AX35"/>
    <mergeCell ref="AF35:AH35"/>
    <mergeCell ref="AV36:AX36"/>
    <mergeCell ref="C36:D36"/>
    <mergeCell ref="E36:N36"/>
    <mergeCell ref="P36:Q36"/>
    <mergeCell ref="S36:T36"/>
    <mergeCell ref="W36:Z36"/>
    <mergeCell ref="AB35:AD35"/>
    <mergeCell ref="AB36:AD36"/>
    <mergeCell ref="AF36:AH36"/>
    <mergeCell ref="P35:Q35"/>
    <mergeCell ref="S35:T35"/>
    <mergeCell ref="W35:Z35"/>
    <mergeCell ref="AF21:AH21"/>
    <mergeCell ref="AN21:AP21"/>
    <mergeCell ref="AV21:AX21"/>
    <mergeCell ref="C20:D20"/>
    <mergeCell ref="E20:N20"/>
    <mergeCell ref="AF20:AH20"/>
    <mergeCell ref="AN20:AP20"/>
    <mergeCell ref="P20:Q20"/>
    <mergeCell ref="S20:T20"/>
    <mergeCell ref="W20:Z20"/>
    <mergeCell ref="P21:Q21"/>
    <mergeCell ref="S21:T21"/>
    <mergeCell ref="W21:Z21"/>
    <mergeCell ref="AF18:AH18"/>
    <mergeCell ref="AN18:AP18"/>
    <mergeCell ref="P18:Q18"/>
    <mergeCell ref="S18:T18"/>
    <mergeCell ref="W18:Z18"/>
    <mergeCell ref="P19:Q19"/>
    <mergeCell ref="S19:T19"/>
    <mergeCell ref="W19:Z19"/>
    <mergeCell ref="C19:D19"/>
    <mergeCell ref="E19:N19"/>
    <mergeCell ref="AV11:AX11"/>
    <mergeCell ref="AF12:AH12"/>
    <mergeCell ref="C11:D11"/>
    <mergeCell ref="E11:N11"/>
    <mergeCell ref="AF11:AH11"/>
    <mergeCell ref="AN11:AP11"/>
    <mergeCell ref="AV13:AX13"/>
    <mergeCell ref="C14:D14"/>
    <mergeCell ref="E14:N14"/>
    <mergeCell ref="AF14:AH14"/>
    <mergeCell ref="AN14:AP14"/>
    <mergeCell ref="C13:D13"/>
    <mergeCell ref="E13:N13"/>
    <mergeCell ref="S14:T14"/>
    <mergeCell ref="W14:Z14"/>
    <mergeCell ref="AV12:AX12"/>
    <mergeCell ref="P11:Q11"/>
    <mergeCell ref="S11:T11"/>
    <mergeCell ref="W11:Z11"/>
    <mergeCell ref="P12:Q12"/>
    <mergeCell ref="AN12:AP12"/>
    <mergeCell ref="W12:Z12"/>
    <mergeCell ref="P13:Q13"/>
    <mergeCell ref="S13:T13"/>
    <mergeCell ref="AV9:AX9"/>
    <mergeCell ref="C10:D10"/>
    <mergeCell ref="E10:N10"/>
    <mergeCell ref="AF10:AH10"/>
    <mergeCell ref="AN10:AP10"/>
    <mergeCell ref="AV10:AX10"/>
    <mergeCell ref="C9:D9"/>
    <mergeCell ref="E9:N9"/>
    <mergeCell ref="AF9:AH9"/>
    <mergeCell ref="AN9:AP9"/>
    <mergeCell ref="P9:Q9"/>
    <mergeCell ref="S9:T9"/>
    <mergeCell ref="W9:Z9"/>
    <mergeCell ref="P10:Q10"/>
    <mergeCell ref="S10:T10"/>
    <mergeCell ref="W10:Z10"/>
    <mergeCell ref="W13:Z13"/>
    <mergeCell ref="S15:T15"/>
    <mergeCell ref="W15:Z15"/>
    <mergeCell ref="C16:D16"/>
    <mergeCell ref="E16:N16"/>
    <mergeCell ref="P16:Q16"/>
    <mergeCell ref="S16:T16"/>
    <mergeCell ref="W16:Z16"/>
    <mergeCell ref="C12:D12"/>
    <mergeCell ref="E12:N12"/>
    <mergeCell ref="C15:D15"/>
    <mergeCell ref="E15:N15"/>
    <mergeCell ref="P15:Q15"/>
    <mergeCell ref="S12:T12"/>
    <mergeCell ref="P17:Q17"/>
    <mergeCell ref="S17:T17"/>
    <mergeCell ref="W17:Z17"/>
    <mergeCell ref="C17:D17"/>
    <mergeCell ref="E17:N17"/>
    <mergeCell ref="S26:T26"/>
    <mergeCell ref="W26:Z26"/>
    <mergeCell ref="P27:Q27"/>
    <mergeCell ref="S27:T27"/>
    <mergeCell ref="W27:Z27"/>
    <mergeCell ref="C21:D21"/>
    <mergeCell ref="E21:N21"/>
    <mergeCell ref="C23:D23"/>
    <mergeCell ref="E23:N23"/>
    <mergeCell ref="C25:D25"/>
    <mergeCell ref="E25:N25"/>
    <mergeCell ref="C26:D26"/>
    <mergeCell ref="E26:N26"/>
    <mergeCell ref="P26:Q26"/>
    <mergeCell ref="C18:D18"/>
    <mergeCell ref="E18:N18"/>
    <mergeCell ref="S46:T46"/>
    <mergeCell ref="W46:Z46"/>
    <mergeCell ref="P47:Q47"/>
    <mergeCell ref="S47:T47"/>
    <mergeCell ref="W47:Z47"/>
    <mergeCell ref="P48:Q48"/>
    <mergeCell ref="S48:T48"/>
    <mergeCell ref="W48:Z48"/>
    <mergeCell ref="C47:D47"/>
    <mergeCell ref="E47:N47"/>
    <mergeCell ref="C51:D51"/>
    <mergeCell ref="E51:N51"/>
    <mergeCell ref="P51:Q51"/>
    <mergeCell ref="S51:T51"/>
    <mergeCell ref="W51:Z51"/>
    <mergeCell ref="C52:D52"/>
    <mergeCell ref="E52:N52"/>
    <mergeCell ref="P52:Q52"/>
    <mergeCell ref="S52:T52"/>
    <mergeCell ref="W52:Z52"/>
    <mergeCell ref="C53:D53"/>
    <mergeCell ref="E53:N53"/>
    <mergeCell ref="P53:Q53"/>
    <mergeCell ref="S53:T53"/>
    <mergeCell ref="W53:Z53"/>
    <mergeCell ref="C54:D54"/>
    <mergeCell ref="E54:N54"/>
    <mergeCell ref="P54:Q54"/>
    <mergeCell ref="S54:T54"/>
    <mergeCell ref="W54:Z54"/>
    <mergeCell ref="C55:D55"/>
    <mergeCell ref="E55:N55"/>
    <mergeCell ref="P55:Q55"/>
    <mergeCell ref="S55:T55"/>
    <mergeCell ref="W55:Z55"/>
    <mergeCell ref="P56:Q56"/>
    <mergeCell ref="S56:T56"/>
    <mergeCell ref="W56:Z56"/>
    <mergeCell ref="P57:Q57"/>
    <mergeCell ref="S57:T57"/>
    <mergeCell ref="W57:Z57"/>
    <mergeCell ref="C56:D56"/>
    <mergeCell ref="E56:N56"/>
    <mergeCell ref="AF46:AH46"/>
    <mergeCell ref="AF51:AH51"/>
    <mergeCell ref="AF52:AH52"/>
    <mergeCell ref="AF53:AH53"/>
    <mergeCell ref="AF54:AH54"/>
    <mergeCell ref="AF55:AH55"/>
    <mergeCell ref="W40:Z40"/>
    <mergeCell ref="AB58:AD58"/>
    <mergeCell ref="AB42:AD42"/>
    <mergeCell ref="AB43:AD43"/>
    <mergeCell ref="AB44:AD44"/>
    <mergeCell ref="AB45:AD45"/>
    <mergeCell ref="AB46:AD46"/>
    <mergeCell ref="AB47:AD47"/>
    <mergeCell ref="W42:Z42"/>
    <mergeCell ref="AB55:AD55"/>
    <mergeCell ref="AB56:AD56"/>
    <mergeCell ref="AB57:AD57"/>
    <mergeCell ref="AF50:AH50"/>
    <mergeCell ref="AF56:AH56"/>
    <mergeCell ref="P40:Q40"/>
    <mergeCell ref="S40:T40"/>
    <mergeCell ref="P41:Q41"/>
    <mergeCell ref="O61:V61"/>
    <mergeCell ref="AN16:AP16"/>
    <mergeCell ref="AN26:AP26"/>
    <mergeCell ref="AN51:AP51"/>
    <mergeCell ref="AN52:AP52"/>
    <mergeCell ref="AN53:AP53"/>
    <mergeCell ref="AN54:AP54"/>
    <mergeCell ref="AN55:AP55"/>
    <mergeCell ref="AN38:AP38"/>
    <mergeCell ref="AN50:AP50"/>
    <mergeCell ref="AF61:AH61"/>
    <mergeCell ref="P43:Q43"/>
    <mergeCell ref="S43:T43"/>
    <mergeCell ref="W43:Z43"/>
    <mergeCell ref="P44:Q44"/>
    <mergeCell ref="S44:T44"/>
    <mergeCell ref="W44:Z44"/>
    <mergeCell ref="P45:Q45"/>
    <mergeCell ref="S45:T45"/>
    <mergeCell ref="W45:Z45"/>
    <mergeCell ref="P42:Q42"/>
    <mergeCell ref="S42:T42"/>
    <mergeCell ref="P33:Q33"/>
    <mergeCell ref="AV16:AX16"/>
    <mergeCell ref="AV26:AX26"/>
    <mergeCell ref="AV51:AX51"/>
    <mergeCell ref="AV52:AX52"/>
    <mergeCell ref="AV53:AX53"/>
    <mergeCell ref="AV54:AX54"/>
    <mergeCell ref="AV55:AX55"/>
    <mergeCell ref="AV18:AX18"/>
    <mergeCell ref="AV20:AX20"/>
    <mergeCell ref="AV38:AX38"/>
    <mergeCell ref="AV50:AX50"/>
    <mergeCell ref="AV48:AX48"/>
    <mergeCell ref="AV22:AX22"/>
    <mergeCell ref="AV24:AX24"/>
    <mergeCell ref="AV29:AX29"/>
    <mergeCell ref="AV17:AX17"/>
    <mergeCell ref="AV19:AX19"/>
    <mergeCell ref="AV47:AX47"/>
    <mergeCell ref="AV41:AX41"/>
    <mergeCell ref="AV46:AX46"/>
    <mergeCell ref="AV44:AX44"/>
    <mergeCell ref="AV27:AX27"/>
  </mergeCells>
  <pageMargins left="0.7" right="0.7" top="0.75" bottom="0.75" header="0.3" footer="0.3"/>
  <pageSetup scale="70"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4635AC-04EC-4251-9826-66ED8416AC11}">
  <sheetPr codeName="Sheet24">
    <pageSetUpPr fitToPage="1"/>
  </sheetPr>
  <dimension ref="C3:AX62"/>
  <sheetViews>
    <sheetView topLeftCell="A36" zoomScale="110" zoomScaleNormal="110" workbookViewId="0">
      <selection activeCell="V45" sqref="V45:V58"/>
    </sheetView>
  </sheetViews>
  <sheetFormatPr baseColWidth="10" defaultColWidth="11" defaultRowHeight="16" x14ac:dyDescent="0.2"/>
  <cols>
    <col min="1" max="17" width="4.6640625" customWidth="1"/>
    <col min="18" max="19" width="4.6640625" style="75" customWidth="1"/>
    <col min="20" max="38" width="4.6640625" customWidth="1"/>
    <col min="39" max="42" width="4.6640625" style="37" customWidth="1"/>
    <col min="43" max="46" width="4.6640625" customWidth="1"/>
    <col min="47" max="47" width="4.6640625" style="37" customWidth="1"/>
    <col min="48" max="50" width="4.6640625" style="13" customWidth="1"/>
    <col min="51" max="51" width="18.33203125" customWidth="1"/>
  </cols>
  <sheetData>
    <row r="3" spans="3:50" ht="16.25" customHeight="1" x14ac:dyDescent="0.2"/>
    <row r="4" spans="3:50" ht="16.25" customHeight="1" x14ac:dyDescent="0.2"/>
    <row r="5" spans="3:50" s="323" customFormat="1" ht="20" customHeight="1" x14ac:dyDescent="0.2">
      <c r="C5" s="4" t="s">
        <v>217</v>
      </c>
      <c r="D5" s="17" t="s">
        <v>512</v>
      </c>
      <c r="E5" s="5"/>
      <c r="F5" s="349"/>
      <c r="G5" s="349"/>
      <c r="H5" s="349"/>
      <c r="I5" s="349"/>
      <c r="J5" s="349"/>
      <c r="K5" s="349"/>
      <c r="L5" s="349"/>
      <c r="M5" s="349"/>
      <c r="N5" s="349"/>
      <c r="O5" s="349"/>
      <c r="P5" s="349"/>
      <c r="Q5" s="349"/>
      <c r="R5" s="375"/>
      <c r="S5" s="375"/>
      <c r="T5" s="349"/>
      <c r="U5" s="349"/>
      <c r="V5" s="349"/>
      <c r="W5" s="349"/>
      <c r="X5" s="376"/>
      <c r="Y5" s="376"/>
      <c r="Z5" s="355"/>
      <c r="AB5" s="954"/>
      <c r="AC5" s="955"/>
      <c r="AD5" s="955"/>
      <c r="AE5" s="955"/>
      <c r="AF5" s="955"/>
      <c r="AG5" s="955"/>
      <c r="AH5" s="955"/>
      <c r="AI5" s="955"/>
      <c r="AJ5" s="955"/>
      <c r="AK5" s="955"/>
      <c r="AL5" s="955"/>
      <c r="AM5" s="955"/>
      <c r="AN5" s="955"/>
      <c r="AO5" s="955"/>
      <c r="AP5" s="955"/>
      <c r="AQ5" s="955"/>
      <c r="AR5" s="955"/>
      <c r="AS5" s="955"/>
      <c r="AT5" s="955"/>
      <c r="AU5" s="955"/>
      <c r="AV5" s="955"/>
      <c r="AW5" s="955"/>
      <c r="AX5" s="955"/>
    </row>
    <row r="6" spans="3:50" s="110" customFormat="1" ht="16.25" customHeight="1" x14ac:dyDescent="0.15">
      <c r="C6" s="135"/>
      <c r="D6" s="123"/>
      <c r="E6" s="123" t="s">
        <v>384</v>
      </c>
      <c r="F6" s="123"/>
      <c r="G6" s="123"/>
      <c r="H6" s="123"/>
      <c r="I6" s="123"/>
      <c r="J6" s="123"/>
      <c r="K6" s="123"/>
      <c r="L6" s="123"/>
      <c r="M6" s="123"/>
      <c r="N6" s="123"/>
      <c r="O6" s="967"/>
      <c r="P6" s="967"/>
      <c r="Q6" s="967"/>
      <c r="R6" s="967"/>
      <c r="S6" s="968" t="s">
        <v>220</v>
      </c>
      <c r="T6" s="968"/>
      <c r="U6" s="124"/>
      <c r="V6" s="125" t="s">
        <v>400</v>
      </c>
      <c r="W6" s="126"/>
      <c r="X6" s="726" t="s">
        <v>370</v>
      </c>
      <c r="Y6" s="726"/>
      <c r="Z6" s="969"/>
      <c r="AB6" s="950" t="s">
        <v>363</v>
      </c>
      <c r="AC6" s="942"/>
      <c r="AD6" s="943"/>
      <c r="AF6" s="950" t="s">
        <v>447</v>
      </c>
      <c r="AG6" s="942"/>
      <c r="AH6" s="943"/>
      <c r="AJ6" s="970" t="s">
        <v>511</v>
      </c>
      <c r="AK6" s="726"/>
      <c r="AL6" s="969"/>
      <c r="AM6" s="136" t="s">
        <v>290</v>
      </c>
      <c r="AN6" s="970" t="s">
        <v>293</v>
      </c>
      <c r="AO6" s="726"/>
      <c r="AP6" s="969"/>
      <c r="AQ6" s="115"/>
      <c r="AR6" s="970" t="s">
        <v>510</v>
      </c>
      <c r="AS6" s="726"/>
      <c r="AT6" s="969"/>
      <c r="AU6" s="136" t="s">
        <v>291</v>
      </c>
      <c r="AV6" s="970" t="s">
        <v>294</v>
      </c>
      <c r="AW6" s="726"/>
      <c r="AX6" s="969"/>
    </row>
    <row r="7" spans="3:50" s="51" customFormat="1" ht="18" customHeight="1" x14ac:dyDescent="0.15">
      <c r="C7" s="757">
        <v>7010</v>
      </c>
      <c r="D7" s="419"/>
      <c r="E7" s="700" t="s">
        <v>509</v>
      </c>
      <c r="F7" s="700"/>
      <c r="G7" s="700"/>
      <c r="H7" s="700"/>
      <c r="I7" s="700"/>
      <c r="J7" s="700"/>
      <c r="K7" s="700"/>
      <c r="L7" s="700"/>
      <c r="M7" s="700"/>
      <c r="N7" s="700"/>
      <c r="O7" s="309"/>
      <c r="P7" s="917" t="s">
        <v>140</v>
      </c>
      <c r="Q7" s="917"/>
      <c r="R7" s="310" t="s">
        <v>117</v>
      </c>
      <c r="S7" s="918"/>
      <c r="T7" s="918"/>
      <c r="U7" s="311" t="s">
        <v>143</v>
      </c>
      <c r="V7" s="279"/>
      <c r="W7" s="928">
        <f t="shared" ref="W7:W40" si="0">O7*S7*(IF(ISNUMBER(V7),V7,IF(ISNUMBER(O7),1,0)))</f>
        <v>0</v>
      </c>
      <c r="X7" s="928"/>
      <c r="Y7" s="928"/>
      <c r="Z7" s="929"/>
      <c r="AB7" s="930">
        <v>0</v>
      </c>
      <c r="AC7" s="931"/>
      <c r="AD7" s="932"/>
      <c r="AF7" s="930">
        <f>AB7-W7</f>
        <v>0</v>
      </c>
      <c r="AG7" s="931"/>
      <c r="AH7" s="932"/>
      <c r="AJ7" s="755">
        <v>0</v>
      </c>
      <c r="AK7" s="906"/>
      <c r="AL7" s="756"/>
      <c r="AM7" s="406"/>
      <c r="AN7" s="964">
        <f>IF(AM7="X",W7*V_MU,0)</f>
        <v>0</v>
      </c>
      <c r="AO7" s="965"/>
      <c r="AP7" s="966"/>
      <c r="AQ7" s="291"/>
      <c r="AR7" s="907">
        <v>0</v>
      </c>
      <c r="AS7" s="908"/>
      <c r="AT7" s="909"/>
      <c r="AU7" s="406"/>
      <c r="AV7" s="960">
        <f>IF(AU7="X",W7*V_TX,0)</f>
        <v>0</v>
      </c>
      <c r="AW7" s="442"/>
      <c r="AX7" s="443"/>
    </row>
    <row r="8" spans="3:50" s="51" customFormat="1" ht="18" customHeight="1" x14ac:dyDescent="0.15">
      <c r="C8" s="757">
        <v>7020</v>
      </c>
      <c r="D8" s="419"/>
      <c r="E8" s="700" t="s">
        <v>508</v>
      </c>
      <c r="F8" s="700"/>
      <c r="G8" s="700"/>
      <c r="H8" s="700"/>
      <c r="I8" s="700"/>
      <c r="J8" s="700"/>
      <c r="K8" s="700"/>
      <c r="L8" s="700"/>
      <c r="M8" s="700"/>
      <c r="N8" s="700"/>
      <c r="O8" s="309"/>
      <c r="P8" s="917" t="s">
        <v>451</v>
      </c>
      <c r="Q8" s="917"/>
      <c r="R8" s="310" t="s">
        <v>117</v>
      </c>
      <c r="S8" s="918"/>
      <c r="T8" s="918"/>
      <c r="U8" s="311" t="s">
        <v>143</v>
      </c>
      <c r="V8" s="279"/>
      <c r="W8" s="928">
        <f t="shared" si="0"/>
        <v>0</v>
      </c>
      <c r="X8" s="928"/>
      <c r="Y8" s="928"/>
      <c r="Z8" s="929"/>
      <c r="AB8" s="930">
        <v>0</v>
      </c>
      <c r="AC8" s="931"/>
      <c r="AD8" s="932"/>
      <c r="AF8" s="930">
        <f t="shared" ref="AF8:AF41" si="1">AB8-W8</f>
        <v>0</v>
      </c>
      <c r="AG8" s="931"/>
      <c r="AH8" s="932"/>
      <c r="AM8" s="416"/>
      <c r="AN8" s="930">
        <f>IF(AM8="X",W8*T_MU,0)</f>
        <v>0</v>
      </c>
      <c r="AO8" s="931"/>
      <c r="AP8" s="932"/>
      <c r="AU8" s="416"/>
      <c r="AV8" s="897">
        <f>IF(AU8="X",W8*T_TX,0)</f>
        <v>0</v>
      </c>
      <c r="AW8" s="898"/>
      <c r="AX8" s="899"/>
    </row>
    <row r="9" spans="3:50" s="51" customFormat="1" ht="18" customHeight="1" x14ac:dyDescent="0.15">
      <c r="C9" s="757">
        <v>7030</v>
      </c>
      <c r="D9" s="419"/>
      <c r="E9" s="700" t="s">
        <v>507</v>
      </c>
      <c r="F9" s="700"/>
      <c r="G9" s="700"/>
      <c r="H9" s="700"/>
      <c r="I9" s="700"/>
      <c r="J9" s="700"/>
      <c r="K9" s="700"/>
      <c r="L9" s="700"/>
      <c r="M9" s="700"/>
      <c r="N9" s="700"/>
      <c r="O9" s="309"/>
      <c r="P9" s="917" t="s">
        <v>140</v>
      </c>
      <c r="Q9" s="917"/>
      <c r="R9" s="310" t="s">
        <v>117</v>
      </c>
      <c r="S9" s="918"/>
      <c r="T9" s="918"/>
      <c r="U9" s="311" t="s">
        <v>143</v>
      </c>
      <c r="V9" s="279"/>
      <c r="W9" s="928">
        <f t="shared" si="0"/>
        <v>0</v>
      </c>
      <c r="X9" s="928"/>
      <c r="Y9" s="928"/>
      <c r="Z9" s="929"/>
      <c r="AB9" s="930">
        <v>0</v>
      </c>
      <c r="AC9" s="931"/>
      <c r="AD9" s="932"/>
      <c r="AF9" s="930">
        <f t="shared" si="1"/>
        <v>0</v>
      </c>
      <c r="AG9" s="931"/>
      <c r="AH9" s="932"/>
      <c r="AM9" s="416"/>
      <c r="AN9" s="930">
        <f>IF(AM9="X",W9*T_MU,0)</f>
        <v>0</v>
      </c>
      <c r="AO9" s="931"/>
      <c r="AP9" s="932"/>
      <c r="AU9" s="416"/>
      <c r="AV9" s="897">
        <f>IF(AU9="X",W9*T_TX,0)</f>
        <v>0</v>
      </c>
      <c r="AW9" s="898"/>
      <c r="AX9" s="899"/>
    </row>
    <row r="10" spans="3:50" s="51" customFormat="1" ht="18" customHeight="1" x14ac:dyDescent="0.15">
      <c r="C10" s="757">
        <v>7040</v>
      </c>
      <c r="D10" s="419"/>
      <c r="E10" s="700" t="s">
        <v>506</v>
      </c>
      <c r="F10" s="700"/>
      <c r="G10" s="700"/>
      <c r="H10" s="700"/>
      <c r="I10" s="700"/>
      <c r="J10" s="700"/>
      <c r="K10" s="700"/>
      <c r="L10" s="700"/>
      <c r="M10" s="700"/>
      <c r="N10" s="700"/>
      <c r="O10" s="309"/>
      <c r="P10" s="917" t="s">
        <v>448</v>
      </c>
      <c r="Q10" s="917"/>
      <c r="R10" s="310" t="s">
        <v>117</v>
      </c>
      <c r="S10" s="918"/>
      <c r="T10" s="918"/>
      <c r="U10" s="311" t="s">
        <v>143</v>
      </c>
      <c r="V10" s="279"/>
      <c r="W10" s="928">
        <f t="shared" si="0"/>
        <v>0</v>
      </c>
      <c r="X10" s="928"/>
      <c r="Y10" s="928"/>
      <c r="Z10" s="929"/>
      <c r="AB10" s="930">
        <v>0</v>
      </c>
      <c r="AC10" s="931"/>
      <c r="AD10" s="932"/>
      <c r="AF10" s="930">
        <f t="shared" si="1"/>
        <v>0</v>
      </c>
      <c r="AG10" s="931"/>
      <c r="AH10" s="932"/>
      <c r="AM10" s="416"/>
      <c r="AN10" s="930">
        <f>IF(AM10="X",W10*T_MU,0)</f>
        <v>0</v>
      </c>
      <c r="AO10" s="931"/>
      <c r="AP10" s="932"/>
      <c r="AU10" s="416"/>
      <c r="AV10" s="897">
        <f>IF(AU10="X",W10*T_TX,0)</f>
        <v>0</v>
      </c>
      <c r="AW10" s="898"/>
      <c r="AX10" s="899"/>
    </row>
    <row r="11" spans="3:50" s="51" customFormat="1" ht="18" customHeight="1" x14ac:dyDescent="0.15">
      <c r="C11" s="757">
        <v>7050</v>
      </c>
      <c r="D11" s="419"/>
      <c r="E11" s="700" t="s">
        <v>505</v>
      </c>
      <c r="F11" s="700"/>
      <c r="G11" s="700"/>
      <c r="H11" s="700"/>
      <c r="I11" s="700"/>
      <c r="J11" s="700"/>
      <c r="K11" s="700"/>
      <c r="L11" s="700"/>
      <c r="M11" s="700"/>
      <c r="N11" s="700"/>
      <c r="O11" s="309"/>
      <c r="P11" s="917" t="s">
        <v>448</v>
      </c>
      <c r="Q11" s="917"/>
      <c r="R11" s="310" t="s">
        <v>117</v>
      </c>
      <c r="S11" s="918"/>
      <c r="T11" s="918"/>
      <c r="U11" s="311" t="s">
        <v>143</v>
      </c>
      <c r="V11" s="279"/>
      <c r="W11" s="928">
        <f t="shared" si="0"/>
        <v>0</v>
      </c>
      <c r="X11" s="928"/>
      <c r="Y11" s="928"/>
      <c r="Z11" s="929"/>
      <c r="AB11" s="930">
        <v>0</v>
      </c>
      <c r="AC11" s="931"/>
      <c r="AD11" s="932"/>
      <c r="AF11" s="930">
        <f t="shared" si="1"/>
        <v>0</v>
      </c>
      <c r="AG11" s="931"/>
      <c r="AH11" s="932"/>
      <c r="AM11" s="416"/>
      <c r="AN11" s="930">
        <f>IF(AM11="X",W11*T_MU,0)</f>
        <v>0</v>
      </c>
      <c r="AO11" s="931"/>
      <c r="AP11" s="932"/>
      <c r="AU11" s="416"/>
      <c r="AV11" s="897">
        <f>IF(AU11="X",W11*T_TX,0)</f>
        <v>0</v>
      </c>
      <c r="AW11" s="898"/>
      <c r="AX11" s="899"/>
    </row>
    <row r="12" spans="3:50" s="51" customFormat="1" ht="18" customHeight="1" x14ac:dyDescent="0.15">
      <c r="C12" s="757">
        <v>7060</v>
      </c>
      <c r="D12" s="419"/>
      <c r="E12" s="700" t="s">
        <v>504</v>
      </c>
      <c r="F12" s="700"/>
      <c r="G12" s="700"/>
      <c r="H12" s="700"/>
      <c r="I12" s="700"/>
      <c r="J12" s="700"/>
      <c r="K12" s="700"/>
      <c r="L12" s="700"/>
      <c r="M12" s="700"/>
      <c r="N12" s="700"/>
      <c r="O12" s="309"/>
      <c r="P12" s="917" t="s">
        <v>451</v>
      </c>
      <c r="Q12" s="917"/>
      <c r="R12" s="310" t="s">
        <v>117</v>
      </c>
      <c r="S12" s="918"/>
      <c r="T12" s="918"/>
      <c r="U12" s="311" t="s">
        <v>143</v>
      </c>
      <c r="V12" s="279"/>
      <c r="W12" s="928">
        <f t="shared" si="0"/>
        <v>0</v>
      </c>
      <c r="X12" s="928"/>
      <c r="Y12" s="928"/>
      <c r="Z12" s="929"/>
      <c r="AB12" s="930">
        <v>0</v>
      </c>
      <c r="AC12" s="931"/>
      <c r="AD12" s="932"/>
      <c r="AF12" s="930">
        <f t="shared" si="1"/>
        <v>0</v>
      </c>
      <c r="AG12" s="931"/>
      <c r="AH12" s="932"/>
      <c r="AM12" s="416"/>
      <c r="AN12" s="961"/>
      <c r="AO12" s="962"/>
      <c r="AP12" s="963"/>
      <c r="AU12" s="416"/>
      <c r="AV12" s="897"/>
      <c r="AW12" s="898"/>
      <c r="AX12" s="899"/>
    </row>
    <row r="13" spans="3:50" s="51" customFormat="1" ht="18" customHeight="1" x14ac:dyDescent="0.15">
      <c r="C13" s="757">
        <v>7070</v>
      </c>
      <c r="D13" s="419"/>
      <c r="E13" s="700" t="s">
        <v>503</v>
      </c>
      <c r="F13" s="700"/>
      <c r="G13" s="700"/>
      <c r="H13" s="700"/>
      <c r="I13" s="700"/>
      <c r="J13" s="700"/>
      <c r="K13" s="700"/>
      <c r="L13" s="700"/>
      <c r="M13" s="700"/>
      <c r="N13" s="700"/>
      <c r="O13" s="309"/>
      <c r="P13" s="917" t="s">
        <v>448</v>
      </c>
      <c r="Q13" s="917"/>
      <c r="R13" s="310" t="s">
        <v>117</v>
      </c>
      <c r="S13" s="918"/>
      <c r="T13" s="918"/>
      <c r="U13" s="311" t="s">
        <v>143</v>
      </c>
      <c r="V13" s="279"/>
      <c r="W13" s="928">
        <f t="shared" si="0"/>
        <v>0</v>
      </c>
      <c r="X13" s="928"/>
      <c r="Y13" s="928"/>
      <c r="Z13" s="929"/>
      <c r="AB13" s="930">
        <v>0</v>
      </c>
      <c r="AC13" s="931"/>
      <c r="AD13" s="932"/>
      <c r="AF13" s="930">
        <f t="shared" si="1"/>
        <v>0</v>
      </c>
      <c r="AG13" s="931"/>
      <c r="AH13" s="932"/>
      <c r="AM13" s="416"/>
      <c r="AN13" s="930">
        <f t="shared" ref="AN13:AN40" si="2">IF(AM13="X",W13*T_MU,0)</f>
        <v>0</v>
      </c>
      <c r="AO13" s="931"/>
      <c r="AP13" s="932"/>
      <c r="AU13" s="416"/>
      <c r="AV13" s="897">
        <f t="shared" ref="AV13:AV40" si="3">IF(AU13="X",W13*T_TX,0)</f>
        <v>0</v>
      </c>
      <c r="AW13" s="898"/>
      <c r="AX13" s="899"/>
    </row>
    <row r="14" spans="3:50" s="51" customFormat="1" ht="18" customHeight="1" x14ac:dyDescent="0.15">
      <c r="C14" s="757">
        <v>7080</v>
      </c>
      <c r="D14" s="419"/>
      <c r="E14" s="700" t="s">
        <v>502</v>
      </c>
      <c r="F14" s="700"/>
      <c r="G14" s="700"/>
      <c r="H14" s="700"/>
      <c r="I14" s="700"/>
      <c r="J14" s="700"/>
      <c r="K14" s="700"/>
      <c r="L14" s="700"/>
      <c r="M14" s="700"/>
      <c r="N14" s="700"/>
      <c r="O14" s="309"/>
      <c r="P14" s="917" t="s">
        <v>455</v>
      </c>
      <c r="Q14" s="917"/>
      <c r="R14" s="310" t="s">
        <v>117</v>
      </c>
      <c r="S14" s="918"/>
      <c r="T14" s="918"/>
      <c r="U14" s="311" t="s">
        <v>143</v>
      </c>
      <c r="V14" s="279"/>
      <c r="W14" s="928">
        <f t="shared" si="0"/>
        <v>0</v>
      </c>
      <c r="X14" s="928"/>
      <c r="Y14" s="928"/>
      <c r="Z14" s="929"/>
      <c r="AB14" s="930">
        <v>0</v>
      </c>
      <c r="AC14" s="931"/>
      <c r="AD14" s="932"/>
      <c r="AF14" s="930">
        <f t="shared" si="1"/>
        <v>0</v>
      </c>
      <c r="AG14" s="931"/>
      <c r="AH14" s="932"/>
      <c r="AM14" s="416"/>
      <c r="AN14" s="930">
        <f t="shared" si="2"/>
        <v>0</v>
      </c>
      <c r="AO14" s="931"/>
      <c r="AP14" s="932"/>
      <c r="AU14" s="416"/>
      <c r="AV14" s="897">
        <f t="shared" si="3"/>
        <v>0</v>
      </c>
      <c r="AW14" s="898"/>
      <c r="AX14" s="899"/>
    </row>
    <row r="15" spans="3:50" s="51" customFormat="1" ht="18" customHeight="1" x14ac:dyDescent="0.15">
      <c r="C15" s="757">
        <v>7090</v>
      </c>
      <c r="D15" s="419"/>
      <c r="E15" s="700"/>
      <c r="F15" s="700"/>
      <c r="G15" s="700"/>
      <c r="H15" s="700"/>
      <c r="I15" s="700"/>
      <c r="J15" s="700"/>
      <c r="K15" s="700"/>
      <c r="L15" s="700"/>
      <c r="M15" s="700"/>
      <c r="N15" s="700"/>
      <c r="O15" s="309"/>
      <c r="P15" s="917"/>
      <c r="Q15" s="917"/>
      <c r="R15" s="310" t="s">
        <v>117</v>
      </c>
      <c r="S15" s="918"/>
      <c r="T15" s="918"/>
      <c r="U15" s="311" t="s">
        <v>143</v>
      </c>
      <c r="V15" s="279"/>
      <c r="W15" s="928">
        <f t="shared" si="0"/>
        <v>0</v>
      </c>
      <c r="X15" s="928"/>
      <c r="Y15" s="928"/>
      <c r="Z15" s="929"/>
      <c r="AB15" s="930">
        <v>0</v>
      </c>
      <c r="AC15" s="931"/>
      <c r="AD15" s="932"/>
      <c r="AF15" s="930">
        <f t="shared" si="1"/>
        <v>0</v>
      </c>
      <c r="AG15" s="931"/>
      <c r="AH15" s="932"/>
      <c r="AM15" s="416"/>
      <c r="AN15" s="930">
        <f t="shared" si="2"/>
        <v>0</v>
      </c>
      <c r="AO15" s="931"/>
      <c r="AP15" s="932"/>
      <c r="AU15" s="416"/>
      <c r="AV15" s="897">
        <f t="shared" si="3"/>
        <v>0</v>
      </c>
      <c r="AW15" s="898"/>
      <c r="AX15" s="899"/>
    </row>
    <row r="16" spans="3:50" s="51" customFormat="1" ht="18" customHeight="1" x14ac:dyDescent="0.15">
      <c r="C16" s="757">
        <v>7110</v>
      </c>
      <c r="D16" s="419"/>
      <c r="E16" s="700" t="s">
        <v>431</v>
      </c>
      <c r="F16" s="700"/>
      <c r="G16" s="700"/>
      <c r="H16" s="700"/>
      <c r="I16" s="700"/>
      <c r="J16" s="700"/>
      <c r="K16" s="700"/>
      <c r="L16" s="700"/>
      <c r="M16" s="700"/>
      <c r="N16" s="700"/>
      <c r="O16" s="309"/>
      <c r="P16" s="917" t="s">
        <v>451</v>
      </c>
      <c r="Q16" s="917"/>
      <c r="R16" s="310" t="s">
        <v>117</v>
      </c>
      <c r="S16" s="918"/>
      <c r="T16" s="918"/>
      <c r="U16" s="311" t="s">
        <v>143</v>
      </c>
      <c r="V16" s="279"/>
      <c r="W16" s="928">
        <f t="shared" si="0"/>
        <v>0</v>
      </c>
      <c r="X16" s="928"/>
      <c r="Y16" s="928"/>
      <c r="Z16" s="929"/>
      <c r="AB16" s="930">
        <v>0</v>
      </c>
      <c r="AC16" s="931"/>
      <c r="AD16" s="932"/>
      <c r="AF16" s="930">
        <f t="shared" si="1"/>
        <v>0</v>
      </c>
      <c r="AG16" s="931"/>
      <c r="AH16" s="932"/>
      <c r="AM16" s="416"/>
      <c r="AN16" s="930">
        <f t="shared" si="2"/>
        <v>0</v>
      </c>
      <c r="AO16" s="931"/>
      <c r="AP16" s="932"/>
      <c r="AU16" s="416"/>
      <c r="AV16" s="897">
        <f t="shared" si="3"/>
        <v>0</v>
      </c>
      <c r="AW16" s="898"/>
      <c r="AX16" s="899"/>
    </row>
    <row r="17" spans="3:50" s="51" customFormat="1" ht="18" customHeight="1" x14ac:dyDescent="0.15">
      <c r="C17" s="757">
        <v>7120</v>
      </c>
      <c r="D17" s="419"/>
      <c r="E17" s="700" t="s">
        <v>214</v>
      </c>
      <c r="F17" s="700"/>
      <c r="G17" s="700"/>
      <c r="H17" s="700"/>
      <c r="I17" s="700"/>
      <c r="J17" s="700"/>
      <c r="K17" s="700"/>
      <c r="L17" s="700"/>
      <c r="M17" s="700"/>
      <c r="N17" s="700"/>
      <c r="O17" s="309"/>
      <c r="P17" s="917" t="s">
        <v>451</v>
      </c>
      <c r="Q17" s="917"/>
      <c r="R17" s="310" t="s">
        <v>117</v>
      </c>
      <c r="S17" s="918"/>
      <c r="T17" s="918"/>
      <c r="U17" s="311" t="s">
        <v>143</v>
      </c>
      <c r="V17" s="279"/>
      <c r="W17" s="928">
        <f t="shared" si="0"/>
        <v>0</v>
      </c>
      <c r="X17" s="928"/>
      <c r="Y17" s="928"/>
      <c r="Z17" s="929"/>
      <c r="AB17" s="930">
        <v>0</v>
      </c>
      <c r="AC17" s="931"/>
      <c r="AD17" s="932"/>
      <c r="AF17" s="930">
        <f t="shared" si="1"/>
        <v>0</v>
      </c>
      <c r="AG17" s="931"/>
      <c r="AH17" s="932"/>
      <c r="AM17" s="416"/>
      <c r="AN17" s="930">
        <f t="shared" si="2"/>
        <v>0</v>
      </c>
      <c r="AO17" s="931"/>
      <c r="AP17" s="932"/>
      <c r="AU17" s="416"/>
      <c r="AV17" s="897">
        <f t="shared" si="3"/>
        <v>0</v>
      </c>
      <c r="AW17" s="898"/>
      <c r="AX17" s="899"/>
    </row>
    <row r="18" spans="3:50" s="51" customFormat="1" ht="18" customHeight="1" x14ac:dyDescent="0.15">
      <c r="C18" s="757">
        <v>7130</v>
      </c>
      <c r="D18" s="419"/>
      <c r="E18" s="700" t="s">
        <v>211</v>
      </c>
      <c r="F18" s="700"/>
      <c r="G18" s="700"/>
      <c r="H18" s="700"/>
      <c r="I18" s="700"/>
      <c r="J18" s="700"/>
      <c r="K18" s="700"/>
      <c r="L18" s="700"/>
      <c r="M18" s="700"/>
      <c r="N18" s="700"/>
      <c r="O18" s="309"/>
      <c r="P18" s="917" t="s">
        <v>451</v>
      </c>
      <c r="Q18" s="917"/>
      <c r="R18" s="310" t="s">
        <v>117</v>
      </c>
      <c r="S18" s="918"/>
      <c r="T18" s="918"/>
      <c r="U18" s="311" t="s">
        <v>143</v>
      </c>
      <c r="V18" s="279"/>
      <c r="W18" s="928">
        <f t="shared" si="0"/>
        <v>0</v>
      </c>
      <c r="X18" s="928"/>
      <c r="Y18" s="928"/>
      <c r="Z18" s="929"/>
      <c r="AB18" s="930">
        <v>0</v>
      </c>
      <c r="AC18" s="931"/>
      <c r="AD18" s="932"/>
      <c r="AF18" s="930">
        <f t="shared" si="1"/>
        <v>0</v>
      </c>
      <c r="AG18" s="931"/>
      <c r="AH18" s="932"/>
      <c r="AM18" s="416"/>
      <c r="AN18" s="930">
        <f t="shared" si="2"/>
        <v>0</v>
      </c>
      <c r="AO18" s="931"/>
      <c r="AP18" s="932"/>
      <c r="AU18" s="416"/>
      <c r="AV18" s="897">
        <f t="shared" si="3"/>
        <v>0</v>
      </c>
      <c r="AW18" s="898"/>
      <c r="AX18" s="899"/>
    </row>
    <row r="19" spans="3:50" s="51" customFormat="1" ht="18" customHeight="1" x14ac:dyDescent="0.15">
      <c r="C19" s="757">
        <v>7140</v>
      </c>
      <c r="D19" s="419"/>
      <c r="E19" s="700" t="s">
        <v>212</v>
      </c>
      <c r="F19" s="700"/>
      <c r="G19" s="700"/>
      <c r="H19" s="700"/>
      <c r="I19" s="700"/>
      <c r="J19" s="700"/>
      <c r="K19" s="700"/>
      <c r="L19" s="700"/>
      <c r="M19" s="700"/>
      <c r="N19" s="700"/>
      <c r="O19" s="309"/>
      <c r="P19" s="917" t="s">
        <v>451</v>
      </c>
      <c r="Q19" s="917"/>
      <c r="R19" s="310" t="s">
        <v>117</v>
      </c>
      <c r="S19" s="918"/>
      <c r="T19" s="918"/>
      <c r="U19" s="311" t="s">
        <v>143</v>
      </c>
      <c r="V19" s="279"/>
      <c r="W19" s="928">
        <f t="shared" si="0"/>
        <v>0</v>
      </c>
      <c r="X19" s="928"/>
      <c r="Y19" s="928"/>
      <c r="Z19" s="929"/>
      <c r="AB19" s="930">
        <v>0</v>
      </c>
      <c r="AC19" s="931"/>
      <c r="AD19" s="932"/>
      <c r="AF19" s="930">
        <f t="shared" si="1"/>
        <v>0</v>
      </c>
      <c r="AG19" s="931"/>
      <c r="AH19" s="932"/>
      <c r="AM19" s="416"/>
      <c r="AN19" s="930">
        <f t="shared" si="2"/>
        <v>0</v>
      </c>
      <c r="AO19" s="931"/>
      <c r="AP19" s="932"/>
      <c r="AU19" s="416"/>
      <c r="AV19" s="897">
        <f t="shared" si="3"/>
        <v>0</v>
      </c>
      <c r="AW19" s="898"/>
      <c r="AX19" s="899"/>
    </row>
    <row r="20" spans="3:50" s="51" customFormat="1" ht="18" customHeight="1" x14ac:dyDescent="0.15">
      <c r="C20" s="757">
        <v>7150</v>
      </c>
      <c r="D20" s="419"/>
      <c r="E20" s="700" t="s">
        <v>204</v>
      </c>
      <c r="F20" s="700"/>
      <c r="G20" s="700"/>
      <c r="H20" s="700"/>
      <c r="I20" s="700"/>
      <c r="J20" s="700"/>
      <c r="K20" s="700"/>
      <c r="L20" s="700"/>
      <c r="M20" s="700"/>
      <c r="N20" s="700"/>
      <c r="O20" s="309"/>
      <c r="P20" s="917" t="s">
        <v>451</v>
      </c>
      <c r="Q20" s="917"/>
      <c r="R20" s="310" t="s">
        <v>117</v>
      </c>
      <c r="S20" s="918"/>
      <c r="T20" s="918"/>
      <c r="U20" s="311" t="s">
        <v>143</v>
      </c>
      <c r="V20" s="279"/>
      <c r="W20" s="928">
        <f t="shared" si="0"/>
        <v>0</v>
      </c>
      <c r="X20" s="928"/>
      <c r="Y20" s="928"/>
      <c r="Z20" s="929"/>
      <c r="AB20" s="930">
        <v>0</v>
      </c>
      <c r="AC20" s="931"/>
      <c r="AD20" s="932"/>
      <c r="AF20" s="930">
        <f t="shared" si="1"/>
        <v>0</v>
      </c>
      <c r="AG20" s="931"/>
      <c r="AH20" s="932"/>
      <c r="AM20" s="416"/>
      <c r="AN20" s="930">
        <f t="shared" si="2"/>
        <v>0</v>
      </c>
      <c r="AO20" s="931"/>
      <c r="AP20" s="932"/>
      <c r="AU20" s="416"/>
      <c r="AV20" s="897">
        <f t="shared" si="3"/>
        <v>0</v>
      </c>
      <c r="AW20" s="898"/>
      <c r="AX20" s="899"/>
    </row>
    <row r="21" spans="3:50" s="51" customFormat="1" ht="18" customHeight="1" x14ac:dyDescent="0.15">
      <c r="C21" s="757">
        <v>7160</v>
      </c>
      <c r="D21" s="419"/>
      <c r="E21" s="700"/>
      <c r="F21" s="700"/>
      <c r="G21" s="700"/>
      <c r="H21" s="700"/>
      <c r="I21" s="700"/>
      <c r="J21" s="700"/>
      <c r="K21" s="700"/>
      <c r="L21" s="700"/>
      <c r="M21" s="700"/>
      <c r="N21" s="700"/>
      <c r="O21" s="309"/>
      <c r="P21" s="917"/>
      <c r="Q21" s="917"/>
      <c r="R21" s="310" t="s">
        <v>117</v>
      </c>
      <c r="S21" s="918"/>
      <c r="T21" s="918"/>
      <c r="U21" s="311" t="s">
        <v>143</v>
      </c>
      <c r="V21" s="279"/>
      <c r="W21" s="928">
        <f t="shared" si="0"/>
        <v>0</v>
      </c>
      <c r="X21" s="928"/>
      <c r="Y21" s="928"/>
      <c r="Z21" s="929"/>
      <c r="AB21" s="930">
        <v>0</v>
      </c>
      <c r="AC21" s="931"/>
      <c r="AD21" s="932"/>
      <c r="AF21" s="930">
        <f t="shared" si="1"/>
        <v>0</v>
      </c>
      <c r="AG21" s="931"/>
      <c r="AH21" s="932"/>
      <c r="AM21" s="416"/>
      <c r="AN21" s="930">
        <f t="shared" si="2"/>
        <v>0</v>
      </c>
      <c r="AO21" s="931"/>
      <c r="AP21" s="932"/>
      <c r="AU21" s="416"/>
      <c r="AV21" s="897">
        <f t="shared" si="3"/>
        <v>0</v>
      </c>
      <c r="AW21" s="898"/>
      <c r="AX21" s="899"/>
    </row>
    <row r="22" spans="3:50" s="51" customFormat="1" ht="18" customHeight="1" x14ac:dyDescent="0.15">
      <c r="C22" s="757">
        <v>7170</v>
      </c>
      <c r="D22" s="419"/>
      <c r="E22" s="700"/>
      <c r="F22" s="700"/>
      <c r="G22" s="700"/>
      <c r="H22" s="700"/>
      <c r="I22" s="700"/>
      <c r="J22" s="700"/>
      <c r="K22" s="700"/>
      <c r="L22" s="700"/>
      <c r="M22" s="700"/>
      <c r="N22" s="700"/>
      <c r="O22" s="309"/>
      <c r="P22" s="917"/>
      <c r="Q22" s="917"/>
      <c r="R22" s="310" t="s">
        <v>117</v>
      </c>
      <c r="S22" s="918"/>
      <c r="T22" s="918"/>
      <c r="U22" s="311" t="s">
        <v>143</v>
      </c>
      <c r="V22" s="279"/>
      <c r="W22" s="928">
        <f t="shared" si="0"/>
        <v>0</v>
      </c>
      <c r="X22" s="928"/>
      <c r="Y22" s="928"/>
      <c r="Z22" s="929"/>
      <c r="AB22" s="930">
        <v>0</v>
      </c>
      <c r="AC22" s="931"/>
      <c r="AD22" s="932"/>
      <c r="AF22" s="930">
        <f t="shared" si="1"/>
        <v>0</v>
      </c>
      <c r="AG22" s="931"/>
      <c r="AH22" s="932"/>
      <c r="AM22" s="416"/>
      <c r="AN22" s="930">
        <f t="shared" si="2"/>
        <v>0</v>
      </c>
      <c r="AO22" s="931"/>
      <c r="AP22" s="932"/>
      <c r="AU22" s="416"/>
      <c r="AV22" s="897">
        <f t="shared" si="3"/>
        <v>0</v>
      </c>
      <c r="AW22" s="898"/>
      <c r="AX22" s="899"/>
    </row>
    <row r="23" spans="3:50" s="51" customFormat="1" ht="18" customHeight="1" x14ac:dyDescent="0.15">
      <c r="C23" s="757">
        <v>7180</v>
      </c>
      <c r="D23" s="419"/>
      <c r="E23" s="700"/>
      <c r="F23" s="700"/>
      <c r="G23" s="700"/>
      <c r="H23" s="700"/>
      <c r="I23" s="700"/>
      <c r="J23" s="700"/>
      <c r="K23" s="700"/>
      <c r="L23" s="700"/>
      <c r="M23" s="700"/>
      <c r="N23" s="700"/>
      <c r="O23" s="309"/>
      <c r="P23" s="917"/>
      <c r="Q23" s="917"/>
      <c r="R23" s="310" t="s">
        <v>117</v>
      </c>
      <c r="S23" s="918"/>
      <c r="T23" s="918"/>
      <c r="U23" s="311" t="s">
        <v>143</v>
      </c>
      <c r="V23" s="279"/>
      <c r="W23" s="928">
        <f t="shared" si="0"/>
        <v>0</v>
      </c>
      <c r="X23" s="928"/>
      <c r="Y23" s="928"/>
      <c r="Z23" s="929"/>
      <c r="AB23" s="930">
        <v>0</v>
      </c>
      <c r="AC23" s="931"/>
      <c r="AD23" s="932"/>
      <c r="AF23" s="930">
        <f t="shared" si="1"/>
        <v>0</v>
      </c>
      <c r="AG23" s="931"/>
      <c r="AH23" s="932"/>
      <c r="AM23" s="416"/>
      <c r="AN23" s="930">
        <f t="shared" si="2"/>
        <v>0</v>
      </c>
      <c r="AO23" s="931"/>
      <c r="AP23" s="932"/>
      <c r="AU23" s="416"/>
      <c r="AV23" s="897">
        <f t="shared" si="3"/>
        <v>0</v>
      </c>
      <c r="AW23" s="898"/>
      <c r="AX23" s="899"/>
    </row>
    <row r="24" spans="3:50" s="51" customFormat="1" ht="18" customHeight="1" x14ac:dyDescent="0.15">
      <c r="C24" s="757">
        <v>7190</v>
      </c>
      <c r="D24" s="419"/>
      <c r="E24" s="700"/>
      <c r="F24" s="700"/>
      <c r="G24" s="700"/>
      <c r="H24" s="700"/>
      <c r="I24" s="700"/>
      <c r="J24" s="700"/>
      <c r="K24" s="700"/>
      <c r="L24" s="700"/>
      <c r="M24" s="700"/>
      <c r="N24" s="700"/>
      <c r="O24" s="309"/>
      <c r="P24" s="917"/>
      <c r="Q24" s="917"/>
      <c r="R24" s="310" t="s">
        <v>117</v>
      </c>
      <c r="S24" s="918"/>
      <c r="T24" s="918"/>
      <c r="U24" s="311" t="s">
        <v>143</v>
      </c>
      <c r="V24" s="279"/>
      <c r="W24" s="928">
        <f t="shared" si="0"/>
        <v>0</v>
      </c>
      <c r="X24" s="928"/>
      <c r="Y24" s="928"/>
      <c r="Z24" s="929"/>
      <c r="AB24" s="930">
        <v>0</v>
      </c>
      <c r="AC24" s="931"/>
      <c r="AD24" s="932"/>
      <c r="AF24" s="930">
        <f t="shared" si="1"/>
        <v>0</v>
      </c>
      <c r="AG24" s="931"/>
      <c r="AH24" s="932"/>
      <c r="AM24" s="416"/>
      <c r="AN24" s="930">
        <f t="shared" si="2"/>
        <v>0</v>
      </c>
      <c r="AO24" s="931"/>
      <c r="AP24" s="932"/>
      <c r="AU24" s="416"/>
      <c r="AV24" s="897">
        <f t="shared" si="3"/>
        <v>0</v>
      </c>
      <c r="AW24" s="898"/>
      <c r="AX24" s="899"/>
    </row>
    <row r="25" spans="3:50" s="51" customFormat="1" ht="18" customHeight="1" x14ac:dyDescent="0.15">
      <c r="C25" s="757">
        <v>7210</v>
      </c>
      <c r="D25" s="419"/>
      <c r="E25" s="700" t="s">
        <v>459</v>
      </c>
      <c r="F25" s="700"/>
      <c r="G25" s="700"/>
      <c r="H25" s="700"/>
      <c r="I25" s="700"/>
      <c r="J25" s="700"/>
      <c r="K25" s="700"/>
      <c r="L25" s="700"/>
      <c r="M25" s="700"/>
      <c r="N25" s="700"/>
      <c r="O25" s="309"/>
      <c r="P25" s="917" t="s">
        <v>140</v>
      </c>
      <c r="Q25" s="917"/>
      <c r="R25" s="310" t="s">
        <v>117</v>
      </c>
      <c r="S25" s="918"/>
      <c r="T25" s="918"/>
      <c r="U25" s="311" t="s">
        <v>143</v>
      </c>
      <c r="V25" s="279"/>
      <c r="W25" s="928">
        <f t="shared" si="0"/>
        <v>0</v>
      </c>
      <c r="X25" s="928"/>
      <c r="Y25" s="928"/>
      <c r="Z25" s="929"/>
      <c r="AB25" s="930">
        <v>0</v>
      </c>
      <c r="AC25" s="931"/>
      <c r="AD25" s="932"/>
      <c r="AF25" s="930">
        <f t="shared" si="1"/>
        <v>0</v>
      </c>
      <c r="AG25" s="931"/>
      <c r="AH25" s="932"/>
      <c r="AM25" s="416"/>
      <c r="AN25" s="930">
        <f t="shared" si="2"/>
        <v>0</v>
      </c>
      <c r="AO25" s="931"/>
      <c r="AP25" s="932"/>
      <c r="AU25" s="416"/>
      <c r="AV25" s="897">
        <f t="shared" si="3"/>
        <v>0</v>
      </c>
      <c r="AW25" s="898"/>
      <c r="AX25" s="899"/>
    </row>
    <row r="26" spans="3:50" s="51" customFormat="1" ht="18" customHeight="1" x14ac:dyDescent="0.15">
      <c r="C26" s="757">
        <v>7220</v>
      </c>
      <c r="D26" s="419"/>
      <c r="E26" s="700" t="s">
        <v>460</v>
      </c>
      <c r="F26" s="700"/>
      <c r="G26" s="700"/>
      <c r="H26" s="700"/>
      <c r="I26" s="700"/>
      <c r="J26" s="700"/>
      <c r="K26" s="700"/>
      <c r="L26" s="700"/>
      <c r="M26" s="700"/>
      <c r="N26" s="700"/>
      <c r="O26" s="309"/>
      <c r="P26" s="917" t="s">
        <v>140</v>
      </c>
      <c r="Q26" s="917"/>
      <c r="R26" s="310" t="s">
        <v>117</v>
      </c>
      <c r="S26" s="918"/>
      <c r="T26" s="918"/>
      <c r="U26" s="311" t="s">
        <v>143</v>
      </c>
      <c r="V26" s="279"/>
      <c r="W26" s="928">
        <f t="shared" si="0"/>
        <v>0</v>
      </c>
      <c r="X26" s="928"/>
      <c r="Y26" s="928"/>
      <c r="Z26" s="929"/>
      <c r="AB26" s="930">
        <v>0</v>
      </c>
      <c r="AC26" s="931"/>
      <c r="AD26" s="932"/>
      <c r="AF26" s="930">
        <f t="shared" si="1"/>
        <v>0</v>
      </c>
      <c r="AG26" s="931"/>
      <c r="AH26" s="932"/>
      <c r="AM26" s="416"/>
      <c r="AN26" s="930">
        <f t="shared" si="2"/>
        <v>0</v>
      </c>
      <c r="AO26" s="931"/>
      <c r="AP26" s="932"/>
      <c r="AU26" s="416"/>
      <c r="AV26" s="897">
        <f t="shared" si="3"/>
        <v>0</v>
      </c>
      <c r="AW26" s="898"/>
      <c r="AX26" s="899"/>
    </row>
    <row r="27" spans="3:50" s="51" customFormat="1" ht="18" customHeight="1" x14ac:dyDescent="0.15">
      <c r="C27" s="757">
        <v>7230</v>
      </c>
      <c r="D27" s="419"/>
      <c r="E27" s="700" t="s">
        <v>461</v>
      </c>
      <c r="F27" s="700"/>
      <c r="G27" s="700"/>
      <c r="H27" s="700"/>
      <c r="I27" s="700"/>
      <c r="J27" s="700"/>
      <c r="K27" s="700"/>
      <c r="L27" s="700"/>
      <c r="M27" s="700"/>
      <c r="N27" s="700"/>
      <c r="O27" s="309"/>
      <c r="P27" s="917" t="s">
        <v>116</v>
      </c>
      <c r="Q27" s="917"/>
      <c r="R27" s="310" t="s">
        <v>117</v>
      </c>
      <c r="S27" s="918"/>
      <c r="T27" s="918"/>
      <c r="U27" s="311" t="s">
        <v>143</v>
      </c>
      <c r="V27" s="279"/>
      <c r="W27" s="928">
        <f t="shared" si="0"/>
        <v>0</v>
      </c>
      <c r="X27" s="928"/>
      <c r="Y27" s="928"/>
      <c r="Z27" s="929"/>
      <c r="AB27" s="930">
        <v>0</v>
      </c>
      <c r="AC27" s="931"/>
      <c r="AD27" s="932"/>
      <c r="AF27" s="930">
        <f t="shared" si="1"/>
        <v>0</v>
      </c>
      <c r="AG27" s="931"/>
      <c r="AH27" s="932"/>
      <c r="AM27" s="416"/>
      <c r="AN27" s="930">
        <f t="shared" si="2"/>
        <v>0</v>
      </c>
      <c r="AO27" s="931"/>
      <c r="AP27" s="932"/>
      <c r="AU27" s="416"/>
      <c r="AV27" s="897">
        <f t="shared" si="3"/>
        <v>0</v>
      </c>
      <c r="AW27" s="898"/>
      <c r="AX27" s="899"/>
    </row>
    <row r="28" spans="3:50" s="51" customFormat="1" ht="18" customHeight="1" x14ac:dyDescent="0.15">
      <c r="C28" s="757">
        <v>7240</v>
      </c>
      <c r="D28" s="419"/>
      <c r="E28" s="700" t="s">
        <v>462</v>
      </c>
      <c r="F28" s="700"/>
      <c r="G28" s="700"/>
      <c r="H28" s="700"/>
      <c r="I28" s="700"/>
      <c r="J28" s="700"/>
      <c r="K28" s="700"/>
      <c r="L28" s="700"/>
      <c r="M28" s="700"/>
      <c r="N28" s="700"/>
      <c r="O28" s="309"/>
      <c r="P28" s="917" t="s">
        <v>451</v>
      </c>
      <c r="Q28" s="917"/>
      <c r="R28" s="310" t="s">
        <v>117</v>
      </c>
      <c r="S28" s="918"/>
      <c r="T28" s="918"/>
      <c r="U28" s="311" t="s">
        <v>143</v>
      </c>
      <c r="V28" s="279"/>
      <c r="W28" s="928">
        <f t="shared" si="0"/>
        <v>0</v>
      </c>
      <c r="X28" s="928"/>
      <c r="Y28" s="928"/>
      <c r="Z28" s="929"/>
      <c r="AB28" s="930">
        <v>0</v>
      </c>
      <c r="AC28" s="931"/>
      <c r="AD28" s="932"/>
      <c r="AF28" s="930">
        <f t="shared" si="1"/>
        <v>0</v>
      </c>
      <c r="AG28" s="931"/>
      <c r="AH28" s="932"/>
      <c r="AM28" s="416"/>
      <c r="AN28" s="930">
        <f t="shared" si="2"/>
        <v>0</v>
      </c>
      <c r="AO28" s="931"/>
      <c r="AP28" s="932"/>
      <c r="AU28" s="416"/>
      <c r="AV28" s="897">
        <f t="shared" si="3"/>
        <v>0</v>
      </c>
      <c r="AW28" s="898"/>
      <c r="AX28" s="899"/>
    </row>
    <row r="29" spans="3:50" s="51" customFormat="1" ht="18" customHeight="1" x14ac:dyDescent="0.15">
      <c r="C29" s="757">
        <v>7250</v>
      </c>
      <c r="D29" s="419"/>
      <c r="E29" s="700" t="s">
        <v>463</v>
      </c>
      <c r="F29" s="700"/>
      <c r="G29" s="700"/>
      <c r="H29" s="700"/>
      <c r="I29" s="700"/>
      <c r="J29" s="700"/>
      <c r="K29" s="700"/>
      <c r="L29" s="700"/>
      <c r="M29" s="700"/>
      <c r="N29" s="700"/>
      <c r="O29" s="309"/>
      <c r="P29" s="917" t="s">
        <v>451</v>
      </c>
      <c r="Q29" s="917"/>
      <c r="R29" s="310" t="s">
        <v>117</v>
      </c>
      <c r="S29" s="918"/>
      <c r="T29" s="918"/>
      <c r="U29" s="311" t="s">
        <v>143</v>
      </c>
      <c r="V29" s="279"/>
      <c r="W29" s="928">
        <f t="shared" si="0"/>
        <v>0</v>
      </c>
      <c r="X29" s="928"/>
      <c r="Y29" s="928"/>
      <c r="Z29" s="929"/>
      <c r="AB29" s="930">
        <v>0</v>
      </c>
      <c r="AC29" s="931"/>
      <c r="AD29" s="932"/>
      <c r="AF29" s="930">
        <f t="shared" si="1"/>
        <v>0</v>
      </c>
      <c r="AG29" s="931"/>
      <c r="AH29" s="932"/>
      <c r="AM29" s="416"/>
      <c r="AN29" s="930">
        <f t="shared" si="2"/>
        <v>0</v>
      </c>
      <c r="AO29" s="931"/>
      <c r="AP29" s="932"/>
      <c r="AU29" s="416"/>
      <c r="AV29" s="897">
        <f t="shared" si="3"/>
        <v>0</v>
      </c>
      <c r="AW29" s="898"/>
      <c r="AX29" s="899"/>
    </row>
    <row r="30" spans="3:50" s="51" customFormat="1" ht="18" customHeight="1" x14ac:dyDescent="0.15">
      <c r="C30" s="757">
        <v>7260</v>
      </c>
      <c r="D30" s="419"/>
      <c r="E30" s="700"/>
      <c r="F30" s="700"/>
      <c r="G30" s="700"/>
      <c r="H30" s="700"/>
      <c r="I30" s="700"/>
      <c r="J30" s="700"/>
      <c r="K30" s="700"/>
      <c r="L30" s="700"/>
      <c r="M30" s="700"/>
      <c r="N30" s="700"/>
      <c r="O30" s="309"/>
      <c r="P30" s="917"/>
      <c r="Q30" s="917"/>
      <c r="R30" s="310" t="s">
        <v>117</v>
      </c>
      <c r="S30" s="918"/>
      <c r="T30" s="918"/>
      <c r="U30" s="311" t="s">
        <v>143</v>
      </c>
      <c r="V30" s="279"/>
      <c r="W30" s="928">
        <f t="shared" si="0"/>
        <v>0</v>
      </c>
      <c r="X30" s="928"/>
      <c r="Y30" s="928"/>
      <c r="Z30" s="929"/>
      <c r="AB30" s="930">
        <v>0</v>
      </c>
      <c r="AC30" s="931"/>
      <c r="AD30" s="932"/>
      <c r="AF30" s="930">
        <f t="shared" si="1"/>
        <v>0</v>
      </c>
      <c r="AG30" s="931"/>
      <c r="AH30" s="932"/>
      <c r="AM30" s="416"/>
      <c r="AN30" s="930">
        <f t="shared" si="2"/>
        <v>0</v>
      </c>
      <c r="AO30" s="931"/>
      <c r="AP30" s="932"/>
      <c r="AU30" s="416"/>
      <c r="AV30" s="897">
        <f t="shared" si="3"/>
        <v>0</v>
      </c>
      <c r="AW30" s="898"/>
      <c r="AX30" s="899"/>
    </row>
    <row r="31" spans="3:50" s="51" customFormat="1" ht="18" customHeight="1" x14ac:dyDescent="0.15">
      <c r="C31" s="757">
        <v>7270</v>
      </c>
      <c r="D31" s="419"/>
      <c r="E31" s="700"/>
      <c r="F31" s="700"/>
      <c r="G31" s="700"/>
      <c r="H31" s="700"/>
      <c r="I31" s="700"/>
      <c r="J31" s="700"/>
      <c r="K31" s="700"/>
      <c r="L31" s="700"/>
      <c r="M31" s="700"/>
      <c r="N31" s="700"/>
      <c r="O31" s="309"/>
      <c r="P31" s="917"/>
      <c r="Q31" s="917"/>
      <c r="R31" s="310" t="s">
        <v>117</v>
      </c>
      <c r="S31" s="918"/>
      <c r="T31" s="918"/>
      <c r="U31" s="311" t="s">
        <v>143</v>
      </c>
      <c r="V31" s="279"/>
      <c r="W31" s="928">
        <f t="shared" si="0"/>
        <v>0</v>
      </c>
      <c r="X31" s="928"/>
      <c r="Y31" s="928"/>
      <c r="Z31" s="929"/>
      <c r="AB31" s="930">
        <v>0</v>
      </c>
      <c r="AC31" s="931"/>
      <c r="AD31" s="932"/>
      <c r="AF31" s="930">
        <f t="shared" si="1"/>
        <v>0</v>
      </c>
      <c r="AG31" s="931"/>
      <c r="AH31" s="932"/>
      <c r="AM31" s="416"/>
      <c r="AN31" s="930">
        <f t="shared" si="2"/>
        <v>0</v>
      </c>
      <c r="AO31" s="931"/>
      <c r="AP31" s="932"/>
      <c r="AU31" s="416"/>
      <c r="AV31" s="897">
        <f t="shared" si="3"/>
        <v>0</v>
      </c>
      <c r="AW31" s="898"/>
      <c r="AX31" s="899"/>
    </row>
    <row r="32" spans="3:50" s="51" customFormat="1" ht="18" customHeight="1" x14ac:dyDescent="0.15">
      <c r="C32" s="757">
        <v>7280</v>
      </c>
      <c r="D32" s="419"/>
      <c r="E32" s="700"/>
      <c r="F32" s="700"/>
      <c r="G32" s="700"/>
      <c r="H32" s="700"/>
      <c r="I32" s="700"/>
      <c r="J32" s="700"/>
      <c r="K32" s="700"/>
      <c r="L32" s="700"/>
      <c r="M32" s="700"/>
      <c r="N32" s="700"/>
      <c r="O32" s="309"/>
      <c r="P32" s="917"/>
      <c r="Q32" s="917"/>
      <c r="R32" s="310" t="s">
        <v>117</v>
      </c>
      <c r="S32" s="918"/>
      <c r="T32" s="918"/>
      <c r="U32" s="311" t="s">
        <v>143</v>
      </c>
      <c r="V32" s="279"/>
      <c r="W32" s="928">
        <f t="shared" si="0"/>
        <v>0</v>
      </c>
      <c r="X32" s="928"/>
      <c r="Y32" s="928"/>
      <c r="Z32" s="929"/>
      <c r="AB32" s="930">
        <v>0</v>
      </c>
      <c r="AC32" s="931"/>
      <c r="AD32" s="932"/>
      <c r="AF32" s="930">
        <f t="shared" si="1"/>
        <v>0</v>
      </c>
      <c r="AG32" s="931"/>
      <c r="AH32" s="932"/>
      <c r="AM32" s="416"/>
      <c r="AN32" s="930">
        <f t="shared" si="2"/>
        <v>0</v>
      </c>
      <c r="AO32" s="931"/>
      <c r="AP32" s="932"/>
      <c r="AU32" s="416"/>
      <c r="AV32" s="897">
        <f t="shared" si="3"/>
        <v>0</v>
      </c>
      <c r="AW32" s="898"/>
      <c r="AX32" s="899"/>
    </row>
    <row r="33" spans="3:50" s="51" customFormat="1" ht="18" customHeight="1" x14ac:dyDescent="0.15">
      <c r="C33" s="757">
        <v>7290</v>
      </c>
      <c r="D33" s="419"/>
      <c r="E33" s="700"/>
      <c r="F33" s="700"/>
      <c r="G33" s="700"/>
      <c r="H33" s="700"/>
      <c r="I33" s="700"/>
      <c r="J33" s="700"/>
      <c r="K33" s="700"/>
      <c r="L33" s="700"/>
      <c r="M33" s="700"/>
      <c r="N33" s="700"/>
      <c r="O33" s="309"/>
      <c r="P33" s="917"/>
      <c r="Q33" s="917"/>
      <c r="R33" s="310" t="s">
        <v>117</v>
      </c>
      <c r="S33" s="918"/>
      <c r="T33" s="918"/>
      <c r="U33" s="311" t="s">
        <v>143</v>
      </c>
      <c r="V33" s="279"/>
      <c r="W33" s="928">
        <f t="shared" si="0"/>
        <v>0</v>
      </c>
      <c r="X33" s="928"/>
      <c r="Y33" s="928"/>
      <c r="Z33" s="929"/>
      <c r="AB33" s="930">
        <v>0</v>
      </c>
      <c r="AC33" s="931"/>
      <c r="AD33" s="932"/>
      <c r="AF33" s="930">
        <f t="shared" si="1"/>
        <v>0</v>
      </c>
      <c r="AG33" s="931"/>
      <c r="AH33" s="932"/>
      <c r="AM33" s="416"/>
      <c r="AN33" s="930">
        <f t="shared" si="2"/>
        <v>0</v>
      </c>
      <c r="AO33" s="931"/>
      <c r="AP33" s="932"/>
      <c r="AU33" s="416"/>
      <c r="AV33" s="897">
        <f t="shared" si="3"/>
        <v>0</v>
      </c>
      <c r="AW33" s="898"/>
      <c r="AX33" s="899"/>
    </row>
    <row r="34" spans="3:50" s="51" customFormat="1" ht="18" customHeight="1" x14ac:dyDescent="0.15">
      <c r="C34" s="757">
        <v>7310</v>
      </c>
      <c r="D34" s="419"/>
      <c r="E34" s="700" t="s">
        <v>213</v>
      </c>
      <c r="F34" s="700"/>
      <c r="G34" s="700"/>
      <c r="H34" s="700"/>
      <c r="I34" s="700"/>
      <c r="J34" s="700"/>
      <c r="K34" s="700"/>
      <c r="L34" s="700"/>
      <c r="M34" s="700"/>
      <c r="N34" s="700"/>
      <c r="O34" s="309"/>
      <c r="P34" s="917" t="s">
        <v>451</v>
      </c>
      <c r="Q34" s="917"/>
      <c r="R34" s="310" t="s">
        <v>117</v>
      </c>
      <c r="S34" s="918"/>
      <c r="T34" s="918"/>
      <c r="U34" s="311" t="s">
        <v>143</v>
      </c>
      <c r="V34" s="279"/>
      <c r="W34" s="928">
        <f t="shared" si="0"/>
        <v>0</v>
      </c>
      <c r="X34" s="928"/>
      <c r="Y34" s="928"/>
      <c r="Z34" s="929"/>
      <c r="AB34" s="930">
        <v>0</v>
      </c>
      <c r="AC34" s="931"/>
      <c r="AD34" s="932"/>
      <c r="AF34" s="930">
        <f t="shared" si="1"/>
        <v>0</v>
      </c>
      <c r="AG34" s="931"/>
      <c r="AH34" s="932"/>
      <c r="AM34" s="416"/>
      <c r="AN34" s="930">
        <f t="shared" si="2"/>
        <v>0</v>
      </c>
      <c r="AO34" s="931"/>
      <c r="AP34" s="932"/>
      <c r="AU34" s="416"/>
      <c r="AV34" s="897">
        <f t="shared" si="3"/>
        <v>0</v>
      </c>
      <c r="AW34" s="898"/>
      <c r="AX34" s="899"/>
    </row>
    <row r="35" spans="3:50" s="51" customFormat="1" ht="18" customHeight="1" x14ac:dyDescent="0.15">
      <c r="C35" s="757">
        <v>7320</v>
      </c>
      <c r="D35" s="419"/>
      <c r="E35" s="700" t="s">
        <v>92</v>
      </c>
      <c r="F35" s="700"/>
      <c r="G35" s="700"/>
      <c r="H35" s="700"/>
      <c r="I35" s="700"/>
      <c r="J35" s="700"/>
      <c r="K35" s="700"/>
      <c r="L35" s="700"/>
      <c r="M35" s="700"/>
      <c r="N35" s="700"/>
      <c r="O35" s="309"/>
      <c r="P35" s="917" t="s">
        <v>451</v>
      </c>
      <c r="Q35" s="917"/>
      <c r="R35" s="310" t="s">
        <v>117</v>
      </c>
      <c r="S35" s="918"/>
      <c r="T35" s="918"/>
      <c r="U35" s="311" t="s">
        <v>143</v>
      </c>
      <c r="V35" s="279"/>
      <c r="W35" s="928">
        <f t="shared" si="0"/>
        <v>0</v>
      </c>
      <c r="X35" s="928"/>
      <c r="Y35" s="928"/>
      <c r="Z35" s="929"/>
      <c r="AB35" s="930">
        <v>0</v>
      </c>
      <c r="AC35" s="931"/>
      <c r="AD35" s="932"/>
      <c r="AF35" s="930">
        <f t="shared" si="1"/>
        <v>0</v>
      </c>
      <c r="AG35" s="931"/>
      <c r="AH35" s="932"/>
      <c r="AM35" s="416"/>
      <c r="AN35" s="930">
        <f t="shared" si="2"/>
        <v>0</v>
      </c>
      <c r="AO35" s="931"/>
      <c r="AP35" s="932"/>
      <c r="AU35" s="416"/>
      <c r="AV35" s="897">
        <f t="shared" si="3"/>
        <v>0</v>
      </c>
      <c r="AW35" s="898"/>
      <c r="AX35" s="899"/>
    </row>
    <row r="36" spans="3:50" s="51" customFormat="1" ht="18" customHeight="1" x14ac:dyDescent="0.15">
      <c r="C36" s="757">
        <v>7330</v>
      </c>
      <c r="D36" s="419"/>
      <c r="E36" s="700" t="s">
        <v>22</v>
      </c>
      <c r="F36" s="700"/>
      <c r="G36" s="700"/>
      <c r="H36" s="700"/>
      <c r="I36" s="700"/>
      <c r="J36" s="700"/>
      <c r="K36" s="700"/>
      <c r="L36" s="700"/>
      <c r="M36" s="700"/>
      <c r="N36" s="700"/>
      <c r="O36" s="309"/>
      <c r="P36" s="917" t="s">
        <v>451</v>
      </c>
      <c r="Q36" s="917"/>
      <c r="R36" s="310" t="s">
        <v>117</v>
      </c>
      <c r="S36" s="918"/>
      <c r="T36" s="918"/>
      <c r="U36" s="311" t="s">
        <v>143</v>
      </c>
      <c r="V36" s="279"/>
      <c r="W36" s="928">
        <f t="shared" si="0"/>
        <v>0</v>
      </c>
      <c r="X36" s="928"/>
      <c r="Y36" s="928"/>
      <c r="Z36" s="929"/>
      <c r="AB36" s="930">
        <v>0</v>
      </c>
      <c r="AC36" s="931"/>
      <c r="AD36" s="932"/>
      <c r="AF36" s="930">
        <f t="shared" si="1"/>
        <v>0</v>
      </c>
      <c r="AG36" s="931"/>
      <c r="AH36" s="932"/>
      <c r="AM36" s="416"/>
      <c r="AN36" s="930">
        <f t="shared" si="2"/>
        <v>0</v>
      </c>
      <c r="AO36" s="931"/>
      <c r="AP36" s="932"/>
      <c r="AU36" s="416"/>
      <c r="AV36" s="897">
        <f t="shared" si="3"/>
        <v>0</v>
      </c>
      <c r="AW36" s="898"/>
      <c r="AX36" s="899"/>
    </row>
    <row r="37" spans="3:50" s="51" customFormat="1" ht="18" customHeight="1" x14ac:dyDescent="0.15">
      <c r="C37" s="757">
        <v>7340</v>
      </c>
      <c r="D37" s="419"/>
      <c r="E37" s="700" t="s">
        <v>464</v>
      </c>
      <c r="F37" s="700"/>
      <c r="G37" s="700"/>
      <c r="H37" s="700"/>
      <c r="I37" s="700"/>
      <c r="J37" s="700"/>
      <c r="K37" s="700"/>
      <c r="L37" s="700"/>
      <c r="M37" s="700"/>
      <c r="N37" s="700"/>
      <c r="O37" s="309"/>
      <c r="P37" s="917" t="s">
        <v>455</v>
      </c>
      <c r="Q37" s="917"/>
      <c r="R37" s="310" t="s">
        <v>117</v>
      </c>
      <c r="S37" s="918"/>
      <c r="T37" s="918"/>
      <c r="U37" s="311" t="s">
        <v>143</v>
      </c>
      <c r="V37" s="279"/>
      <c r="W37" s="928">
        <f t="shared" si="0"/>
        <v>0</v>
      </c>
      <c r="X37" s="928"/>
      <c r="Y37" s="928"/>
      <c r="Z37" s="929"/>
      <c r="AB37" s="930">
        <v>0</v>
      </c>
      <c r="AC37" s="931"/>
      <c r="AD37" s="932"/>
      <c r="AF37" s="930">
        <f t="shared" si="1"/>
        <v>0</v>
      </c>
      <c r="AG37" s="931"/>
      <c r="AH37" s="932"/>
      <c r="AM37" s="416"/>
      <c r="AN37" s="930">
        <f t="shared" si="2"/>
        <v>0</v>
      </c>
      <c r="AO37" s="931"/>
      <c r="AP37" s="932"/>
      <c r="AU37" s="416"/>
      <c r="AV37" s="897">
        <f t="shared" si="3"/>
        <v>0</v>
      </c>
      <c r="AW37" s="898"/>
      <c r="AX37" s="899"/>
    </row>
    <row r="38" spans="3:50" s="51" customFormat="1" ht="18" customHeight="1" x14ac:dyDescent="0.15">
      <c r="C38" s="757">
        <v>7350</v>
      </c>
      <c r="D38" s="419"/>
      <c r="E38" s="700"/>
      <c r="F38" s="700"/>
      <c r="G38" s="700"/>
      <c r="H38" s="700"/>
      <c r="I38" s="700"/>
      <c r="J38" s="700"/>
      <c r="K38" s="700"/>
      <c r="L38" s="700"/>
      <c r="M38" s="700"/>
      <c r="N38" s="700"/>
      <c r="O38" s="309"/>
      <c r="P38" s="917"/>
      <c r="Q38" s="917"/>
      <c r="R38" s="310" t="s">
        <v>117</v>
      </c>
      <c r="S38" s="918"/>
      <c r="T38" s="918"/>
      <c r="U38" s="311" t="s">
        <v>143</v>
      </c>
      <c r="V38" s="279"/>
      <c r="W38" s="928">
        <f t="shared" si="0"/>
        <v>0</v>
      </c>
      <c r="X38" s="928"/>
      <c r="Y38" s="928"/>
      <c r="Z38" s="929"/>
      <c r="AB38" s="930">
        <v>0</v>
      </c>
      <c r="AC38" s="931"/>
      <c r="AD38" s="932"/>
      <c r="AF38" s="930">
        <f t="shared" si="1"/>
        <v>0</v>
      </c>
      <c r="AG38" s="931"/>
      <c r="AH38" s="932"/>
      <c r="AM38" s="416"/>
      <c r="AN38" s="930">
        <f t="shared" si="2"/>
        <v>0</v>
      </c>
      <c r="AO38" s="931"/>
      <c r="AP38" s="932"/>
      <c r="AU38" s="416"/>
      <c r="AV38" s="897">
        <f t="shared" si="3"/>
        <v>0</v>
      </c>
      <c r="AW38" s="898"/>
      <c r="AX38" s="899"/>
    </row>
    <row r="39" spans="3:50" s="51" customFormat="1" ht="18" customHeight="1" x14ac:dyDescent="0.15">
      <c r="C39" s="757">
        <v>7360</v>
      </c>
      <c r="D39" s="419"/>
      <c r="E39" s="700"/>
      <c r="F39" s="700"/>
      <c r="G39" s="700"/>
      <c r="H39" s="700"/>
      <c r="I39" s="700"/>
      <c r="J39" s="700"/>
      <c r="K39" s="700"/>
      <c r="L39" s="700"/>
      <c r="M39" s="700"/>
      <c r="N39" s="700"/>
      <c r="O39" s="309"/>
      <c r="P39" s="917"/>
      <c r="Q39" s="917"/>
      <c r="R39" s="310" t="s">
        <v>117</v>
      </c>
      <c r="S39" s="918"/>
      <c r="T39" s="918"/>
      <c r="U39" s="311" t="s">
        <v>143</v>
      </c>
      <c r="V39" s="279"/>
      <c r="W39" s="928">
        <f t="shared" si="0"/>
        <v>0</v>
      </c>
      <c r="X39" s="928"/>
      <c r="Y39" s="928"/>
      <c r="Z39" s="929"/>
      <c r="AB39" s="930">
        <v>0</v>
      </c>
      <c r="AC39" s="931"/>
      <c r="AD39" s="932"/>
      <c r="AF39" s="930">
        <f t="shared" si="1"/>
        <v>0</v>
      </c>
      <c r="AG39" s="931"/>
      <c r="AH39" s="932"/>
      <c r="AM39" s="416"/>
      <c r="AN39" s="930">
        <f t="shared" si="2"/>
        <v>0</v>
      </c>
      <c r="AO39" s="931"/>
      <c r="AP39" s="932"/>
      <c r="AU39" s="416"/>
      <c r="AV39" s="897">
        <f t="shared" si="3"/>
        <v>0</v>
      </c>
      <c r="AW39" s="898"/>
      <c r="AX39" s="899"/>
    </row>
    <row r="40" spans="3:50" s="51" customFormat="1" ht="18" customHeight="1" x14ac:dyDescent="0.15">
      <c r="C40" s="757">
        <v>7370</v>
      </c>
      <c r="D40" s="419"/>
      <c r="E40" s="700"/>
      <c r="F40" s="700"/>
      <c r="G40" s="700"/>
      <c r="H40" s="700"/>
      <c r="I40" s="700"/>
      <c r="J40" s="700"/>
      <c r="K40" s="700"/>
      <c r="L40" s="700"/>
      <c r="M40" s="700"/>
      <c r="N40" s="700"/>
      <c r="O40" s="309"/>
      <c r="P40" s="917"/>
      <c r="Q40" s="917"/>
      <c r="R40" s="310" t="s">
        <v>117</v>
      </c>
      <c r="S40" s="918"/>
      <c r="T40" s="918"/>
      <c r="U40" s="311" t="s">
        <v>143</v>
      </c>
      <c r="V40" s="279"/>
      <c r="W40" s="928">
        <f t="shared" si="0"/>
        <v>0</v>
      </c>
      <c r="X40" s="928"/>
      <c r="Y40" s="928"/>
      <c r="Z40" s="929"/>
      <c r="AB40" s="930">
        <v>0</v>
      </c>
      <c r="AC40" s="931"/>
      <c r="AD40" s="932"/>
      <c r="AF40" s="930">
        <f t="shared" si="1"/>
        <v>0</v>
      </c>
      <c r="AG40" s="931"/>
      <c r="AH40" s="932"/>
      <c r="AM40" s="416"/>
      <c r="AN40" s="930">
        <f t="shared" si="2"/>
        <v>0</v>
      </c>
      <c r="AO40" s="931"/>
      <c r="AP40" s="932"/>
      <c r="AU40" s="416"/>
      <c r="AV40" s="897">
        <f t="shared" si="3"/>
        <v>0</v>
      </c>
      <c r="AW40" s="898"/>
      <c r="AX40" s="899"/>
    </row>
    <row r="41" spans="3:50" s="322" customFormat="1" ht="18" customHeight="1" x14ac:dyDescent="0.2">
      <c r="P41" s="779" t="s">
        <v>239</v>
      </c>
      <c r="Q41" s="779"/>
      <c r="R41" s="779"/>
      <c r="S41" s="779"/>
      <c r="T41" s="779"/>
      <c r="U41" s="779"/>
      <c r="V41" s="780"/>
      <c r="W41" s="924">
        <f>SUM(W7:Z40)</f>
        <v>0</v>
      </c>
      <c r="X41" s="925"/>
      <c r="Y41" s="925"/>
      <c r="Z41" s="926"/>
      <c r="AB41" s="924">
        <f>SUM(AB7:AD40)</f>
        <v>0</v>
      </c>
      <c r="AC41" s="925"/>
      <c r="AD41" s="926"/>
      <c r="AF41" s="956">
        <f t="shared" si="1"/>
        <v>0</v>
      </c>
      <c r="AG41" s="957"/>
      <c r="AH41" s="958"/>
      <c r="AK41" s="777" t="s">
        <v>501</v>
      </c>
      <c r="AL41" s="777"/>
      <c r="AM41" s="779"/>
      <c r="AN41" s="924">
        <f>SUM(AN7:AP40)</f>
        <v>0</v>
      </c>
      <c r="AO41" s="925"/>
      <c r="AP41" s="926"/>
      <c r="AS41" s="777" t="s">
        <v>383</v>
      </c>
      <c r="AT41" s="777"/>
      <c r="AU41" s="779"/>
      <c r="AV41" s="924">
        <f>SUM(AV7:AX40)</f>
        <v>0</v>
      </c>
      <c r="AW41" s="925"/>
      <c r="AX41" s="926"/>
    </row>
    <row r="42" spans="3:50" ht="18" customHeight="1" x14ac:dyDescent="0.2">
      <c r="T42" s="39"/>
      <c r="U42" s="72"/>
      <c r="V42" s="72"/>
      <c r="W42" s="72"/>
      <c r="AM42" s="72"/>
      <c r="AU42" s="72"/>
    </row>
    <row r="43" spans="3:50" s="323" customFormat="1" ht="20" customHeight="1" x14ac:dyDescent="0.2">
      <c r="C43" s="4" t="s">
        <v>218</v>
      </c>
      <c r="D43" s="17" t="s">
        <v>500</v>
      </c>
      <c r="E43" s="5"/>
      <c r="F43" s="349"/>
      <c r="G43" s="349"/>
      <c r="H43" s="349"/>
      <c r="I43" s="349"/>
      <c r="J43" s="349"/>
      <c r="K43" s="349"/>
      <c r="L43" s="349"/>
      <c r="M43" s="349"/>
      <c r="N43" s="349"/>
      <c r="O43" s="349"/>
      <c r="P43" s="349"/>
      <c r="Q43" s="349"/>
      <c r="R43" s="349"/>
      <c r="S43" s="360"/>
      <c r="T43" s="360"/>
      <c r="U43" s="349"/>
      <c r="V43" s="349"/>
      <c r="W43" s="349"/>
      <c r="X43" s="349"/>
      <c r="Y43" s="349"/>
      <c r="Z43" s="40"/>
      <c r="AB43" s="975"/>
      <c r="AC43" s="976"/>
      <c r="AD43" s="977"/>
      <c r="AF43" s="975"/>
      <c r="AG43" s="976"/>
      <c r="AH43" s="977"/>
    </row>
    <row r="44" spans="3:50" ht="16.25" customHeight="1" x14ac:dyDescent="0.2">
      <c r="C44" s="121"/>
      <c r="D44" s="122"/>
      <c r="E44" s="123" t="s">
        <v>384</v>
      </c>
      <c r="F44" s="123"/>
      <c r="G44" s="123"/>
      <c r="H44" s="123"/>
      <c r="I44" s="123"/>
      <c r="J44" s="123"/>
      <c r="K44" s="123"/>
      <c r="L44" s="123"/>
      <c r="M44" s="123"/>
      <c r="N44" s="123"/>
      <c r="O44" s="967"/>
      <c r="P44" s="967"/>
      <c r="Q44" s="967"/>
      <c r="R44" s="967"/>
      <c r="S44" s="968" t="s">
        <v>220</v>
      </c>
      <c r="T44" s="968"/>
      <c r="U44" s="124"/>
      <c r="V44" s="125" t="s">
        <v>400</v>
      </c>
      <c r="W44" s="126"/>
      <c r="X44" s="726" t="s">
        <v>370</v>
      </c>
      <c r="Y44" s="726"/>
      <c r="Z44" s="969"/>
      <c r="AA44" s="36"/>
      <c r="AB44" s="971" t="s">
        <v>363</v>
      </c>
      <c r="AC44" s="972"/>
      <c r="AD44" s="973"/>
      <c r="AF44" s="971" t="s">
        <v>447</v>
      </c>
      <c r="AG44" s="972"/>
      <c r="AH44" s="973"/>
      <c r="AM44"/>
      <c r="AN44"/>
      <c r="AO44"/>
      <c r="AP44"/>
      <c r="AU44"/>
      <c r="AV44"/>
      <c r="AW44"/>
      <c r="AX44"/>
    </row>
    <row r="45" spans="3:50" s="51" customFormat="1" ht="18" customHeight="1" x14ac:dyDescent="0.15">
      <c r="C45" s="698">
        <v>8010</v>
      </c>
      <c r="D45" s="699"/>
      <c r="E45" s="700" t="s">
        <v>499</v>
      </c>
      <c r="F45" s="700"/>
      <c r="G45" s="700"/>
      <c r="H45" s="700"/>
      <c r="I45" s="700"/>
      <c r="J45" s="700"/>
      <c r="K45" s="700"/>
      <c r="L45" s="700"/>
      <c r="M45" s="700"/>
      <c r="N45" s="700"/>
      <c r="O45" s="309"/>
      <c r="P45" s="917" t="s">
        <v>116</v>
      </c>
      <c r="Q45" s="917"/>
      <c r="R45" s="310" t="s">
        <v>117</v>
      </c>
      <c r="S45" s="974"/>
      <c r="T45" s="974"/>
      <c r="U45" s="311" t="s">
        <v>143</v>
      </c>
      <c r="V45" s="309"/>
      <c r="W45" s="664">
        <f t="shared" ref="W45:W58" si="4">IF(ISNUMBER(S45),(O45*S45*IF(ISNUMBER(V45),V45,1)),0)</f>
        <v>0</v>
      </c>
      <c r="X45" s="664"/>
      <c r="Y45" s="664"/>
      <c r="Z45" s="665"/>
      <c r="AB45" s="930">
        <v>0</v>
      </c>
      <c r="AC45" s="931"/>
      <c r="AD45" s="932"/>
      <c r="AF45" s="930">
        <f t="shared" ref="AF45:AF59" si="5">AB45-W45</f>
        <v>0</v>
      </c>
      <c r="AG45" s="931"/>
      <c r="AH45" s="932"/>
    </row>
    <row r="46" spans="3:50" s="51" customFormat="1" ht="18" customHeight="1" x14ac:dyDescent="0.15">
      <c r="C46" s="698">
        <v>8020</v>
      </c>
      <c r="D46" s="699"/>
      <c r="E46" s="700" t="s">
        <v>435</v>
      </c>
      <c r="F46" s="700"/>
      <c r="G46" s="700"/>
      <c r="H46" s="700"/>
      <c r="I46" s="700"/>
      <c r="J46" s="700"/>
      <c r="K46" s="700"/>
      <c r="L46" s="700"/>
      <c r="M46" s="700"/>
      <c r="N46" s="700"/>
      <c r="O46" s="309"/>
      <c r="P46" s="917" t="s">
        <v>116</v>
      </c>
      <c r="Q46" s="917"/>
      <c r="R46" s="310" t="s">
        <v>117</v>
      </c>
      <c r="S46" s="974"/>
      <c r="T46" s="974"/>
      <c r="U46" s="311" t="s">
        <v>143</v>
      </c>
      <c r="V46" s="309"/>
      <c r="W46" s="664">
        <f t="shared" si="4"/>
        <v>0</v>
      </c>
      <c r="X46" s="664"/>
      <c r="Y46" s="664"/>
      <c r="Z46" s="665"/>
      <c r="AB46" s="930">
        <v>0</v>
      </c>
      <c r="AC46" s="931"/>
      <c r="AD46" s="932"/>
      <c r="AF46" s="930">
        <f t="shared" si="5"/>
        <v>0</v>
      </c>
      <c r="AG46" s="931"/>
      <c r="AH46" s="932"/>
    </row>
    <row r="47" spans="3:50" s="51" customFormat="1" ht="18" customHeight="1" x14ac:dyDescent="0.15">
      <c r="C47" s="698">
        <v>8030</v>
      </c>
      <c r="D47" s="699"/>
      <c r="E47" s="700" t="s">
        <v>436</v>
      </c>
      <c r="F47" s="700"/>
      <c r="G47" s="700"/>
      <c r="H47" s="700"/>
      <c r="I47" s="700"/>
      <c r="J47" s="700"/>
      <c r="K47" s="700"/>
      <c r="L47" s="700"/>
      <c r="M47" s="700"/>
      <c r="N47" s="700"/>
      <c r="O47" s="309"/>
      <c r="P47" s="917" t="s">
        <v>116</v>
      </c>
      <c r="Q47" s="917"/>
      <c r="R47" s="310" t="s">
        <v>117</v>
      </c>
      <c r="S47" s="974"/>
      <c r="T47" s="974"/>
      <c r="U47" s="311" t="s">
        <v>143</v>
      </c>
      <c r="V47" s="309"/>
      <c r="W47" s="664">
        <f t="shared" si="4"/>
        <v>0</v>
      </c>
      <c r="X47" s="664"/>
      <c r="Y47" s="664"/>
      <c r="Z47" s="665"/>
      <c r="AB47" s="930">
        <v>0</v>
      </c>
      <c r="AC47" s="931"/>
      <c r="AD47" s="932"/>
      <c r="AF47" s="930">
        <f t="shared" si="5"/>
        <v>0</v>
      </c>
      <c r="AG47" s="931"/>
      <c r="AH47" s="932"/>
    </row>
    <row r="48" spans="3:50" s="51" customFormat="1" ht="18" customHeight="1" x14ac:dyDescent="0.15">
      <c r="C48" s="698">
        <v>8040</v>
      </c>
      <c r="D48" s="699"/>
      <c r="E48" s="700" t="s">
        <v>437</v>
      </c>
      <c r="F48" s="700"/>
      <c r="G48" s="700"/>
      <c r="H48" s="700"/>
      <c r="I48" s="700"/>
      <c r="J48" s="700"/>
      <c r="K48" s="700"/>
      <c r="L48" s="700"/>
      <c r="M48" s="700"/>
      <c r="N48" s="700"/>
      <c r="O48" s="309"/>
      <c r="P48" s="917" t="s">
        <v>116</v>
      </c>
      <c r="Q48" s="917"/>
      <c r="R48" s="310" t="s">
        <v>117</v>
      </c>
      <c r="S48" s="974"/>
      <c r="T48" s="974"/>
      <c r="U48" s="311" t="s">
        <v>143</v>
      </c>
      <c r="V48" s="309"/>
      <c r="W48" s="664">
        <f t="shared" si="4"/>
        <v>0</v>
      </c>
      <c r="X48" s="664"/>
      <c r="Y48" s="664"/>
      <c r="Z48" s="665"/>
      <c r="AB48" s="930">
        <v>0</v>
      </c>
      <c r="AC48" s="931"/>
      <c r="AD48" s="932"/>
      <c r="AF48" s="930">
        <f t="shared" si="5"/>
        <v>0</v>
      </c>
      <c r="AG48" s="931"/>
      <c r="AH48" s="932"/>
    </row>
    <row r="49" spans="3:50" s="51" customFormat="1" ht="18" customHeight="1" x14ac:dyDescent="0.15">
      <c r="C49" s="698">
        <v>8050</v>
      </c>
      <c r="D49" s="699"/>
      <c r="E49" s="700" t="s">
        <v>438</v>
      </c>
      <c r="F49" s="700"/>
      <c r="G49" s="700"/>
      <c r="H49" s="700"/>
      <c r="I49" s="700"/>
      <c r="J49" s="700"/>
      <c r="K49" s="700"/>
      <c r="L49" s="700"/>
      <c r="M49" s="700"/>
      <c r="N49" s="700"/>
      <c r="O49" s="309"/>
      <c r="P49" s="917" t="s">
        <v>116</v>
      </c>
      <c r="Q49" s="917"/>
      <c r="R49" s="310" t="s">
        <v>117</v>
      </c>
      <c r="S49" s="974"/>
      <c r="T49" s="974"/>
      <c r="U49" s="311" t="s">
        <v>143</v>
      </c>
      <c r="V49" s="309"/>
      <c r="W49" s="664">
        <f t="shared" si="4"/>
        <v>0</v>
      </c>
      <c r="X49" s="664"/>
      <c r="Y49" s="664"/>
      <c r="Z49" s="665"/>
      <c r="AB49" s="930">
        <v>0</v>
      </c>
      <c r="AC49" s="931"/>
      <c r="AD49" s="932"/>
      <c r="AF49" s="930">
        <f t="shared" si="5"/>
        <v>0</v>
      </c>
      <c r="AG49" s="931"/>
      <c r="AH49" s="932"/>
    </row>
    <row r="50" spans="3:50" s="51" customFormat="1" ht="18" customHeight="1" x14ac:dyDescent="0.15">
      <c r="C50" s="698">
        <v>8060</v>
      </c>
      <c r="D50" s="699"/>
      <c r="E50" s="700" t="s">
        <v>215</v>
      </c>
      <c r="F50" s="700"/>
      <c r="G50" s="700"/>
      <c r="H50" s="700"/>
      <c r="I50" s="700"/>
      <c r="J50" s="700"/>
      <c r="K50" s="700"/>
      <c r="L50" s="700"/>
      <c r="M50" s="700"/>
      <c r="N50" s="700"/>
      <c r="O50" s="309"/>
      <c r="P50" s="917" t="s">
        <v>116</v>
      </c>
      <c r="Q50" s="917"/>
      <c r="R50" s="310" t="s">
        <v>117</v>
      </c>
      <c r="S50" s="974"/>
      <c r="T50" s="974"/>
      <c r="U50" s="311" t="s">
        <v>143</v>
      </c>
      <c r="V50" s="309"/>
      <c r="W50" s="664">
        <f t="shared" si="4"/>
        <v>0</v>
      </c>
      <c r="X50" s="664"/>
      <c r="Y50" s="664"/>
      <c r="Z50" s="665"/>
      <c r="AB50" s="930">
        <v>0</v>
      </c>
      <c r="AC50" s="931"/>
      <c r="AD50" s="932"/>
      <c r="AF50" s="930">
        <f t="shared" si="5"/>
        <v>0</v>
      </c>
      <c r="AG50" s="931"/>
      <c r="AH50" s="932"/>
    </row>
    <row r="51" spans="3:50" s="51" customFormat="1" ht="18" customHeight="1" x14ac:dyDescent="0.15">
      <c r="C51" s="698">
        <v>8070</v>
      </c>
      <c r="D51" s="699"/>
      <c r="E51" s="700" t="s">
        <v>439</v>
      </c>
      <c r="F51" s="700"/>
      <c r="G51" s="700"/>
      <c r="H51" s="700"/>
      <c r="I51" s="700"/>
      <c r="J51" s="700"/>
      <c r="K51" s="700"/>
      <c r="L51" s="700"/>
      <c r="M51" s="700"/>
      <c r="N51" s="700"/>
      <c r="O51" s="309"/>
      <c r="P51" s="917" t="s">
        <v>116</v>
      </c>
      <c r="Q51" s="917"/>
      <c r="R51" s="310" t="s">
        <v>117</v>
      </c>
      <c r="S51" s="974"/>
      <c r="T51" s="974"/>
      <c r="U51" s="311" t="s">
        <v>143</v>
      </c>
      <c r="V51" s="309"/>
      <c r="W51" s="664">
        <f t="shared" si="4"/>
        <v>0</v>
      </c>
      <c r="X51" s="664"/>
      <c r="Y51" s="664"/>
      <c r="Z51" s="665"/>
      <c r="AB51" s="930">
        <v>0</v>
      </c>
      <c r="AC51" s="931"/>
      <c r="AD51" s="932"/>
      <c r="AF51" s="930">
        <f t="shared" si="5"/>
        <v>0</v>
      </c>
      <c r="AG51" s="931"/>
      <c r="AH51" s="932"/>
    </row>
    <row r="52" spans="3:50" s="51" customFormat="1" ht="18" customHeight="1" x14ac:dyDescent="0.15">
      <c r="C52" s="698">
        <v>8080</v>
      </c>
      <c r="D52" s="699"/>
      <c r="E52" s="700" t="s">
        <v>498</v>
      </c>
      <c r="F52" s="700"/>
      <c r="G52" s="700"/>
      <c r="H52" s="700"/>
      <c r="I52" s="700"/>
      <c r="J52" s="700"/>
      <c r="K52" s="700"/>
      <c r="L52" s="700"/>
      <c r="M52" s="700"/>
      <c r="N52" s="700"/>
      <c r="O52" s="309"/>
      <c r="P52" s="917" t="s">
        <v>116</v>
      </c>
      <c r="Q52" s="917"/>
      <c r="R52" s="310" t="s">
        <v>117</v>
      </c>
      <c r="S52" s="974"/>
      <c r="T52" s="974"/>
      <c r="U52" s="311" t="s">
        <v>143</v>
      </c>
      <c r="V52" s="309"/>
      <c r="W52" s="664">
        <f t="shared" si="4"/>
        <v>0</v>
      </c>
      <c r="X52" s="664"/>
      <c r="Y52" s="664"/>
      <c r="Z52" s="665"/>
      <c r="AB52" s="930">
        <v>0</v>
      </c>
      <c r="AC52" s="931"/>
      <c r="AD52" s="932"/>
      <c r="AF52" s="930">
        <f t="shared" si="5"/>
        <v>0</v>
      </c>
      <c r="AG52" s="931"/>
      <c r="AH52" s="932"/>
    </row>
    <row r="53" spans="3:50" s="51" customFormat="1" ht="18" customHeight="1" x14ac:dyDescent="0.15">
      <c r="C53" s="698">
        <v>8090</v>
      </c>
      <c r="D53" s="699"/>
      <c r="E53" s="700"/>
      <c r="F53" s="700"/>
      <c r="G53" s="700"/>
      <c r="H53" s="700"/>
      <c r="I53" s="700"/>
      <c r="J53" s="700"/>
      <c r="K53" s="700"/>
      <c r="L53" s="700"/>
      <c r="M53" s="700"/>
      <c r="N53" s="700"/>
      <c r="O53" s="309"/>
      <c r="P53" s="917"/>
      <c r="Q53" s="917"/>
      <c r="R53" s="310" t="s">
        <v>117</v>
      </c>
      <c r="S53" s="974"/>
      <c r="T53" s="974"/>
      <c r="U53" s="311" t="s">
        <v>143</v>
      </c>
      <c r="V53" s="309"/>
      <c r="W53" s="664">
        <f t="shared" si="4"/>
        <v>0</v>
      </c>
      <c r="X53" s="664"/>
      <c r="Y53" s="664"/>
      <c r="Z53" s="665"/>
      <c r="AB53" s="930">
        <v>0</v>
      </c>
      <c r="AC53" s="931"/>
      <c r="AD53" s="932"/>
      <c r="AF53" s="930">
        <f t="shared" si="5"/>
        <v>0</v>
      </c>
      <c r="AG53" s="931"/>
      <c r="AH53" s="932"/>
    </row>
    <row r="54" spans="3:50" s="51" customFormat="1" ht="18" customHeight="1" x14ac:dyDescent="0.15">
      <c r="C54" s="698">
        <v>8100</v>
      </c>
      <c r="D54" s="699"/>
      <c r="E54" s="700" t="s">
        <v>434</v>
      </c>
      <c r="F54" s="700"/>
      <c r="G54" s="700"/>
      <c r="H54" s="700"/>
      <c r="I54" s="700"/>
      <c r="J54" s="700"/>
      <c r="K54" s="700"/>
      <c r="L54" s="700"/>
      <c r="M54" s="700"/>
      <c r="N54" s="700"/>
      <c r="O54" s="309"/>
      <c r="P54" s="917" t="s">
        <v>455</v>
      </c>
      <c r="Q54" s="917"/>
      <c r="R54" s="310" t="s">
        <v>117</v>
      </c>
      <c r="S54" s="974"/>
      <c r="T54" s="974"/>
      <c r="U54" s="311" t="s">
        <v>143</v>
      </c>
      <c r="V54" s="309"/>
      <c r="W54" s="664">
        <f t="shared" si="4"/>
        <v>0</v>
      </c>
      <c r="X54" s="664"/>
      <c r="Y54" s="664"/>
      <c r="Z54" s="665"/>
      <c r="AB54" s="930">
        <v>0</v>
      </c>
      <c r="AC54" s="931"/>
      <c r="AD54" s="932"/>
      <c r="AF54" s="930">
        <f t="shared" si="5"/>
        <v>0</v>
      </c>
      <c r="AG54" s="931"/>
      <c r="AH54" s="932"/>
    </row>
    <row r="55" spans="3:50" s="51" customFormat="1" ht="18" customHeight="1" x14ac:dyDescent="0.15">
      <c r="C55" s="698">
        <v>8100</v>
      </c>
      <c r="D55" s="699"/>
      <c r="E55" s="700"/>
      <c r="F55" s="700"/>
      <c r="G55" s="700"/>
      <c r="H55" s="700"/>
      <c r="I55" s="700"/>
      <c r="J55" s="700"/>
      <c r="K55" s="700"/>
      <c r="L55" s="700"/>
      <c r="M55" s="700"/>
      <c r="N55" s="700"/>
      <c r="O55" s="309"/>
      <c r="P55" s="917"/>
      <c r="Q55" s="917"/>
      <c r="R55" s="310" t="s">
        <v>117</v>
      </c>
      <c r="S55" s="974"/>
      <c r="T55" s="974"/>
      <c r="U55" s="311" t="s">
        <v>143</v>
      </c>
      <c r="V55" s="309"/>
      <c r="W55" s="664">
        <f t="shared" si="4"/>
        <v>0</v>
      </c>
      <c r="X55" s="664"/>
      <c r="Y55" s="664"/>
      <c r="Z55" s="665"/>
      <c r="AB55" s="930">
        <v>0</v>
      </c>
      <c r="AC55" s="931"/>
      <c r="AD55" s="932"/>
      <c r="AF55" s="930">
        <f t="shared" si="5"/>
        <v>0</v>
      </c>
      <c r="AG55" s="931"/>
      <c r="AH55" s="932"/>
    </row>
    <row r="56" spans="3:50" s="51" customFormat="1" ht="18" customHeight="1" x14ac:dyDescent="0.15">
      <c r="C56" s="698">
        <v>8100</v>
      </c>
      <c r="D56" s="699"/>
      <c r="E56" s="700"/>
      <c r="F56" s="700"/>
      <c r="G56" s="700"/>
      <c r="H56" s="700"/>
      <c r="I56" s="700"/>
      <c r="J56" s="700"/>
      <c r="K56" s="700"/>
      <c r="L56" s="700"/>
      <c r="M56" s="700"/>
      <c r="N56" s="700"/>
      <c r="O56" s="309"/>
      <c r="P56" s="917"/>
      <c r="Q56" s="917"/>
      <c r="R56" s="310" t="s">
        <v>117</v>
      </c>
      <c r="S56" s="974"/>
      <c r="T56" s="974"/>
      <c r="U56" s="311" t="s">
        <v>143</v>
      </c>
      <c r="V56" s="309"/>
      <c r="W56" s="664">
        <f t="shared" si="4"/>
        <v>0</v>
      </c>
      <c r="X56" s="664"/>
      <c r="Y56" s="664"/>
      <c r="Z56" s="665"/>
      <c r="AB56" s="930">
        <v>0</v>
      </c>
      <c r="AC56" s="931"/>
      <c r="AD56" s="932"/>
      <c r="AF56" s="930">
        <f t="shared" si="5"/>
        <v>0</v>
      </c>
      <c r="AG56" s="931"/>
      <c r="AH56" s="932"/>
    </row>
    <row r="57" spans="3:50" s="51" customFormat="1" ht="18" customHeight="1" x14ac:dyDescent="0.15">
      <c r="C57" s="698">
        <v>8100</v>
      </c>
      <c r="D57" s="699"/>
      <c r="E57" s="700"/>
      <c r="F57" s="700"/>
      <c r="G57" s="700"/>
      <c r="H57" s="700"/>
      <c r="I57" s="700"/>
      <c r="J57" s="700"/>
      <c r="K57" s="700"/>
      <c r="L57" s="700"/>
      <c r="M57" s="700"/>
      <c r="N57" s="700"/>
      <c r="O57" s="309"/>
      <c r="P57" s="917"/>
      <c r="Q57" s="917"/>
      <c r="R57" s="310" t="s">
        <v>117</v>
      </c>
      <c r="S57" s="974"/>
      <c r="T57" s="974"/>
      <c r="U57" s="311" t="s">
        <v>143</v>
      </c>
      <c r="V57" s="309"/>
      <c r="W57" s="664">
        <f t="shared" si="4"/>
        <v>0</v>
      </c>
      <c r="X57" s="664"/>
      <c r="Y57" s="664"/>
      <c r="Z57" s="665"/>
      <c r="AB57" s="930">
        <v>0</v>
      </c>
      <c r="AC57" s="931"/>
      <c r="AD57" s="932"/>
      <c r="AF57" s="930">
        <f t="shared" si="5"/>
        <v>0</v>
      </c>
      <c r="AG57" s="931"/>
      <c r="AH57" s="932"/>
    </row>
    <row r="58" spans="3:50" s="51" customFormat="1" ht="18" customHeight="1" x14ac:dyDescent="0.15">
      <c r="C58" s="698">
        <v>8100</v>
      </c>
      <c r="D58" s="699"/>
      <c r="E58" s="700"/>
      <c r="F58" s="700"/>
      <c r="G58" s="700"/>
      <c r="H58" s="700"/>
      <c r="I58" s="700"/>
      <c r="J58" s="700"/>
      <c r="K58" s="700"/>
      <c r="L58" s="700"/>
      <c r="M58" s="700"/>
      <c r="N58" s="700"/>
      <c r="O58" s="309"/>
      <c r="P58" s="917"/>
      <c r="Q58" s="917"/>
      <c r="R58" s="310" t="s">
        <v>117</v>
      </c>
      <c r="S58" s="974"/>
      <c r="T58" s="974"/>
      <c r="U58" s="311" t="s">
        <v>143</v>
      </c>
      <c r="V58" s="309"/>
      <c r="W58" s="664">
        <f t="shared" si="4"/>
        <v>0</v>
      </c>
      <c r="X58" s="664"/>
      <c r="Y58" s="664"/>
      <c r="Z58" s="665"/>
      <c r="AB58" s="930">
        <v>0</v>
      </c>
      <c r="AC58" s="931"/>
      <c r="AD58" s="932"/>
      <c r="AF58" s="930">
        <f t="shared" si="5"/>
        <v>0</v>
      </c>
      <c r="AG58" s="931"/>
      <c r="AH58" s="932"/>
    </row>
    <row r="59" spans="3:50" s="322" customFormat="1" ht="18" customHeight="1" x14ac:dyDescent="0.2">
      <c r="P59" s="779" t="s">
        <v>240</v>
      </c>
      <c r="Q59" s="779"/>
      <c r="R59" s="779"/>
      <c r="S59" s="779"/>
      <c r="T59" s="779"/>
      <c r="U59" s="779"/>
      <c r="V59" s="780"/>
      <c r="W59" s="714">
        <f>SUM(W45:Z58)</f>
        <v>0</v>
      </c>
      <c r="X59" s="715"/>
      <c r="Y59" s="715"/>
      <c r="Z59" s="716"/>
      <c r="AB59" s="956">
        <v>0</v>
      </c>
      <c r="AC59" s="957"/>
      <c r="AD59" s="958"/>
      <c r="AF59" s="956">
        <f t="shared" si="5"/>
        <v>0</v>
      </c>
      <c r="AG59" s="957"/>
      <c r="AH59" s="958"/>
    </row>
    <row r="60" spans="3:50" x14ac:dyDescent="0.2">
      <c r="AM60"/>
      <c r="AN60"/>
      <c r="AO60"/>
      <c r="AP60"/>
      <c r="AU60"/>
      <c r="AV60"/>
      <c r="AW60"/>
      <c r="AX60"/>
    </row>
    <row r="61" spans="3:50" x14ac:dyDescent="0.2">
      <c r="AM61"/>
      <c r="AN61"/>
      <c r="AO61"/>
      <c r="AP61"/>
      <c r="AU61"/>
      <c r="AV61"/>
      <c r="AW61"/>
      <c r="AX61"/>
    </row>
    <row r="62" spans="3:50" x14ac:dyDescent="0.2">
      <c r="AM62"/>
      <c r="AN62"/>
      <c r="AO62"/>
      <c r="AP62"/>
      <c r="AU62"/>
      <c r="AV62"/>
      <c r="AW62"/>
      <c r="AX62"/>
    </row>
  </sheetData>
  <sheetProtection selectLockedCells="1"/>
  <mergeCells count="435">
    <mergeCell ref="AV36:AX36"/>
    <mergeCell ref="AV37:AX37"/>
    <mergeCell ref="AF35:AH35"/>
    <mergeCell ref="AF36:AH36"/>
    <mergeCell ref="AF37:AH37"/>
    <mergeCell ref="AN40:AP40"/>
    <mergeCell ref="AF6:AH6"/>
    <mergeCell ref="AF28:AH28"/>
    <mergeCell ref="AF38:AH38"/>
    <mergeCell ref="AF39:AH39"/>
    <mergeCell ref="AF30:AH30"/>
    <mergeCell ref="AN34:AP34"/>
    <mergeCell ref="AN35:AP35"/>
    <mergeCell ref="AN36:AP36"/>
    <mergeCell ref="AN37:AP37"/>
    <mergeCell ref="AN38:AP38"/>
    <mergeCell ref="AN39:AP39"/>
    <mergeCell ref="AN30:AP30"/>
    <mergeCell ref="AV38:AX38"/>
    <mergeCell ref="AV39:AX39"/>
    <mergeCell ref="AN27:AP27"/>
    <mergeCell ref="AV15:AX15"/>
    <mergeCell ref="AV14:AX14"/>
    <mergeCell ref="AV24:AX24"/>
    <mergeCell ref="AF51:AH51"/>
    <mergeCell ref="AF41:AH41"/>
    <mergeCell ref="AV6:AX6"/>
    <mergeCell ref="AB5:AX5"/>
    <mergeCell ref="AF40:AH40"/>
    <mergeCell ref="AB31:AD31"/>
    <mergeCell ref="AB32:AD32"/>
    <mergeCell ref="AB33:AD33"/>
    <mergeCell ref="AB34:AD34"/>
    <mergeCell ref="AB35:AD35"/>
    <mergeCell ref="AB36:AD36"/>
    <mergeCell ref="AB37:AD37"/>
    <mergeCell ref="AB38:AD38"/>
    <mergeCell ref="AB39:AD39"/>
    <mergeCell ref="AB40:AD40"/>
    <mergeCell ref="AF31:AH31"/>
    <mergeCell ref="AF32:AH32"/>
    <mergeCell ref="AF33:AH33"/>
    <mergeCell ref="AF34:AH34"/>
    <mergeCell ref="AV40:AX40"/>
    <mergeCell ref="AN31:AP31"/>
    <mergeCell ref="AN32:AP32"/>
    <mergeCell ref="AV34:AX34"/>
    <mergeCell ref="AV35:AX35"/>
    <mergeCell ref="W59:Z59"/>
    <mergeCell ref="AB59:AD59"/>
    <mergeCell ref="AS41:AU41"/>
    <mergeCell ref="AV41:AX41"/>
    <mergeCell ref="AB41:AD41"/>
    <mergeCell ref="AK41:AM41"/>
    <mergeCell ref="AN41:AP41"/>
    <mergeCell ref="AF58:AH58"/>
    <mergeCell ref="AF59:AH59"/>
    <mergeCell ref="AF43:AH43"/>
    <mergeCell ref="AF44:AH44"/>
    <mergeCell ref="AF45:AH45"/>
    <mergeCell ref="AF46:AH46"/>
    <mergeCell ref="AF47:AH47"/>
    <mergeCell ref="AF48:AH48"/>
    <mergeCell ref="AF49:AH49"/>
    <mergeCell ref="AF52:AH52"/>
    <mergeCell ref="AF53:AH53"/>
    <mergeCell ref="AB43:AD43"/>
    <mergeCell ref="AF54:AH54"/>
    <mergeCell ref="AF55:AH55"/>
    <mergeCell ref="AF56:AH56"/>
    <mergeCell ref="AF57:AH57"/>
    <mergeCell ref="AF50:AH50"/>
    <mergeCell ref="C58:D58"/>
    <mergeCell ref="E58:N58"/>
    <mergeCell ref="P58:Q58"/>
    <mergeCell ref="S58:T58"/>
    <mergeCell ref="W58:Z58"/>
    <mergeCell ref="AB58:AD58"/>
    <mergeCell ref="C57:D57"/>
    <mergeCell ref="E57:N57"/>
    <mergeCell ref="P57:Q57"/>
    <mergeCell ref="S57:T57"/>
    <mergeCell ref="W57:Z57"/>
    <mergeCell ref="AB57:AD57"/>
    <mergeCell ref="C56:D56"/>
    <mergeCell ref="E56:N56"/>
    <mergeCell ref="P56:Q56"/>
    <mergeCell ref="S56:T56"/>
    <mergeCell ref="W56:Z56"/>
    <mergeCell ref="AB56:AD56"/>
    <mergeCell ref="C55:D55"/>
    <mergeCell ref="E55:N55"/>
    <mergeCell ref="P55:Q55"/>
    <mergeCell ref="S55:T55"/>
    <mergeCell ref="W55:Z55"/>
    <mergeCell ref="AB55:AD55"/>
    <mergeCell ref="C54:D54"/>
    <mergeCell ref="E54:N54"/>
    <mergeCell ref="P54:Q54"/>
    <mergeCell ref="S54:T54"/>
    <mergeCell ref="W54:Z54"/>
    <mergeCell ref="AB54:AD54"/>
    <mergeCell ref="C53:D53"/>
    <mergeCell ref="E53:N53"/>
    <mergeCell ref="P53:Q53"/>
    <mergeCell ref="S53:T53"/>
    <mergeCell ref="W53:Z53"/>
    <mergeCell ref="AB53:AD53"/>
    <mergeCell ref="C52:D52"/>
    <mergeCell ref="E52:N52"/>
    <mergeCell ref="P52:Q52"/>
    <mergeCell ref="S52:T52"/>
    <mergeCell ref="W52:Z52"/>
    <mergeCell ref="AB52:AD52"/>
    <mergeCell ref="C51:D51"/>
    <mergeCell ref="E51:N51"/>
    <mergeCell ref="P51:Q51"/>
    <mergeCell ref="S51:T51"/>
    <mergeCell ref="W51:Z51"/>
    <mergeCell ref="AB51:AD51"/>
    <mergeCell ref="C50:D50"/>
    <mergeCell ref="E50:N50"/>
    <mergeCell ref="P50:Q50"/>
    <mergeCell ref="S50:T50"/>
    <mergeCell ref="W50:Z50"/>
    <mergeCell ref="AB50:AD50"/>
    <mergeCell ref="C49:D49"/>
    <mergeCell ref="E49:N49"/>
    <mergeCell ref="P49:Q49"/>
    <mergeCell ref="S49:T49"/>
    <mergeCell ref="W49:Z49"/>
    <mergeCell ref="AB49:AD49"/>
    <mergeCell ref="C48:D48"/>
    <mergeCell ref="E48:N48"/>
    <mergeCell ref="P48:Q48"/>
    <mergeCell ref="S48:T48"/>
    <mergeCell ref="W48:Z48"/>
    <mergeCell ref="AB48:AD48"/>
    <mergeCell ref="C47:D47"/>
    <mergeCell ref="E47:N47"/>
    <mergeCell ref="P47:Q47"/>
    <mergeCell ref="S47:T47"/>
    <mergeCell ref="W47:Z47"/>
    <mergeCell ref="AB47:AD47"/>
    <mergeCell ref="C46:D46"/>
    <mergeCell ref="E46:N46"/>
    <mergeCell ref="P46:Q46"/>
    <mergeCell ref="S46:T46"/>
    <mergeCell ref="W46:Z46"/>
    <mergeCell ref="AB46:AD46"/>
    <mergeCell ref="C45:D45"/>
    <mergeCell ref="E45:N45"/>
    <mergeCell ref="P45:Q45"/>
    <mergeCell ref="S45:T45"/>
    <mergeCell ref="W45:Z45"/>
    <mergeCell ref="AB45:AD45"/>
    <mergeCell ref="O44:R44"/>
    <mergeCell ref="S44:T44"/>
    <mergeCell ref="X44:Z44"/>
    <mergeCell ref="AB44:AD44"/>
    <mergeCell ref="P37:Q37"/>
    <mergeCell ref="S37:T37"/>
    <mergeCell ref="W37:Z37"/>
    <mergeCell ref="W38:Z38"/>
    <mergeCell ref="W39:Z39"/>
    <mergeCell ref="P38:Q38"/>
    <mergeCell ref="S38:T38"/>
    <mergeCell ref="W40:Z40"/>
    <mergeCell ref="W41:Z41"/>
    <mergeCell ref="P41:V41"/>
    <mergeCell ref="C25:D25"/>
    <mergeCell ref="E25:N25"/>
    <mergeCell ref="P25:Q25"/>
    <mergeCell ref="W36:Z36"/>
    <mergeCell ref="C37:D37"/>
    <mergeCell ref="E37:N37"/>
    <mergeCell ref="C40:D40"/>
    <mergeCell ref="E40:N40"/>
    <mergeCell ref="P40:Q40"/>
    <mergeCell ref="S40:T40"/>
    <mergeCell ref="S39:T39"/>
    <mergeCell ref="E39:N39"/>
    <mergeCell ref="P39:Q39"/>
    <mergeCell ref="C35:D35"/>
    <mergeCell ref="E35:N35"/>
    <mergeCell ref="C38:D38"/>
    <mergeCell ref="E38:N38"/>
    <mergeCell ref="C39:D39"/>
    <mergeCell ref="W35:Z35"/>
    <mergeCell ref="C36:D36"/>
    <mergeCell ref="E36:N36"/>
    <mergeCell ref="P36:Q36"/>
    <mergeCell ref="S36:T36"/>
    <mergeCell ref="E26:N26"/>
    <mergeCell ref="P26:Q26"/>
    <mergeCell ref="S26:T26"/>
    <mergeCell ref="C27:D27"/>
    <mergeCell ref="E27:N27"/>
    <mergeCell ref="P27:Q27"/>
    <mergeCell ref="S27:T27"/>
    <mergeCell ref="AF29:AH29"/>
    <mergeCell ref="AB26:AD26"/>
    <mergeCell ref="W27:Z27"/>
    <mergeCell ref="AB27:AD27"/>
    <mergeCell ref="AB25:AD25"/>
    <mergeCell ref="AN25:AP25"/>
    <mergeCell ref="W21:Z21"/>
    <mergeCell ref="AB21:AD21"/>
    <mergeCell ref="S11:T11"/>
    <mergeCell ref="W11:Z11"/>
    <mergeCell ref="AB11:AD11"/>
    <mergeCell ref="AF16:AH16"/>
    <mergeCell ref="AF17:AH17"/>
    <mergeCell ref="AN24:AP24"/>
    <mergeCell ref="AF11:AH11"/>
    <mergeCell ref="AF12:AH12"/>
    <mergeCell ref="AN16:AP16"/>
    <mergeCell ref="AN18:AP18"/>
    <mergeCell ref="AF23:AH23"/>
    <mergeCell ref="AF24:AH24"/>
    <mergeCell ref="AV23:AX23"/>
    <mergeCell ref="AN23:AP23"/>
    <mergeCell ref="AN13:AP13"/>
    <mergeCell ref="AV13:AX13"/>
    <mergeCell ref="AV22:AX22"/>
    <mergeCell ref="AN22:AP22"/>
    <mergeCell ref="O6:R6"/>
    <mergeCell ref="S6:T6"/>
    <mergeCell ref="X6:Z6"/>
    <mergeCell ref="AB6:AD6"/>
    <mergeCell ref="AJ6:AL6"/>
    <mergeCell ref="AR6:AT6"/>
    <mergeCell ref="AJ7:AL7"/>
    <mergeCell ref="AR7:AT7"/>
    <mergeCell ref="AN8:AP8"/>
    <mergeCell ref="AF7:AH7"/>
    <mergeCell ref="AF8:AH8"/>
    <mergeCell ref="AN6:AP6"/>
    <mergeCell ref="W9:Z9"/>
    <mergeCell ref="AB9:AD9"/>
    <mergeCell ref="AN9:AP9"/>
    <mergeCell ref="AF9:AH9"/>
    <mergeCell ref="AF10:AH10"/>
    <mergeCell ref="AN10:AP10"/>
    <mergeCell ref="C7:D7"/>
    <mergeCell ref="E7:N7"/>
    <mergeCell ref="P7:Q7"/>
    <mergeCell ref="S7:T7"/>
    <mergeCell ref="W7:Z7"/>
    <mergeCell ref="AB7:AD7"/>
    <mergeCell ref="C8:D8"/>
    <mergeCell ref="E8:N8"/>
    <mergeCell ref="P8:Q8"/>
    <mergeCell ref="S8:T8"/>
    <mergeCell ref="W8:Z8"/>
    <mergeCell ref="AB8:AD8"/>
    <mergeCell ref="C9:D9"/>
    <mergeCell ref="E9:N9"/>
    <mergeCell ref="P9:Q9"/>
    <mergeCell ref="AV7:AX7"/>
    <mergeCell ref="P33:Q33"/>
    <mergeCell ref="S33:T33"/>
    <mergeCell ref="AV8:AX8"/>
    <mergeCell ref="AV9:AX9"/>
    <mergeCell ref="AV10:AX10"/>
    <mergeCell ref="AN12:AP12"/>
    <mergeCell ref="AV12:AX12"/>
    <mergeCell ref="AN7:AP7"/>
    <mergeCell ref="S9:T9"/>
    <mergeCell ref="AN11:AP11"/>
    <mergeCell ref="AV11:AX11"/>
    <mergeCell ref="C10:D10"/>
    <mergeCell ref="E10:N10"/>
    <mergeCell ref="P10:Q10"/>
    <mergeCell ref="S10:T10"/>
    <mergeCell ref="W10:Z10"/>
    <mergeCell ref="AB10:AD10"/>
    <mergeCell ref="C11:D11"/>
    <mergeCell ref="E11:N11"/>
    <mergeCell ref="P11:Q11"/>
    <mergeCell ref="C12:D12"/>
    <mergeCell ref="E12:N12"/>
    <mergeCell ref="P12:Q12"/>
    <mergeCell ref="S12:T12"/>
    <mergeCell ref="W12:Z12"/>
    <mergeCell ref="AB12:AD12"/>
    <mergeCell ref="AF13:AH13"/>
    <mergeCell ref="C13:D13"/>
    <mergeCell ref="E13:N13"/>
    <mergeCell ref="P13:Q13"/>
    <mergeCell ref="S13:T13"/>
    <mergeCell ref="W13:Z13"/>
    <mergeCell ref="AB13:AD13"/>
    <mergeCell ref="C14:D14"/>
    <mergeCell ref="E14:N14"/>
    <mergeCell ref="P14:Q14"/>
    <mergeCell ref="S14:T14"/>
    <mergeCell ref="W14:Z14"/>
    <mergeCell ref="AB14:AD14"/>
    <mergeCell ref="AF15:AH15"/>
    <mergeCell ref="AN14:AP14"/>
    <mergeCell ref="AF14:AH14"/>
    <mergeCell ref="C15:D15"/>
    <mergeCell ref="E15:N15"/>
    <mergeCell ref="P15:Q15"/>
    <mergeCell ref="S15:T15"/>
    <mergeCell ref="W15:Z15"/>
    <mergeCell ref="AB15:AD15"/>
    <mergeCell ref="AN15:AP15"/>
    <mergeCell ref="C16:D16"/>
    <mergeCell ref="E16:N16"/>
    <mergeCell ref="P16:Q16"/>
    <mergeCell ref="S16:T16"/>
    <mergeCell ref="W16:Z16"/>
    <mergeCell ref="AB16:AD16"/>
    <mergeCell ref="AF19:AH19"/>
    <mergeCell ref="AV16:AX16"/>
    <mergeCell ref="C17:D17"/>
    <mergeCell ref="E17:N17"/>
    <mergeCell ref="P17:Q17"/>
    <mergeCell ref="S17:T17"/>
    <mergeCell ref="W17:Z17"/>
    <mergeCell ref="AB17:AD17"/>
    <mergeCell ref="AN17:AP17"/>
    <mergeCell ref="AV17:AX17"/>
    <mergeCell ref="E18:N18"/>
    <mergeCell ref="P18:Q18"/>
    <mergeCell ref="S18:T18"/>
    <mergeCell ref="W18:Z18"/>
    <mergeCell ref="AB18:AD18"/>
    <mergeCell ref="AF18:AH18"/>
    <mergeCell ref="AV18:AX18"/>
    <mergeCell ref="C19:D19"/>
    <mergeCell ref="C18:D18"/>
    <mergeCell ref="AN21:AP21"/>
    <mergeCell ref="AV21:AX21"/>
    <mergeCell ref="C20:D20"/>
    <mergeCell ref="E20:N20"/>
    <mergeCell ref="P20:Q20"/>
    <mergeCell ref="S20:T20"/>
    <mergeCell ref="W20:Z20"/>
    <mergeCell ref="AB20:AD20"/>
    <mergeCell ref="AF20:AH20"/>
    <mergeCell ref="AF21:AH21"/>
    <mergeCell ref="AN20:AP20"/>
    <mergeCell ref="AV20:AX20"/>
    <mergeCell ref="C21:D21"/>
    <mergeCell ref="E21:N21"/>
    <mergeCell ref="P21:Q21"/>
    <mergeCell ref="S21:T21"/>
    <mergeCell ref="C24:D24"/>
    <mergeCell ref="E24:N24"/>
    <mergeCell ref="P24:Q24"/>
    <mergeCell ref="S24:T24"/>
    <mergeCell ref="W24:Z24"/>
    <mergeCell ref="AB24:AD24"/>
    <mergeCell ref="AV27:AX27"/>
    <mergeCell ref="W26:Z26"/>
    <mergeCell ref="E19:N19"/>
    <mergeCell ref="P19:Q19"/>
    <mergeCell ref="S19:T19"/>
    <mergeCell ref="W19:Z19"/>
    <mergeCell ref="AB19:AD19"/>
    <mergeCell ref="AN19:AP19"/>
    <mergeCell ref="AV19:AX19"/>
    <mergeCell ref="S25:T25"/>
    <mergeCell ref="W25:Z25"/>
    <mergeCell ref="AF25:AH25"/>
    <mergeCell ref="AF26:AH26"/>
    <mergeCell ref="AF27:AH27"/>
    <mergeCell ref="AV25:AX25"/>
    <mergeCell ref="AN26:AP26"/>
    <mergeCell ref="AV26:AX26"/>
    <mergeCell ref="C26:D26"/>
    <mergeCell ref="C22:D22"/>
    <mergeCell ref="E22:N22"/>
    <mergeCell ref="P22:Q22"/>
    <mergeCell ref="S22:T22"/>
    <mergeCell ref="W22:Z22"/>
    <mergeCell ref="AB22:AD22"/>
    <mergeCell ref="E23:N23"/>
    <mergeCell ref="C23:D23"/>
    <mergeCell ref="AF22:AH22"/>
    <mergeCell ref="AB23:AD23"/>
    <mergeCell ref="W23:Z23"/>
    <mergeCell ref="S23:T23"/>
    <mergeCell ref="P23:Q23"/>
    <mergeCell ref="S34:T34"/>
    <mergeCell ref="W29:Z29"/>
    <mergeCell ref="AB29:AD29"/>
    <mergeCell ref="AN29:AP29"/>
    <mergeCell ref="AV29:AX29"/>
    <mergeCell ref="C28:D28"/>
    <mergeCell ref="E28:N28"/>
    <mergeCell ref="P28:Q28"/>
    <mergeCell ref="S28:T28"/>
    <mergeCell ref="W28:Z28"/>
    <mergeCell ref="AB28:AD28"/>
    <mergeCell ref="AV28:AX28"/>
    <mergeCell ref="C29:D29"/>
    <mergeCell ref="E29:N29"/>
    <mergeCell ref="P29:Q29"/>
    <mergeCell ref="S29:T29"/>
    <mergeCell ref="AN28:AP28"/>
    <mergeCell ref="W34:Z34"/>
    <mergeCell ref="C31:D31"/>
    <mergeCell ref="E31:N31"/>
    <mergeCell ref="P31:Q31"/>
    <mergeCell ref="S31:T31"/>
    <mergeCell ref="W31:Z31"/>
    <mergeCell ref="AN33:AP33"/>
    <mergeCell ref="P59:V59"/>
    <mergeCell ref="P35:Q35"/>
    <mergeCell ref="S35:T35"/>
    <mergeCell ref="AV30:AX30"/>
    <mergeCell ref="AV31:AX31"/>
    <mergeCell ref="AV32:AX32"/>
    <mergeCell ref="AV33:AX33"/>
    <mergeCell ref="C30:D30"/>
    <mergeCell ref="E30:N30"/>
    <mergeCell ref="P30:Q30"/>
    <mergeCell ref="S30:T30"/>
    <mergeCell ref="W30:Z30"/>
    <mergeCell ref="AB30:AD30"/>
    <mergeCell ref="E32:N32"/>
    <mergeCell ref="P32:Q32"/>
    <mergeCell ref="S32:T32"/>
    <mergeCell ref="W32:Z32"/>
    <mergeCell ref="C32:D32"/>
    <mergeCell ref="W33:Z33"/>
    <mergeCell ref="C34:D34"/>
    <mergeCell ref="C33:D33"/>
    <mergeCell ref="E33:N33"/>
    <mergeCell ref="E34:N34"/>
    <mergeCell ref="P34:Q34"/>
  </mergeCells>
  <pageMargins left="0.7" right="0.7" top="0.75" bottom="0.75" header="0.3" footer="0.3"/>
  <pageSetup scale="70"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pageSetUpPr fitToPage="1"/>
  </sheetPr>
  <dimension ref="B1:AS121"/>
  <sheetViews>
    <sheetView topLeftCell="L1" zoomScale="110" zoomScaleNormal="110" workbookViewId="0">
      <pane ySplit="6" topLeftCell="A44" activePane="bottomLeft" state="frozen"/>
      <selection pane="bottomLeft"/>
    </sheetView>
  </sheetViews>
  <sheetFormatPr baseColWidth="10" defaultColWidth="11" defaultRowHeight="21" x14ac:dyDescent="0.25"/>
  <cols>
    <col min="1" max="17" width="4.6640625" style="110" customWidth="1"/>
    <col min="18" max="19" width="4.6640625" style="238" customWidth="1"/>
    <col min="20" max="34" width="4.6640625" style="110" customWidth="1"/>
    <col min="35" max="35" width="1" style="110" customWidth="1"/>
    <col min="36" max="36" width="4.6640625" style="200" customWidth="1"/>
    <col min="37" max="52" width="4.6640625" style="110" customWidth="1"/>
    <col min="53" max="16384" width="11" style="110"/>
  </cols>
  <sheetData>
    <row r="1" spans="2:45" ht="16.25" customHeight="1" x14ac:dyDescent="0.25">
      <c r="C1" s="235"/>
      <c r="D1" s="236"/>
      <c r="E1" s="236"/>
      <c r="F1" s="236"/>
      <c r="G1" s="236"/>
      <c r="H1" s="236"/>
      <c r="I1" s="236"/>
      <c r="J1" s="236"/>
      <c r="K1" s="237"/>
    </row>
    <row r="2" spans="2:45" ht="16.25" customHeight="1" x14ac:dyDescent="0.25">
      <c r="C2" s="239"/>
      <c r="D2" s="988" t="s">
        <v>516</v>
      </c>
      <c r="E2" s="988"/>
      <c r="F2" s="988"/>
      <c r="G2" s="240"/>
      <c r="H2" s="987" t="s">
        <v>515</v>
      </c>
      <c r="I2" s="987"/>
      <c r="J2" s="987"/>
      <c r="K2" s="241"/>
    </row>
    <row r="3" spans="2:45" ht="16.25" customHeight="1" x14ac:dyDescent="0.25">
      <c r="C3" s="239"/>
      <c r="D3" s="988"/>
      <c r="E3" s="988"/>
      <c r="F3" s="988"/>
      <c r="G3" s="240"/>
      <c r="H3" s="987"/>
      <c r="I3" s="987"/>
      <c r="J3" s="987"/>
      <c r="K3" s="241"/>
    </row>
    <row r="4" spans="2:45" ht="16.25" customHeight="1" x14ac:dyDescent="0.25">
      <c r="C4" s="242"/>
      <c r="D4" s="243"/>
      <c r="E4" s="243"/>
      <c r="F4" s="243"/>
      <c r="G4" s="243"/>
      <c r="H4" s="243"/>
      <c r="I4" s="243"/>
      <c r="J4" s="243"/>
      <c r="K4" s="244"/>
    </row>
    <row r="5" spans="2:45" ht="16.25" customHeight="1" x14ac:dyDescent="0.25"/>
    <row r="6" spans="2:45" s="362" customFormat="1" ht="20" customHeight="1" x14ac:dyDescent="0.2">
      <c r="C6" s="377" t="s">
        <v>234</v>
      </c>
      <c r="D6" s="378" t="s">
        <v>534</v>
      </c>
      <c r="E6" s="379"/>
      <c r="F6" s="380"/>
      <c r="G6" s="380"/>
      <c r="H6" s="380"/>
      <c r="I6" s="380"/>
      <c r="J6" s="380"/>
      <c r="K6" s="380"/>
      <c r="L6" s="380"/>
      <c r="M6" s="380"/>
      <c r="N6" s="380"/>
      <c r="O6" s="380"/>
      <c r="P6" s="380"/>
      <c r="Q6" s="380"/>
      <c r="R6" s="381"/>
      <c r="S6" s="381"/>
      <c r="T6" s="380"/>
      <c r="U6" s="380"/>
      <c r="V6" s="380"/>
      <c r="W6" s="380"/>
      <c r="X6" s="380"/>
      <c r="Y6" s="382"/>
      <c r="Z6" s="383"/>
    </row>
    <row r="7" spans="2:45" ht="15" customHeight="1" x14ac:dyDescent="0.25">
      <c r="C7" s="978">
        <v>10000</v>
      </c>
      <c r="D7" s="979"/>
      <c r="E7" s="704" t="s">
        <v>513</v>
      </c>
      <c r="F7" s="704"/>
      <c r="G7" s="704"/>
      <c r="H7" s="704"/>
      <c r="I7" s="704"/>
      <c r="J7" s="704"/>
      <c r="K7" s="704"/>
      <c r="L7" s="704"/>
      <c r="M7" s="704"/>
      <c r="N7" s="704"/>
      <c r="O7" s="704"/>
      <c r="P7" s="704"/>
      <c r="Q7" s="704"/>
      <c r="R7" s="704"/>
      <c r="S7" s="704"/>
      <c r="T7" s="704"/>
      <c r="U7" s="704"/>
      <c r="V7" s="704"/>
      <c r="W7" s="704"/>
      <c r="X7" s="704"/>
      <c r="Y7" s="704"/>
      <c r="Z7" s="256" t="s">
        <v>533</v>
      </c>
    </row>
    <row r="8" spans="2:45" ht="15" hidden="1" customHeight="1" x14ac:dyDescent="0.25">
      <c r="C8" s="980"/>
      <c r="D8" s="981"/>
      <c r="E8" s="989" t="s">
        <v>514</v>
      </c>
      <c r="F8" s="989"/>
      <c r="G8" s="989"/>
      <c r="H8" s="989"/>
      <c r="I8" s="989"/>
      <c r="J8" s="989"/>
      <c r="K8" s="989"/>
      <c r="L8" s="989"/>
      <c r="M8" s="989"/>
      <c r="N8" s="989"/>
      <c r="O8" s="989"/>
      <c r="P8" s="989"/>
      <c r="Q8" s="989"/>
      <c r="R8" s="989"/>
      <c r="S8" s="989"/>
      <c r="T8" s="989"/>
      <c r="U8" s="989"/>
      <c r="V8" s="989"/>
      <c r="W8" s="989"/>
      <c r="X8" s="989"/>
      <c r="Y8" s="989"/>
      <c r="Z8" s="990"/>
    </row>
    <row r="9" spans="2:45" ht="15" hidden="1" customHeight="1" x14ac:dyDescent="0.25">
      <c r="C9" s="980"/>
      <c r="D9" s="981"/>
      <c r="E9" s="989"/>
      <c r="F9" s="989"/>
      <c r="G9" s="989"/>
      <c r="H9" s="989"/>
      <c r="I9" s="989"/>
      <c r="J9" s="989"/>
      <c r="K9" s="989"/>
      <c r="L9" s="989"/>
      <c r="M9" s="989"/>
      <c r="N9" s="989"/>
      <c r="O9" s="989"/>
      <c r="P9" s="989"/>
      <c r="Q9" s="989"/>
      <c r="R9" s="989"/>
      <c r="S9" s="989"/>
      <c r="T9" s="989"/>
      <c r="U9" s="989"/>
      <c r="V9" s="989"/>
      <c r="W9" s="989"/>
      <c r="X9" s="989"/>
      <c r="Y9" s="989"/>
      <c r="Z9" s="990"/>
    </row>
    <row r="10" spans="2:45" ht="15" hidden="1" customHeight="1" x14ac:dyDescent="0.25">
      <c r="C10" s="982"/>
      <c r="D10" s="983"/>
      <c r="E10" s="989"/>
      <c r="F10" s="989"/>
      <c r="G10" s="989"/>
      <c r="H10" s="989"/>
      <c r="I10" s="989"/>
      <c r="J10" s="989"/>
      <c r="K10" s="989"/>
      <c r="L10" s="989"/>
      <c r="M10" s="989"/>
      <c r="N10" s="989"/>
      <c r="O10" s="989"/>
      <c r="P10" s="989"/>
      <c r="Q10" s="989"/>
      <c r="R10" s="989"/>
      <c r="S10" s="989"/>
      <c r="T10" s="989"/>
      <c r="U10" s="989"/>
      <c r="V10" s="989"/>
      <c r="W10" s="989"/>
      <c r="X10" s="989"/>
      <c r="Y10" s="989"/>
      <c r="Z10" s="990"/>
    </row>
    <row r="11" spans="2:45" ht="15" customHeight="1" x14ac:dyDescent="0.15">
      <c r="C11" s="137"/>
      <c r="D11" s="138"/>
      <c r="E11" s="233" t="s">
        <v>384</v>
      </c>
      <c r="F11" s="233"/>
      <c r="G11" s="233"/>
      <c r="H11" s="233"/>
      <c r="I11" s="233"/>
      <c r="J11" s="233"/>
      <c r="K11" s="233"/>
      <c r="L11" s="233"/>
      <c r="M11" s="233"/>
      <c r="N11" s="233"/>
      <c r="O11" s="252" t="s">
        <v>375</v>
      </c>
      <c r="P11" s="252"/>
      <c r="Q11" s="234"/>
      <c r="R11" s="253" t="s">
        <v>220</v>
      </c>
      <c r="S11" s="253"/>
      <c r="T11" s="234"/>
      <c r="U11" s="234" t="s">
        <v>400</v>
      </c>
      <c r="V11" s="234"/>
      <c r="W11" s="234"/>
      <c r="X11" s="254" t="s">
        <v>370</v>
      </c>
      <c r="Y11" s="254"/>
      <c r="Z11" s="255"/>
      <c r="AB11" s="723" t="s">
        <v>363</v>
      </c>
      <c r="AC11" s="724"/>
      <c r="AD11" s="725"/>
      <c r="AF11" s="723" t="s">
        <v>447</v>
      </c>
      <c r="AG11" s="724"/>
      <c r="AH11" s="725"/>
      <c r="AI11" s="258"/>
      <c r="AJ11" s="232" t="s">
        <v>524</v>
      </c>
      <c r="AK11" s="994" t="str">
        <f>"Add Line in Section "&amp;C7</f>
        <v>Add Line in Section 10000</v>
      </c>
      <c r="AL11" s="995"/>
      <c r="AM11" s="995"/>
      <c r="AN11" s="995"/>
      <c r="AO11" s="995"/>
      <c r="AP11" s="995"/>
      <c r="AQ11" s="995"/>
      <c r="AR11" s="995"/>
      <c r="AS11" s="996"/>
    </row>
    <row r="12" spans="2:45" s="51" customFormat="1" ht="15" customHeight="1" x14ac:dyDescent="0.15">
      <c r="C12" s="991">
        <v>1</v>
      </c>
      <c r="D12" s="992"/>
      <c r="E12" s="700"/>
      <c r="F12" s="700"/>
      <c r="G12" s="700"/>
      <c r="H12" s="700"/>
      <c r="I12" s="700"/>
      <c r="J12" s="700"/>
      <c r="K12" s="700"/>
      <c r="L12" s="700"/>
      <c r="M12" s="700"/>
      <c r="N12" s="309"/>
      <c r="O12" s="993" t="s">
        <v>116</v>
      </c>
      <c r="P12" s="993"/>
      <c r="Q12" s="310" t="s">
        <v>117</v>
      </c>
      <c r="R12" s="789"/>
      <c r="S12" s="789"/>
      <c r="T12" s="311" t="s">
        <v>143</v>
      </c>
      <c r="U12" s="311"/>
      <c r="V12" s="311"/>
      <c r="W12" s="311"/>
      <c r="X12" s="984">
        <f t="shared" ref="X12:X13" si="0">N12*R12*(IF(ISNUMBER(U12),U12,IF(ISNUMBER(N12),1,0)))</f>
        <v>0</v>
      </c>
      <c r="Y12" s="984"/>
      <c r="Z12" s="985"/>
      <c r="AB12" s="986">
        <v>0</v>
      </c>
      <c r="AC12" s="984"/>
      <c r="AD12" s="985"/>
      <c r="AF12" s="986">
        <f t="shared" ref="AF12:AF16" si="1">AB12-X12</f>
        <v>0</v>
      </c>
      <c r="AG12" s="984"/>
      <c r="AH12" s="985"/>
      <c r="AI12" s="346"/>
      <c r="AJ12" s="347" t="s">
        <v>525</v>
      </c>
      <c r="AK12" s="434" t="str">
        <f>"Remove Line "&amp;TEXT(C12,"00#")&amp;" "&amp;E12</f>
        <v xml:space="preserve">Remove Line 001 </v>
      </c>
      <c r="AL12" s="434"/>
      <c r="AM12" s="434"/>
      <c r="AN12" s="434"/>
      <c r="AO12" s="434"/>
      <c r="AP12" s="434"/>
      <c r="AQ12" s="434"/>
      <c r="AR12" s="434"/>
      <c r="AS12" s="600"/>
    </row>
    <row r="13" spans="2:45" s="51" customFormat="1" ht="15" customHeight="1" x14ac:dyDescent="0.15">
      <c r="C13" s="991">
        <v>2</v>
      </c>
      <c r="D13" s="992"/>
      <c r="E13" s="700"/>
      <c r="F13" s="700"/>
      <c r="G13" s="700"/>
      <c r="H13" s="700"/>
      <c r="I13" s="700"/>
      <c r="J13" s="700"/>
      <c r="K13" s="700"/>
      <c r="L13" s="700"/>
      <c r="M13" s="700"/>
      <c r="N13" s="309"/>
      <c r="O13" s="993" t="s">
        <v>116</v>
      </c>
      <c r="P13" s="993"/>
      <c r="Q13" s="310" t="s">
        <v>117</v>
      </c>
      <c r="R13" s="789"/>
      <c r="S13" s="789"/>
      <c r="T13" s="311" t="s">
        <v>143</v>
      </c>
      <c r="U13" s="311"/>
      <c r="V13" s="311"/>
      <c r="W13" s="311"/>
      <c r="X13" s="984">
        <f t="shared" si="0"/>
        <v>0</v>
      </c>
      <c r="Y13" s="984"/>
      <c r="Z13" s="985"/>
      <c r="AB13" s="986">
        <v>0</v>
      </c>
      <c r="AC13" s="984"/>
      <c r="AD13" s="985"/>
      <c r="AF13" s="986">
        <f t="shared" si="1"/>
        <v>0</v>
      </c>
      <c r="AG13" s="984"/>
      <c r="AH13" s="985"/>
      <c r="AI13" s="346"/>
      <c r="AJ13" s="347" t="s">
        <v>525</v>
      </c>
      <c r="AK13" s="434" t="str">
        <f t="shared" ref="AK13" si="2">"Remove Line "&amp;TEXT(C13,"00#")&amp;" "&amp;E13</f>
        <v xml:space="preserve">Remove Line 002 </v>
      </c>
      <c r="AL13" s="434"/>
      <c r="AM13" s="434"/>
      <c r="AN13" s="434"/>
      <c r="AO13" s="434"/>
      <c r="AP13" s="434"/>
      <c r="AQ13" s="434"/>
      <c r="AR13" s="434"/>
      <c r="AS13" s="600"/>
    </row>
    <row r="14" spans="2:45" s="51" customFormat="1" ht="15" customHeight="1" x14ac:dyDescent="0.15">
      <c r="C14" s="991">
        <v>3</v>
      </c>
      <c r="D14" s="992"/>
      <c r="E14" s="700"/>
      <c r="F14" s="700"/>
      <c r="G14" s="700"/>
      <c r="H14" s="700"/>
      <c r="I14" s="700"/>
      <c r="J14" s="700"/>
      <c r="K14" s="700"/>
      <c r="L14" s="700"/>
      <c r="M14" s="700"/>
      <c r="N14" s="309"/>
      <c r="O14" s="993" t="s">
        <v>116</v>
      </c>
      <c r="P14" s="993"/>
      <c r="Q14" s="310" t="s">
        <v>117</v>
      </c>
      <c r="R14" s="789"/>
      <c r="S14" s="789"/>
      <c r="T14" s="311" t="s">
        <v>143</v>
      </c>
      <c r="U14" s="311"/>
      <c r="V14" s="311"/>
      <c r="W14" s="311"/>
      <c r="X14" s="984">
        <f t="shared" ref="X14" si="3">N14*R14*(IF(ISNUMBER(U14),U14,IF(ISNUMBER(N14),1,0)))</f>
        <v>0</v>
      </c>
      <c r="Y14" s="984"/>
      <c r="Z14" s="985"/>
      <c r="AB14" s="986">
        <v>0</v>
      </c>
      <c r="AC14" s="984"/>
      <c r="AD14" s="985"/>
      <c r="AF14" s="986">
        <f t="shared" ref="AF14" si="4">AB14-X14</f>
        <v>0</v>
      </c>
      <c r="AG14" s="984"/>
      <c r="AH14" s="985"/>
      <c r="AI14" s="346"/>
      <c r="AJ14" s="347" t="s">
        <v>525</v>
      </c>
      <c r="AK14" s="434" t="str">
        <f t="shared" ref="AK14" si="5">"Remove Line "&amp;TEXT(C14,"00#")&amp;" "&amp;E14</f>
        <v xml:space="preserve">Remove Line 003 </v>
      </c>
      <c r="AL14" s="434"/>
      <c r="AM14" s="434"/>
      <c r="AN14" s="434"/>
      <c r="AO14" s="434"/>
      <c r="AP14" s="434"/>
      <c r="AQ14" s="434"/>
      <c r="AR14" s="434"/>
      <c r="AS14" s="600"/>
    </row>
    <row r="15" spans="2:45" s="51" customFormat="1" ht="15" customHeight="1" x14ac:dyDescent="0.15">
      <c r="C15" s="991">
        <v>4</v>
      </c>
      <c r="D15" s="992"/>
      <c r="E15" s="700"/>
      <c r="F15" s="700"/>
      <c r="G15" s="700"/>
      <c r="H15" s="700"/>
      <c r="I15" s="700"/>
      <c r="J15" s="700"/>
      <c r="K15" s="700"/>
      <c r="L15" s="700"/>
      <c r="M15" s="700"/>
      <c r="N15" s="309"/>
      <c r="O15" s="993" t="s">
        <v>116</v>
      </c>
      <c r="P15" s="993"/>
      <c r="Q15" s="310" t="s">
        <v>117</v>
      </c>
      <c r="R15" s="789"/>
      <c r="S15" s="789"/>
      <c r="T15" s="311" t="s">
        <v>143</v>
      </c>
      <c r="U15" s="311"/>
      <c r="V15" s="311"/>
      <c r="W15" s="311"/>
      <c r="X15" s="984">
        <f t="shared" ref="X15" si="6">N15*R15*(IF(ISNUMBER(U15),U15,IF(ISNUMBER(N15),1,0)))</f>
        <v>0</v>
      </c>
      <c r="Y15" s="984"/>
      <c r="Z15" s="985"/>
      <c r="AB15" s="986">
        <v>0</v>
      </c>
      <c r="AC15" s="984"/>
      <c r="AD15" s="985"/>
      <c r="AF15" s="986">
        <f t="shared" ref="AF15" si="7">AB15-X15</f>
        <v>0</v>
      </c>
      <c r="AG15" s="984"/>
      <c r="AH15" s="985"/>
      <c r="AI15" s="346"/>
      <c r="AJ15" s="347" t="s">
        <v>525</v>
      </c>
      <c r="AK15" s="434" t="str">
        <f t="shared" ref="AK15" si="8">"Remove Line "&amp;TEXT(C15,"00#")&amp;" "&amp;E15</f>
        <v xml:space="preserve">Remove Line 004 </v>
      </c>
      <c r="AL15" s="434"/>
      <c r="AM15" s="434"/>
      <c r="AN15" s="434"/>
      <c r="AO15" s="434"/>
      <c r="AP15" s="434"/>
      <c r="AQ15" s="434"/>
      <c r="AR15" s="434"/>
      <c r="AS15" s="600"/>
    </row>
    <row r="16" spans="2:45" s="1" customFormat="1" ht="15" customHeight="1" x14ac:dyDescent="0.2">
      <c r="B16" s="394"/>
      <c r="D16" s="395"/>
      <c r="E16" s="396"/>
      <c r="F16" s="396"/>
      <c r="G16" s="396"/>
      <c r="H16" s="396"/>
      <c r="I16" s="396"/>
      <c r="J16" s="396"/>
      <c r="K16" s="396"/>
      <c r="L16" s="396"/>
      <c r="M16" s="396"/>
      <c r="N16" s="396"/>
      <c r="O16" s="1003" t="str">
        <f>"Total "&amp;E7</f>
        <v>Total Section Title</v>
      </c>
      <c r="P16" s="1003"/>
      <c r="Q16" s="1003"/>
      <c r="R16" s="1003"/>
      <c r="S16" s="1003"/>
      <c r="T16" s="1003"/>
      <c r="U16" s="1003"/>
      <c r="V16" s="1003"/>
      <c r="W16" s="1004"/>
      <c r="X16" s="997">
        <f ca="1">SUM(INDIRECT("X"&amp;ROW(X_10000Bef)+1&amp;":X"&amp;ROW()-1))</f>
        <v>0</v>
      </c>
      <c r="Y16" s="998"/>
      <c r="Z16" s="999"/>
      <c r="AB16" s="1005">
        <f ca="1">SUM(INDIRECT("AB"&amp;ROW(X_10000Bef)+1&amp;":AB"&amp;ROW()-1))</f>
        <v>0</v>
      </c>
      <c r="AC16" s="1006"/>
      <c r="AD16" s="1007"/>
      <c r="AF16" s="1000">
        <f t="shared" ca="1" si="1"/>
        <v>0</v>
      </c>
      <c r="AG16" s="1001"/>
      <c r="AH16" s="1002"/>
      <c r="AI16" s="397"/>
    </row>
    <row r="17" spans="3:45" ht="15" customHeight="1" x14ac:dyDescent="0.25">
      <c r="C17" s="245"/>
      <c r="D17" s="245"/>
      <c r="E17" s="246"/>
      <c r="F17" s="246"/>
      <c r="G17" s="246"/>
      <c r="H17" s="246"/>
      <c r="I17" s="246"/>
      <c r="J17" s="246"/>
      <c r="K17" s="246"/>
      <c r="L17" s="246"/>
      <c r="M17" s="246"/>
      <c r="N17" s="246"/>
      <c r="O17" s="246"/>
      <c r="P17" s="246"/>
      <c r="Q17" s="247"/>
      <c r="R17" s="248"/>
      <c r="S17" s="248"/>
      <c r="T17" s="249"/>
      <c r="U17" s="249"/>
      <c r="V17" s="249"/>
      <c r="W17" s="249"/>
      <c r="X17" s="250"/>
      <c r="Y17" s="250"/>
      <c r="Z17" s="251"/>
    </row>
    <row r="18" spans="3:45" ht="15" customHeight="1" x14ac:dyDescent="0.25">
      <c r="C18" s="978">
        <v>10001</v>
      </c>
      <c r="D18" s="979"/>
      <c r="E18" s="704" t="s">
        <v>513</v>
      </c>
      <c r="F18" s="704"/>
      <c r="G18" s="704"/>
      <c r="H18" s="704"/>
      <c r="I18" s="704"/>
      <c r="J18" s="704"/>
      <c r="K18" s="704"/>
      <c r="L18" s="704"/>
      <c r="M18" s="704"/>
      <c r="N18" s="704"/>
      <c r="O18" s="704"/>
      <c r="P18" s="704"/>
      <c r="Q18" s="704"/>
      <c r="R18" s="704"/>
      <c r="S18" s="704"/>
      <c r="T18" s="704"/>
      <c r="U18" s="704"/>
      <c r="V18" s="704"/>
      <c r="W18" s="704"/>
      <c r="X18" s="704"/>
      <c r="Y18" s="704"/>
      <c r="Z18" s="256" t="s">
        <v>533</v>
      </c>
    </row>
    <row r="19" spans="3:45" ht="15" hidden="1" customHeight="1" x14ac:dyDescent="0.25">
      <c r="C19" s="980"/>
      <c r="D19" s="981"/>
      <c r="E19" s="989" t="s">
        <v>514</v>
      </c>
      <c r="F19" s="989"/>
      <c r="G19" s="989"/>
      <c r="H19" s="989"/>
      <c r="I19" s="989"/>
      <c r="J19" s="989"/>
      <c r="K19" s="989"/>
      <c r="L19" s="989"/>
      <c r="M19" s="989"/>
      <c r="N19" s="989"/>
      <c r="O19" s="989"/>
      <c r="P19" s="989"/>
      <c r="Q19" s="989"/>
      <c r="R19" s="989"/>
      <c r="S19" s="989"/>
      <c r="T19" s="989"/>
      <c r="U19" s="989"/>
      <c r="V19" s="989"/>
      <c r="W19" s="989"/>
      <c r="X19" s="989"/>
      <c r="Y19" s="989"/>
      <c r="Z19" s="990"/>
      <c r="AB19"/>
      <c r="AC19"/>
      <c r="AD19"/>
      <c r="AE19"/>
      <c r="AF19"/>
      <c r="AG19"/>
      <c r="AH19"/>
      <c r="AI19"/>
    </row>
    <row r="20" spans="3:45" ht="15" hidden="1" customHeight="1" x14ac:dyDescent="0.25">
      <c r="C20" s="980"/>
      <c r="D20" s="981"/>
      <c r="E20" s="989"/>
      <c r="F20" s="989"/>
      <c r="G20" s="989"/>
      <c r="H20" s="989"/>
      <c r="I20" s="989"/>
      <c r="J20" s="989"/>
      <c r="K20" s="989"/>
      <c r="L20" s="989"/>
      <c r="M20" s="989"/>
      <c r="N20" s="989"/>
      <c r="O20" s="989"/>
      <c r="P20" s="989"/>
      <c r="Q20" s="989"/>
      <c r="R20" s="989"/>
      <c r="S20" s="989"/>
      <c r="T20" s="989"/>
      <c r="U20" s="989"/>
      <c r="V20" s="989"/>
      <c r="W20" s="989"/>
      <c r="X20" s="989"/>
      <c r="Y20" s="989"/>
      <c r="Z20" s="990"/>
      <c r="AB20"/>
      <c r="AC20"/>
      <c r="AD20"/>
      <c r="AE20"/>
      <c r="AF20"/>
      <c r="AG20"/>
      <c r="AH20"/>
      <c r="AI20"/>
    </row>
    <row r="21" spans="3:45" ht="15" hidden="1" customHeight="1" x14ac:dyDescent="0.25">
      <c r="C21" s="982"/>
      <c r="D21" s="983"/>
      <c r="E21" s="989"/>
      <c r="F21" s="989"/>
      <c r="G21" s="989"/>
      <c r="H21" s="989"/>
      <c r="I21" s="989"/>
      <c r="J21" s="989"/>
      <c r="K21" s="989"/>
      <c r="L21" s="989"/>
      <c r="M21" s="989"/>
      <c r="N21" s="989"/>
      <c r="O21" s="989"/>
      <c r="P21" s="989"/>
      <c r="Q21" s="989"/>
      <c r="R21" s="989"/>
      <c r="S21" s="989"/>
      <c r="T21" s="989"/>
      <c r="U21" s="989"/>
      <c r="V21" s="989"/>
      <c r="W21" s="989"/>
      <c r="X21" s="989"/>
      <c r="Y21" s="989"/>
      <c r="Z21" s="990"/>
      <c r="AB21"/>
      <c r="AC21"/>
      <c r="AD21"/>
      <c r="AE21"/>
      <c r="AF21"/>
      <c r="AG21"/>
      <c r="AH21"/>
      <c r="AI21"/>
    </row>
    <row r="22" spans="3:45" ht="15" customHeight="1" x14ac:dyDescent="0.15">
      <c r="C22" s="137"/>
      <c r="D22" s="138"/>
      <c r="E22" s="233" t="s">
        <v>384</v>
      </c>
      <c r="F22" s="233"/>
      <c r="G22" s="233"/>
      <c r="H22" s="233"/>
      <c r="I22" s="233"/>
      <c r="J22" s="233"/>
      <c r="K22" s="233"/>
      <c r="L22" s="233"/>
      <c r="M22" s="233"/>
      <c r="N22" s="233"/>
      <c r="O22" s="252" t="s">
        <v>375</v>
      </c>
      <c r="P22" s="252"/>
      <c r="Q22" s="234"/>
      <c r="R22" s="253" t="s">
        <v>220</v>
      </c>
      <c r="S22" s="253"/>
      <c r="T22" s="234"/>
      <c r="U22" s="234" t="s">
        <v>400</v>
      </c>
      <c r="V22" s="234"/>
      <c r="W22" s="234"/>
      <c r="X22" s="254" t="s">
        <v>370</v>
      </c>
      <c r="Y22" s="254"/>
      <c r="Z22" s="255"/>
      <c r="AB22" s="723" t="s">
        <v>363</v>
      </c>
      <c r="AC22" s="724"/>
      <c r="AD22" s="725"/>
      <c r="AF22" s="723" t="s">
        <v>447</v>
      </c>
      <c r="AG22" s="724"/>
      <c r="AH22" s="725"/>
      <c r="AI22" s="258"/>
      <c r="AJ22" s="232" t="s">
        <v>524</v>
      </c>
      <c r="AK22" s="994" t="str">
        <f>"Add Line in Section "&amp;C18</f>
        <v>Add Line in Section 10001</v>
      </c>
      <c r="AL22" s="995"/>
      <c r="AM22" s="995"/>
      <c r="AN22" s="995"/>
      <c r="AO22" s="995"/>
      <c r="AP22" s="995"/>
      <c r="AQ22" s="995"/>
      <c r="AR22" s="995"/>
      <c r="AS22" s="996"/>
    </row>
    <row r="23" spans="3:45" s="51" customFormat="1" ht="15" customHeight="1" x14ac:dyDescent="0.15">
      <c r="C23" s="991">
        <v>1</v>
      </c>
      <c r="D23" s="992"/>
      <c r="E23" s="700"/>
      <c r="F23" s="700"/>
      <c r="G23" s="700"/>
      <c r="H23" s="700"/>
      <c r="I23" s="700"/>
      <c r="J23" s="700"/>
      <c r="K23" s="700"/>
      <c r="L23" s="700"/>
      <c r="M23" s="700"/>
      <c r="N23" s="309"/>
      <c r="O23" s="993" t="s">
        <v>116</v>
      </c>
      <c r="P23" s="993"/>
      <c r="Q23" s="310" t="s">
        <v>117</v>
      </c>
      <c r="R23" s="789"/>
      <c r="S23" s="789"/>
      <c r="T23" s="311" t="s">
        <v>143</v>
      </c>
      <c r="U23" s="311"/>
      <c r="V23" s="311"/>
      <c r="W23" s="311"/>
      <c r="X23" s="984">
        <f t="shared" ref="X23:X24" si="9">N23*R23*(IF(ISNUMBER(U23),U23,IF(ISNUMBER(N23),1,0)))</f>
        <v>0</v>
      </c>
      <c r="Y23" s="984"/>
      <c r="Z23" s="985"/>
      <c r="AB23" s="986">
        <v>0</v>
      </c>
      <c r="AC23" s="984"/>
      <c r="AD23" s="985"/>
      <c r="AF23" s="986">
        <f t="shared" ref="AF23:AF27" si="10">AB23-X23</f>
        <v>0</v>
      </c>
      <c r="AG23" s="984"/>
      <c r="AH23" s="985"/>
      <c r="AI23" s="346"/>
      <c r="AJ23" s="347" t="s">
        <v>525</v>
      </c>
      <c r="AK23" s="434" t="str">
        <f>"Remove Line "&amp;TEXT(C23,"00#")&amp;" "&amp;E23</f>
        <v xml:space="preserve">Remove Line 001 </v>
      </c>
      <c r="AL23" s="434"/>
      <c r="AM23" s="434"/>
      <c r="AN23" s="434"/>
      <c r="AO23" s="434"/>
      <c r="AP23" s="434"/>
      <c r="AQ23" s="434"/>
      <c r="AR23" s="434"/>
      <c r="AS23" s="600"/>
    </row>
    <row r="24" spans="3:45" s="51" customFormat="1" ht="15" customHeight="1" x14ac:dyDescent="0.15">
      <c r="C24" s="991">
        <v>2</v>
      </c>
      <c r="D24" s="992"/>
      <c r="E24" s="700"/>
      <c r="F24" s="700"/>
      <c r="G24" s="700"/>
      <c r="H24" s="700"/>
      <c r="I24" s="700"/>
      <c r="J24" s="700"/>
      <c r="K24" s="700"/>
      <c r="L24" s="700"/>
      <c r="M24" s="700"/>
      <c r="N24" s="309"/>
      <c r="O24" s="993" t="s">
        <v>813</v>
      </c>
      <c r="P24" s="993"/>
      <c r="Q24" s="310" t="s">
        <v>117</v>
      </c>
      <c r="R24" s="789"/>
      <c r="S24" s="789"/>
      <c r="T24" s="311" t="s">
        <v>143</v>
      </c>
      <c r="U24" s="311"/>
      <c r="V24" s="311"/>
      <c r="W24" s="311"/>
      <c r="X24" s="984">
        <f t="shared" si="9"/>
        <v>0</v>
      </c>
      <c r="Y24" s="984"/>
      <c r="Z24" s="985"/>
      <c r="AB24" s="986">
        <v>0</v>
      </c>
      <c r="AC24" s="984"/>
      <c r="AD24" s="985"/>
      <c r="AF24" s="986">
        <f>AB24-X24</f>
        <v>0</v>
      </c>
      <c r="AG24" s="984"/>
      <c r="AH24" s="985"/>
      <c r="AI24" s="346"/>
      <c r="AJ24" s="347" t="s">
        <v>525</v>
      </c>
      <c r="AK24" s="434" t="str">
        <f t="shared" ref="AK24" si="11">"Remove Line "&amp;TEXT(C24,"00#")&amp;" "&amp;E24</f>
        <v xml:space="preserve">Remove Line 002 </v>
      </c>
      <c r="AL24" s="434"/>
      <c r="AM24" s="434"/>
      <c r="AN24" s="434"/>
      <c r="AO24" s="434"/>
      <c r="AP24" s="434"/>
      <c r="AQ24" s="434"/>
      <c r="AR24" s="434"/>
      <c r="AS24" s="600"/>
    </row>
    <row r="25" spans="3:45" s="51" customFormat="1" ht="15" customHeight="1" x14ac:dyDescent="0.15">
      <c r="C25" s="991">
        <v>3</v>
      </c>
      <c r="D25" s="992"/>
      <c r="E25" s="700"/>
      <c r="F25" s="700"/>
      <c r="G25" s="700"/>
      <c r="H25" s="700"/>
      <c r="I25" s="700"/>
      <c r="J25" s="700"/>
      <c r="K25" s="700"/>
      <c r="L25" s="700"/>
      <c r="M25" s="700"/>
      <c r="N25" s="309"/>
      <c r="O25" s="993" t="s">
        <v>116</v>
      </c>
      <c r="P25" s="993"/>
      <c r="Q25" s="310" t="s">
        <v>117</v>
      </c>
      <c r="R25" s="789"/>
      <c r="S25" s="789"/>
      <c r="T25" s="311" t="s">
        <v>143</v>
      </c>
      <c r="U25" s="311"/>
      <c r="V25" s="311"/>
      <c r="W25" s="311"/>
      <c r="X25" s="984">
        <f t="shared" ref="X25" si="12">N25*R25*(IF(ISNUMBER(U25),U25,IF(ISNUMBER(N25),1,0)))</f>
        <v>0</v>
      </c>
      <c r="Y25" s="984"/>
      <c r="Z25" s="985"/>
      <c r="AB25" s="986">
        <v>0</v>
      </c>
      <c r="AC25" s="984"/>
      <c r="AD25" s="985"/>
      <c r="AF25" s="986">
        <f t="shared" ref="AF25" si="13">AB25-X25</f>
        <v>0</v>
      </c>
      <c r="AG25" s="984"/>
      <c r="AH25" s="985"/>
      <c r="AI25" s="346"/>
      <c r="AJ25" s="347" t="s">
        <v>525</v>
      </c>
      <c r="AK25" s="434" t="str">
        <f t="shared" ref="AK25" si="14">"Remove Line "&amp;TEXT(C25,"00#")&amp;" "&amp;E25</f>
        <v xml:space="preserve">Remove Line 003 </v>
      </c>
      <c r="AL25" s="434"/>
      <c r="AM25" s="434"/>
      <c r="AN25" s="434"/>
      <c r="AO25" s="434"/>
      <c r="AP25" s="434"/>
      <c r="AQ25" s="434"/>
      <c r="AR25" s="434"/>
      <c r="AS25" s="600"/>
    </row>
    <row r="26" spans="3:45" s="51" customFormat="1" ht="15" customHeight="1" x14ac:dyDescent="0.15">
      <c r="C26" s="991">
        <v>4</v>
      </c>
      <c r="D26" s="992"/>
      <c r="E26" s="700"/>
      <c r="F26" s="700"/>
      <c r="G26" s="700"/>
      <c r="H26" s="700"/>
      <c r="I26" s="700"/>
      <c r="J26" s="700"/>
      <c r="K26" s="700"/>
      <c r="L26" s="700"/>
      <c r="M26" s="700"/>
      <c r="N26" s="309"/>
      <c r="O26" s="993" t="s">
        <v>116</v>
      </c>
      <c r="P26" s="993"/>
      <c r="Q26" s="310" t="s">
        <v>117</v>
      </c>
      <c r="R26" s="789"/>
      <c r="S26" s="789"/>
      <c r="T26" s="311" t="s">
        <v>143</v>
      </c>
      <c r="U26" s="311"/>
      <c r="V26" s="311"/>
      <c r="W26" s="311"/>
      <c r="X26" s="984">
        <f t="shared" ref="X26" si="15">N26*R26*(IF(ISNUMBER(U26),U26,IF(ISNUMBER(N26),1,0)))</f>
        <v>0</v>
      </c>
      <c r="Y26" s="984"/>
      <c r="Z26" s="985"/>
      <c r="AB26" s="986">
        <v>0</v>
      </c>
      <c r="AC26" s="984"/>
      <c r="AD26" s="985"/>
      <c r="AF26" s="986">
        <f t="shared" ref="AF26" si="16">AB26-X26</f>
        <v>0</v>
      </c>
      <c r="AG26" s="984"/>
      <c r="AH26" s="985"/>
      <c r="AI26" s="346"/>
      <c r="AJ26" s="347" t="s">
        <v>525</v>
      </c>
      <c r="AK26" s="434" t="str">
        <f t="shared" ref="AK26" si="17">"Remove Line "&amp;TEXT(C26,"00#")&amp;" "&amp;E26</f>
        <v xml:space="preserve">Remove Line 004 </v>
      </c>
      <c r="AL26" s="434"/>
      <c r="AM26" s="434"/>
      <c r="AN26" s="434"/>
      <c r="AO26" s="434"/>
      <c r="AP26" s="434"/>
      <c r="AQ26" s="434"/>
      <c r="AR26" s="434"/>
      <c r="AS26" s="600"/>
    </row>
    <row r="27" spans="3:45" s="1" customFormat="1" ht="15" customHeight="1" x14ac:dyDescent="0.2">
      <c r="C27" s="395"/>
      <c r="D27" s="395"/>
      <c r="E27" s="396"/>
      <c r="F27" s="396"/>
      <c r="G27" s="396"/>
      <c r="H27" s="396"/>
      <c r="I27" s="396"/>
      <c r="J27" s="396"/>
      <c r="K27" s="396"/>
      <c r="L27" s="396"/>
      <c r="M27" s="396"/>
      <c r="N27" s="396"/>
      <c r="O27" s="1003" t="str">
        <f>"Total "&amp;E18</f>
        <v>Total Section Title</v>
      </c>
      <c r="P27" s="1003"/>
      <c r="Q27" s="1003"/>
      <c r="R27" s="1003"/>
      <c r="S27" s="1003"/>
      <c r="T27" s="1003"/>
      <c r="U27" s="1003"/>
      <c r="V27" s="1003"/>
      <c r="W27" s="1004"/>
      <c r="X27" s="997">
        <f ca="1">SUM(INDIRECT("X"&amp;ROW(X_10001Bef)+1&amp;":X"&amp;ROW()-1))</f>
        <v>0</v>
      </c>
      <c r="Y27" s="998"/>
      <c r="Z27" s="999"/>
      <c r="AB27" s="1005">
        <f ca="1">SUM(INDIRECT("AB"&amp;ROW(X_10001Bef)+1&amp;":AB"&amp;ROW()-1))</f>
        <v>0</v>
      </c>
      <c r="AC27" s="1006"/>
      <c r="AD27" s="1007"/>
      <c r="AF27" s="1000">
        <f t="shared" ca="1" si="10"/>
        <v>0</v>
      </c>
      <c r="AG27" s="1001"/>
      <c r="AH27" s="1002"/>
      <c r="AI27" s="397"/>
    </row>
    <row r="28" spans="3:45" ht="15" customHeight="1" x14ac:dyDescent="0.25">
      <c r="C28" s="245"/>
      <c r="D28" s="245"/>
      <c r="E28" s="246"/>
      <c r="F28" s="246"/>
      <c r="G28" s="246"/>
      <c r="H28" s="246"/>
      <c r="I28" s="246"/>
      <c r="J28" s="246"/>
      <c r="K28" s="246"/>
      <c r="L28" s="246"/>
      <c r="M28" s="246"/>
      <c r="N28" s="246"/>
      <c r="O28" s="246"/>
      <c r="P28" s="246"/>
      <c r="Q28" s="247"/>
      <c r="R28" s="248"/>
      <c r="S28" s="248"/>
      <c r="T28" s="249"/>
      <c r="U28" s="249"/>
      <c r="V28" s="249"/>
      <c r="W28" s="249"/>
      <c r="X28" s="250"/>
      <c r="Y28" s="250"/>
      <c r="Z28" s="251"/>
    </row>
    <row r="29" spans="3:45" s="115" customFormat="1" ht="15" customHeight="1" x14ac:dyDescent="0.2">
      <c r="C29" s="978">
        <v>10002</v>
      </c>
      <c r="D29" s="979"/>
      <c r="E29" s="704" t="s">
        <v>513</v>
      </c>
      <c r="F29" s="704"/>
      <c r="G29" s="704"/>
      <c r="H29" s="704"/>
      <c r="I29" s="704"/>
      <c r="J29" s="704"/>
      <c r="K29" s="704"/>
      <c r="L29" s="704"/>
      <c r="M29" s="704"/>
      <c r="N29" s="704"/>
      <c r="O29" s="704"/>
      <c r="P29" s="704"/>
      <c r="Q29" s="704"/>
      <c r="R29" s="704"/>
      <c r="S29" s="704"/>
      <c r="T29" s="704"/>
      <c r="U29" s="704"/>
      <c r="V29" s="704"/>
      <c r="W29" s="704"/>
      <c r="X29" s="704"/>
      <c r="Y29" s="704"/>
      <c r="Z29" s="256" t="s">
        <v>533</v>
      </c>
    </row>
    <row r="30" spans="3:45" ht="15" hidden="1" customHeight="1" x14ac:dyDescent="0.15">
      <c r="C30" s="980"/>
      <c r="D30" s="981"/>
      <c r="E30" s="989" t="s">
        <v>514</v>
      </c>
      <c r="F30" s="989"/>
      <c r="G30" s="989"/>
      <c r="H30" s="989"/>
      <c r="I30" s="989"/>
      <c r="J30" s="989"/>
      <c r="K30" s="989"/>
      <c r="L30" s="989"/>
      <c r="M30" s="989"/>
      <c r="N30" s="989"/>
      <c r="O30" s="989"/>
      <c r="P30" s="989"/>
      <c r="Q30" s="989"/>
      <c r="R30" s="989"/>
      <c r="S30" s="989"/>
      <c r="T30" s="989"/>
      <c r="U30" s="989"/>
      <c r="V30" s="989"/>
      <c r="W30" s="989"/>
      <c r="X30" s="989"/>
      <c r="Y30" s="989"/>
      <c r="Z30" s="990"/>
      <c r="AJ30" s="110"/>
    </row>
    <row r="31" spans="3:45" ht="15" hidden="1" customHeight="1" x14ac:dyDescent="0.15">
      <c r="C31" s="980"/>
      <c r="D31" s="981"/>
      <c r="E31" s="989"/>
      <c r="F31" s="989"/>
      <c r="G31" s="989"/>
      <c r="H31" s="989"/>
      <c r="I31" s="989"/>
      <c r="J31" s="989"/>
      <c r="K31" s="989"/>
      <c r="L31" s="989"/>
      <c r="M31" s="989"/>
      <c r="N31" s="989"/>
      <c r="O31" s="989"/>
      <c r="P31" s="989"/>
      <c r="Q31" s="989"/>
      <c r="R31" s="989"/>
      <c r="S31" s="989"/>
      <c r="T31" s="989"/>
      <c r="U31" s="989"/>
      <c r="V31" s="989"/>
      <c r="W31" s="989"/>
      <c r="X31" s="989"/>
      <c r="Y31" s="989"/>
      <c r="Z31" s="990"/>
      <c r="AJ31" s="110"/>
    </row>
    <row r="32" spans="3:45" ht="15" hidden="1" customHeight="1" x14ac:dyDescent="0.15">
      <c r="C32" s="982"/>
      <c r="D32" s="983"/>
      <c r="E32" s="989"/>
      <c r="F32" s="989"/>
      <c r="G32" s="989"/>
      <c r="H32" s="989"/>
      <c r="I32" s="989"/>
      <c r="J32" s="989"/>
      <c r="K32" s="989"/>
      <c r="L32" s="989"/>
      <c r="M32" s="989"/>
      <c r="N32" s="989"/>
      <c r="O32" s="989"/>
      <c r="P32" s="989"/>
      <c r="Q32" s="989"/>
      <c r="R32" s="989"/>
      <c r="S32" s="989"/>
      <c r="T32" s="989"/>
      <c r="U32" s="989"/>
      <c r="V32" s="989"/>
      <c r="W32" s="989"/>
      <c r="X32" s="989"/>
      <c r="Y32" s="989"/>
      <c r="Z32" s="990"/>
      <c r="AJ32" s="110"/>
    </row>
    <row r="33" spans="3:45" ht="15" customHeight="1" x14ac:dyDescent="0.15">
      <c r="C33" s="137"/>
      <c r="D33" s="138"/>
      <c r="E33" s="233" t="s">
        <v>384</v>
      </c>
      <c r="F33" s="233"/>
      <c r="G33" s="233"/>
      <c r="H33" s="233"/>
      <c r="I33" s="233"/>
      <c r="J33" s="233"/>
      <c r="K33" s="233"/>
      <c r="L33" s="233"/>
      <c r="M33" s="233"/>
      <c r="N33" s="233"/>
      <c r="O33" s="139" t="s">
        <v>375</v>
      </c>
      <c r="P33" s="139"/>
      <c r="Q33" s="234"/>
      <c r="R33" s="140" t="s">
        <v>220</v>
      </c>
      <c r="S33" s="140"/>
      <c r="T33" s="234"/>
      <c r="U33" s="141" t="s">
        <v>400</v>
      </c>
      <c r="V33" s="234"/>
      <c r="W33" s="234"/>
      <c r="X33" s="142" t="s">
        <v>370</v>
      </c>
      <c r="Y33" s="142"/>
      <c r="Z33" s="143"/>
      <c r="AB33" s="723" t="s">
        <v>363</v>
      </c>
      <c r="AC33" s="724"/>
      <c r="AD33" s="725"/>
      <c r="AF33" s="723" t="s">
        <v>447</v>
      </c>
      <c r="AG33" s="724"/>
      <c r="AH33" s="725"/>
      <c r="AI33" s="257"/>
      <c r="AJ33" s="232" t="s">
        <v>524</v>
      </c>
      <c r="AK33" s="994" t="str">
        <f>"Add Line in Section "&amp;C29</f>
        <v>Add Line in Section 10002</v>
      </c>
      <c r="AL33" s="995"/>
      <c r="AM33" s="995"/>
      <c r="AN33" s="995"/>
      <c r="AO33" s="995"/>
      <c r="AP33" s="995"/>
      <c r="AQ33" s="995"/>
      <c r="AR33" s="995"/>
      <c r="AS33" s="996"/>
    </row>
    <row r="34" spans="3:45" s="51" customFormat="1" ht="15" customHeight="1" x14ac:dyDescent="0.15">
      <c r="C34" s="991">
        <v>1</v>
      </c>
      <c r="D34" s="992"/>
      <c r="E34" s="700"/>
      <c r="F34" s="700"/>
      <c r="G34" s="700"/>
      <c r="H34" s="700"/>
      <c r="I34" s="700"/>
      <c r="J34" s="700"/>
      <c r="K34" s="700"/>
      <c r="L34" s="700"/>
      <c r="M34" s="700"/>
      <c r="N34" s="309"/>
      <c r="O34" s="993" t="s">
        <v>116</v>
      </c>
      <c r="P34" s="993"/>
      <c r="Q34" s="310" t="s">
        <v>117</v>
      </c>
      <c r="R34" s="789"/>
      <c r="S34" s="789"/>
      <c r="T34" s="311" t="s">
        <v>143</v>
      </c>
      <c r="U34" s="311"/>
      <c r="V34" s="311"/>
      <c r="W34" s="311"/>
      <c r="X34" s="984">
        <f>N34*R34*(IF(ISNUMBER(U34),U34,IF(ISNUMBER(N34),1,0)))</f>
        <v>0</v>
      </c>
      <c r="Y34" s="984"/>
      <c r="Z34" s="985"/>
      <c r="AB34" s="986">
        <v>0</v>
      </c>
      <c r="AC34" s="984"/>
      <c r="AD34" s="985"/>
      <c r="AF34" s="986">
        <f>AB34-X34</f>
        <v>0</v>
      </c>
      <c r="AG34" s="984"/>
      <c r="AH34" s="985"/>
      <c r="AI34" s="348"/>
      <c r="AJ34" s="347" t="s">
        <v>525</v>
      </c>
      <c r="AK34" s="434" t="str">
        <f>"Remove Line "&amp;TEXT(C34,"00#")&amp;" "&amp;E34</f>
        <v xml:space="preserve">Remove Line 001 </v>
      </c>
      <c r="AL34" s="434"/>
      <c r="AM34" s="434"/>
      <c r="AN34" s="434"/>
      <c r="AO34" s="434"/>
      <c r="AP34" s="434"/>
      <c r="AQ34" s="434"/>
      <c r="AR34" s="434"/>
      <c r="AS34" s="600"/>
    </row>
    <row r="35" spans="3:45" s="51" customFormat="1" ht="15" customHeight="1" x14ac:dyDescent="0.15">
      <c r="C35" s="991">
        <v>2</v>
      </c>
      <c r="D35" s="992"/>
      <c r="E35" s="700"/>
      <c r="F35" s="700"/>
      <c r="G35" s="700"/>
      <c r="H35" s="700"/>
      <c r="I35" s="700"/>
      <c r="J35" s="700"/>
      <c r="K35" s="700"/>
      <c r="L35" s="700"/>
      <c r="M35" s="700"/>
      <c r="N35" s="309"/>
      <c r="O35" s="993" t="s">
        <v>116</v>
      </c>
      <c r="P35" s="993"/>
      <c r="Q35" s="310" t="s">
        <v>117</v>
      </c>
      <c r="R35" s="789"/>
      <c r="S35" s="789"/>
      <c r="T35" s="311" t="s">
        <v>143</v>
      </c>
      <c r="U35" s="311"/>
      <c r="V35" s="311"/>
      <c r="W35" s="311"/>
      <c r="X35" s="984">
        <f>N35*R35*(IF(ISNUMBER(U35),U35,IF(ISNUMBER(N35),1,0)))</f>
        <v>0</v>
      </c>
      <c r="Y35" s="984"/>
      <c r="Z35" s="985"/>
      <c r="AB35" s="986">
        <v>0</v>
      </c>
      <c r="AC35" s="984"/>
      <c r="AD35" s="985"/>
      <c r="AF35" s="986">
        <f>AB35-X35</f>
        <v>0</v>
      </c>
      <c r="AG35" s="984"/>
      <c r="AH35" s="985"/>
      <c r="AI35" s="348"/>
      <c r="AJ35" s="347" t="s">
        <v>525</v>
      </c>
      <c r="AK35" s="434" t="str">
        <f t="shared" ref="AK35:AK37" si="18">"Remove Line "&amp;TEXT(C35,"00#")&amp;" "&amp;E35</f>
        <v xml:space="preserve">Remove Line 002 </v>
      </c>
      <c r="AL35" s="434"/>
      <c r="AM35" s="434"/>
      <c r="AN35" s="434"/>
      <c r="AO35" s="434"/>
      <c r="AP35" s="434"/>
      <c r="AQ35" s="434"/>
      <c r="AR35" s="434"/>
      <c r="AS35" s="600"/>
    </row>
    <row r="36" spans="3:45" s="51" customFormat="1" ht="15" customHeight="1" x14ac:dyDescent="0.15">
      <c r="C36" s="991">
        <v>3</v>
      </c>
      <c r="D36" s="992"/>
      <c r="E36" s="700"/>
      <c r="F36" s="700"/>
      <c r="G36" s="700"/>
      <c r="H36" s="700"/>
      <c r="I36" s="700"/>
      <c r="J36" s="700"/>
      <c r="K36" s="700"/>
      <c r="L36" s="700"/>
      <c r="M36" s="700"/>
      <c r="N36" s="309"/>
      <c r="O36" s="993" t="s">
        <v>116</v>
      </c>
      <c r="P36" s="993"/>
      <c r="Q36" s="310" t="s">
        <v>117</v>
      </c>
      <c r="R36" s="789"/>
      <c r="S36" s="789"/>
      <c r="T36" s="311" t="s">
        <v>143</v>
      </c>
      <c r="U36" s="311"/>
      <c r="V36" s="311"/>
      <c r="W36" s="311"/>
      <c r="X36" s="984">
        <f>N36*R36*(IF(ISNUMBER(U36),U36,IF(ISNUMBER(N36),1,0)))</f>
        <v>0</v>
      </c>
      <c r="Y36" s="984"/>
      <c r="Z36" s="985"/>
      <c r="AB36" s="986">
        <v>0</v>
      </c>
      <c r="AC36" s="984"/>
      <c r="AD36" s="985"/>
      <c r="AF36" s="986">
        <f>AB36-X36</f>
        <v>0</v>
      </c>
      <c r="AG36" s="984"/>
      <c r="AH36" s="985"/>
      <c r="AI36" s="348"/>
      <c r="AJ36" s="347" t="s">
        <v>525</v>
      </c>
      <c r="AK36" s="434" t="str">
        <f t="shared" si="18"/>
        <v xml:space="preserve">Remove Line 003 </v>
      </c>
      <c r="AL36" s="434"/>
      <c r="AM36" s="434"/>
      <c r="AN36" s="434"/>
      <c r="AO36" s="434"/>
      <c r="AP36" s="434"/>
      <c r="AQ36" s="434"/>
      <c r="AR36" s="434"/>
      <c r="AS36" s="600"/>
    </row>
    <row r="37" spans="3:45" s="51" customFormat="1" ht="15" customHeight="1" x14ac:dyDescent="0.15">
      <c r="C37" s="991">
        <v>4</v>
      </c>
      <c r="D37" s="992"/>
      <c r="E37" s="700"/>
      <c r="F37" s="700"/>
      <c r="G37" s="700"/>
      <c r="H37" s="700"/>
      <c r="I37" s="700"/>
      <c r="J37" s="700"/>
      <c r="K37" s="700"/>
      <c r="L37" s="700"/>
      <c r="M37" s="700"/>
      <c r="N37" s="309"/>
      <c r="O37" s="993" t="s">
        <v>116</v>
      </c>
      <c r="P37" s="993"/>
      <c r="Q37" s="310" t="s">
        <v>117</v>
      </c>
      <c r="R37" s="789"/>
      <c r="S37" s="789"/>
      <c r="T37" s="311" t="s">
        <v>143</v>
      </c>
      <c r="U37" s="311"/>
      <c r="V37" s="311"/>
      <c r="W37" s="311"/>
      <c r="X37" s="984">
        <f>N37*R37*(IF(ISNUMBER(U37),U37,IF(ISNUMBER(N37),1,0)))</f>
        <v>0</v>
      </c>
      <c r="Y37" s="984"/>
      <c r="Z37" s="985"/>
      <c r="AB37" s="986">
        <v>0</v>
      </c>
      <c r="AC37" s="984"/>
      <c r="AD37" s="985"/>
      <c r="AF37" s="986">
        <f>AB37-X37</f>
        <v>0</v>
      </c>
      <c r="AG37" s="984"/>
      <c r="AH37" s="985"/>
      <c r="AI37" s="348"/>
      <c r="AJ37" s="347" t="s">
        <v>525</v>
      </c>
      <c r="AK37" s="434" t="str">
        <f t="shared" si="18"/>
        <v xml:space="preserve">Remove Line 004 </v>
      </c>
      <c r="AL37" s="434"/>
      <c r="AM37" s="434"/>
      <c r="AN37" s="434"/>
      <c r="AO37" s="434"/>
      <c r="AP37" s="434"/>
      <c r="AQ37" s="434"/>
      <c r="AR37" s="434"/>
      <c r="AS37" s="600"/>
    </row>
    <row r="38" spans="3:45" s="1" customFormat="1" ht="15" customHeight="1" x14ac:dyDescent="0.2">
      <c r="C38" s="395"/>
      <c r="D38" s="395"/>
      <c r="E38" s="396"/>
      <c r="F38" s="396"/>
      <c r="G38" s="396"/>
      <c r="H38" s="396"/>
      <c r="I38" s="396"/>
      <c r="J38" s="396"/>
      <c r="K38" s="396"/>
      <c r="L38" s="396"/>
      <c r="M38" s="396"/>
      <c r="N38" s="396"/>
      <c r="O38" s="1003" t="str">
        <f>"Total "&amp;E29</f>
        <v>Total Section Title</v>
      </c>
      <c r="P38" s="1003"/>
      <c r="Q38" s="1003"/>
      <c r="R38" s="1003"/>
      <c r="S38" s="1003"/>
      <c r="T38" s="1003"/>
      <c r="U38" s="1003"/>
      <c r="V38" s="1003"/>
      <c r="W38" s="1004"/>
      <c r="X38" s="1005">
        <f ca="1">SUM(INDIRECT("X"&amp;ROW(X_10002Bef)+1&amp;":X"&amp;ROW()-1))</f>
        <v>0</v>
      </c>
      <c r="Y38" s="1006"/>
      <c r="Z38" s="1007"/>
      <c r="AB38" s="1005">
        <f ca="1">SUM(INDIRECT("AB"&amp;ROW(X_10002Bef)+1&amp;":AB"&amp;ROW()-1))</f>
        <v>0</v>
      </c>
      <c r="AC38" s="1006"/>
      <c r="AD38" s="1007"/>
      <c r="AF38" s="1000">
        <f ca="1">AB38-X38</f>
        <v>0</v>
      </c>
      <c r="AG38" s="1001"/>
      <c r="AH38" s="1002"/>
      <c r="AI38" s="398"/>
    </row>
    <row r="39" spans="3:45" customFormat="1" ht="16" x14ac:dyDescent="0.2"/>
    <row r="40" spans="3:45" s="115" customFormat="1" ht="15" customHeight="1" x14ac:dyDescent="0.2">
      <c r="C40" s="978">
        <v>10003</v>
      </c>
      <c r="D40" s="979"/>
      <c r="E40" s="704" t="s">
        <v>513</v>
      </c>
      <c r="F40" s="704"/>
      <c r="G40" s="704"/>
      <c r="H40" s="704"/>
      <c r="I40" s="704"/>
      <c r="J40" s="704"/>
      <c r="K40" s="704"/>
      <c r="L40" s="704"/>
      <c r="M40" s="704"/>
      <c r="N40" s="704"/>
      <c r="O40" s="704"/>
      <c r="P40" s="704"/>
      <c r="Q40" s="704"/>
      <c r="R40" s="704"/>
      <c r="S40" s="704"/>
      <c r="T40" s="704"/>
      <c r="U40" s="704"/>
      <c r="V40" s="704"/>
      <c r="W40" s="704"/>
      <c r="X40" s="704"/>
      <c r="Y40" s="704"/>
      <c r="Z40" s="256" t="s">
        <v>533</v>
      </c>
    </row>
    <row r="41" spans="3:45" ht="15" hidden="1" customHeight="1" x14ac:dyDescent="0.15">
      <c r="C41" s="980"/>
      <c r="D41" s="981"/>
      <c r="E41" s="989" t="s">
        <v>514</v>
      </c>
      <c r="F41" s="989"/>
      <c r="G41" s="989"/>
      <c r="H41" s="989"/>
      <c r="I41" s="989"/>
      <c r="J41" s="989"/>
      <c r="K41" s="989"/>
      <c r="L41" s="989"/>
      <c r="M41" s="989"/>
      <c r="N41" s="989"/>
      <c r="O41" s="989"/>
      <c r="P41" s="989"/>
      <c r="Q41" s="989"/>
      <c r="R41" s="989"/>
      <c r="S41" s="989"/>
      <c r="T41" s="989"/>
      <c r="U41" s="989"/>
      <c r="V41" s="989"/>
      <c r="W41" s="989"/>
      <c r="X41" s="989"/>
      <c r="Y41" s="989"/>
      <c r="Z41" s="990"/>
      <c r="AJ41" s="110"/>
    </row>
    <row r="42" spans="3:45" ht="15" hidden="1" customHeight="1" x14ac:dyDescent="0.15">
      <c r="C42" s="980"/>
      <c r="D42" s="981"/>
      <c r="E42" s="989"/>
      <c r="F42" s="989"/>
      <c r="G42" s="989"/>
      <c r="H42" s="989"/>
      <c r="I42" s="989"/>
      <c r="J42" s="989"/>
      <c r="K42" s="989"/>
      <c r="L42" s="989"/>
      <c r="M42" s="989"/>
      <c r="N42" s="989"/>
      <c r="O42" s="989"/>
      <c r="P42" s="989"/>
      <c r="Q42" s="989"/>
      <c r="R42" s="989"/>
      <c r="S42" s="989"/>
      <c r="T42" s="989"/>
      <c r="U42" s="989"/>
      <c r="V42" s="989"/>
      <c r="W42" s="989"/>
      <c r="X42" s="989"/>
      <c r="Y42" s="989"/>
      <c r="Z42" s="990"/>
      <c r="AJ42" s="110"/>
    </row>
    <row r="43" spans="3:45" ht="15" hidden="1" customHeight="1" x14ac:dyDescent="0.15">
      <c r="C43" s="982"/>
      <c r="D43" s="983"/>
      <c r="E43" s="989"/>
      <c r="F43" s="989"/>
      <c r="G43" s="989"/>
      <c r="H43" s="989"/>
      <c r="I43" s="989"/>
      <c r="J43" s="989"/>
      <c r="K43" s="989"/>
      <c r="L43" s="989"/>
      <c r="M43" s="989"/>
      <c r="N43" s="989"/>
      <c r="O43" s="989"/>
      <c r="P43" s="989"/>
      <c r="Q43" s="989"/>
      <c r="R43" s="989"/>
      <c r="S43" s="989"/>
      <c r="T43" s="989"/>
      <c r="U43" s="989"/>
      <c r="V43" s="989"/>
      <c r="W43" s="989"/>
      <c r="X43" s="989"/>
      <c r="Y43" s="989"/>
      <c r="Z43" s="990"/>
      <c r="AJ43" s="110"/>
    </row>
    <row r="44" spans="3:45" ht="15" customHeight="1" x14ac:dyDescent="0.15">
      <c r="C44" s="137"/>
      <c r="D44" s="138"/>
      <c r="E44" s="233" t="s">
        <v>384</v>
      </c>
      <c r="F44" s="233"/>
      <c r="G44" s="233"/>
      <c r="H44" s="233"/>
      <c r="I44" s="233"/>
      <c r="J44" s="233"/>
      <c r="K44" s="233"/>
      <c r="L44" s="233"/>
      <c r="M44" s="233"/>
      <c r="N44" s="233"/>
      <c r="O44" s="139" t="s">
        <v>375</v>
      </c>
      <c r="P44" s="139"/>
      <c r="Q44" s="234"/>
      <c r="R44" s="140" t="s">
        <v>220</v>
      </c>
      <c r="S44" s="140"/>
      <c r="T44" s="234"/>
      <c r="U44" s="141" t="s">
        <v>400</v>
      </c>
      <c r="V44" s="234"/>
      <c r="W44" s="234"/>
      <c r="X44" s="142" t="s">
        <v>370</v>
      </c>
      <c r="Y44" s="142"/>
      <c r="Z44" s="143"/>
      <c r="AB44" s="723" t="s">
        <v>363</v>
      </c>
      <c r="AC44" s="724"/>
      <c r="AD44" s="725"/>
      <c r="AF44" s="723" t="s">
        <v>447</v>
      </c>
      <c r="AG44" s="724"/>
      <c r="AH44" s="725"/>
      <c r="AI44" s="257"/>
      <c r="AJ44" s="232" t="s">
        <v>524</v>
      </c>
      <c r="AK44" s="994" t="str">
        <f>"Add Line in Section "&amp;C40</f>
        <v>Add Line in Section 10003</v>
      </c>
      <c r="AL44" s="995"/>
      <c r="AM44" s="995"/>
      <c r="AN44" s="995"/>
      <c r="AO44" s="995"/>
      <c r="AP44" s="995"/>
      <c r="AQ44" s="995"/>
      <c r="AR44" s="995"/>
      <c r="AS44" s="996"/>
    </row>
    <row r="45" spans="3:45" s="51" customFormat="1" ht="15" customHeight="1" x14ac:dyDescent="0.15">
      <c r="C45" s="991">
        <v>1</v>
      </c>
      <c r="D45" s="992"/>
      <c r="E45" s="700"/>
      <c r="F45" s="700"/>
      <c r="G45" s="700"/>
      <c r="H45" s="700"/>
      <c r="I45" s="700"/>
      <c r="J45" s="700"/>
      <c r="K45" s="700"/>
      <c r="L45" s="700"/>
      <c r="M45" s="700"/>
      <c r="N45" s="309"/>
      <c r="O45" s="993" t="s">
        <v>116</v>
      </c>
      <c r="P45" s="993"/>
      <c r="Q45" s="310" t="s">
        <v>117</v>
      </c>
      <c r="R45" s="789"/>
      <c r="S45" s="789"/>
      <c r="T45" s="311" t="s">
        <v>143</v>
      </c>
      <c r="U45" s="311"/>
      <c r="V45" s="311"/>
      <c r="W45" s="311"/>
      <c r="X45" s="984">
        <f>N45*R45*(IF(ISNUMBER(U45),U45,IF(ISNUMBER(N45),1,0)))</f>
        <v>0</v>
      </c>
      <c r="Y45" s="984"/>
      <c r="Z45" s="985"/>
      <c r="AB45" s="986">
        <v>0</v>
      </c>
      <c r="AC45" s="984"/>
      <c r="AD45" s="985"/>
      <c r="AF45" s="986">
        <f>AB45-X45</f>
        <v>0</v>
      </c>
      <c r="AG45" s="984"/>
      <c r="AH45" s="985"/>
      <c r="AI45" s="348"/>
      <c r="AJ45" s="347" t="s">
        <v>525</v>
      </c>
      <c r="AK45" s="434" t="str">
        <f>"Remove Line "&amp;TEXT(C45,"00#")&amp;" "&amp;E45</f>
        <v xml:space="preserve">Remove Line 001 </v>
      </c>
      <c r="AL45" s="434"/>
      <c r="AM45" s="434"/>
      <c r="AN45" s="434"/>
      <c r="AO45" s="434"/>
      <c r="AP45" s="434"/>
      <c r="AQ45" s="434"/>
      <c r="AR45" s="434"/>
      <c r="AS45" s="600"/>
    </row>
    <row r="46" spans="3:45" s="51" customFormat="1" ht="15" customHeight="1" x14ac:dyDescent="0.15">
      <c r="C46" s="991">
        <v>2</v>
      </c>
      <c r="D46" s="992"/>
      <c r="E46" s="700"/>
      <c r="F46" s="700"/>
      <c r="G46" s="700"/>
      <c r="H46" s="700"/>
      <c r="I46" s="700"/>
      <c r="J46" s="700"/>
      <c r="K46" s="700"/>
      <c r="L46" s="700"/>
      <c r="M46" s="700"/>
      <c r="N46" s="309"/>
      <c r="O46" s="993" t="s">
        <v>116</v>
      </c>
      <c r="P46" s="993"/>
      <c r="Q46" s="310" t="s">
        <v>117</v>
      </c>
      <c r="R46" s="789"/>
      <c r="S46" s="789"/>
      <c r="T46" s="311" t="s">
        <v>143</v>
      </c>
      <c r="U46" s="311"/>
      <c r="V46" s="311"/>
      <c r="W46" s="311"/>
      <c r="X46" s="984">
        <f>N46*R46*(IF(ISNUMBER(U46),U46,IF(ISNUMBER(N46),1,0)))</f>
        <v>0</v>
      </c>
      <c r="Y46" s="984"/>
      <c r="Z46" s="985"/>
      <c r="AB46" s="986">
        <v>0</v>
      </c>
      <c r="AC46" s="984"/>
      <c r="AD46" s="985"/>
      <c r="AF46" s="986">
        <f>AB46-X46</f>
        <v>0</v>
      </c>
      <c r="AG46" s="984"/>
      <c r="AH46" s="985"/>
      <c r="AI46" s="348"/>
      <c r="AJ46" s="347" t="s">
        <v>525</v>
      </c>
      <c r="AK46" s="434" t="str">
        <f t="shared" ref="AK46:AK48" si="19">"Remove Line "&amp;TEXT(C46,"00#")&amp;" "&amp;E46</f>
        <v xml:space="preserve">Remove Line 002 </v>
      </c>
      <c r="AL46" s="434"/>
      <c r="AM46" s="434"/>
      <c r="AN46" s="434"/>
      <c r="AO46" s="434"/>
      <c r="AP46" s="434"/>
      <c r="AQ46" s="434"/>
      <c r="AR46" s="434"/>
      <c r="AS46" s="600"/>
    </row>
    <row r="47" spans="3:45" s="51" customFormat="1" ht="15" customHeight="1" x14ac:dyDescent="0.15">
      <c r="C47" s="991">
        <v>3</v>
      </c>
      <c r="D47" s="992"/>
      <c r="E47" s="700"/>
      <c r="F47" s="700"/>
      <c r="G47" s="700"/>
      <c r="H47" s="700"/>
      <c r="I47" s="700"/>
      <c r="J47" s="700"/>
      <c r="K47" s="700"/>
      <c r="L47" s="700"/>
      <c r="M47" s="700"/>
      <c r="N47" s="309"/>
      <c r="O47" s="993" t="s">
        <v>116</v>
      </c>
      <c r="P47" s="993"/>
      <c r="Q47" s="310" t="s">
        <v>117</v>
      </c>
      <c r="R47" s="789"/>
      <c r="S47" s="789"/>
      <c r="T47" s="311" t="s">
        <v>143</v>
      </c>
      <c r="U47" s="311"/>
      <c r="V47" s="311"/>
      <c r="W47" s="311"/>
      <c r="X47" s="984">
        <f>N47*R47*(IF(ISNUMBER(U47),U47,IF(ISNUMBER(N47),1,0)))</f>
        <v>0</v>
      </c>
      <c r="Y47" s="984"/>
      <c r="Z47" s="985"/>
      <c r="AB47" s="986">
        <v>0</v>
      </c>
      <c r="AC47" s="984"/>
      <c r="AD47" s="985"/>
      <c r="AF47" s="986">
        <f>AB47-X47</f>
        <v>0</v>
      </c>
      <c r="AG47" s="984"/>
      <c r="AH47" s="985"/>
      <c r="AI47" s="348"/>
      <c r="AJ47" s="347" t="s">
        <v>525</v>
      </c>
      <c r="AK47" s="434" t="str">
        <f t="shared" si="19"/>
        <v xml:space="preserve">Remove Line 003 </v>
      </c>
      <c r="AL47" s="434"/>
      <c r="AM47" s="434"/>
      <c r="AN47" s="434"/>
      <c r="AO47" s="434"/>
      <c r="AP47" s="434"/>
      <c r="AQ47" s="434"/>
      <c r="AR47" s="434"/>
      <c r="AS47" s="600"/>
    </row>
    <row r="48" spans="3:45" s="51" customFormat="1" ht="15" customHeight="1" x14ac:dyDescent="0.15">
      <c r="C48" s="991">
        <v>4</v>
      </c>
      <c r="D48" s="992"/>
      <c r="E48" s="700"/>
      <c r="F48" s="700"/>
      <c r="G48" s="700"/>
      <c r="H48" s="700"/>
      <c r="I48" s="700"/>
      <c r="J48" s="700"/>
      <c r="K48" s="700"/>
      <c r="L48" s="700"/>
      <c r="M48" s="700"/>
      <c r="N48" s="309"/>
      <c r="O48" s="993" t="s">
        <v>116</v>
      </c>
      <c r="P48" s="993"/>
      <c r="Q48" s="310" t="s">
        <v>117</v>
      </c>
      <c r="R48" s="789"/>
      <c r="S48" s="789"/>
      <c r="T48" s="311" t="s">
        <v>143</v>
      </c>
      <c r="U48" s="311"/>
      <c r="V48" s="311"/>
      <c r="W48" s="311"/>
      <c r="X48" s="984">
        <f>N48*R48*(IF(ISNUMBER(U48),U48,IF(ISNUMBER(N48),1,0)))</f>
        <v>0</v>
      </c>
      <c r="Y48" s="984"/>
      <c r="Z48" s="985"/>
      <c r="AB48" s="986">
        <v>0</v>
      </c>
      <c r="AC48" s="984"/>
      <c r="AD48" s="985"/>
      <c r="AF48" s="986">
        <f>AB48-X48</f>
        <v>0</v>
      </c>
      <c r="AG48" s="984"/>
      <c r="AH48" s="985"/>
      <c r="AI48" s="348"/>
      <c r="AJ48" s="347" t="s">
        <v>525</v>
      </c>
      <c r="AK48" s="434" t="str">
        <f t="shared" si="19"/>
        <v xml:space="preserve">Remove Line 004 </v>
      </c>
      <c r="AL48" s="434"/>
      <c r="AM48" s="434"/>
      <c r="AN48" s="434"/>
      <c r="AO48" s="434"/>
      <c r="AP48" s="434"/>
      <c r="AQ48" s="434"/>
      <c r="AR48" s="434"/>
      <c r="AS48" s="600"/>
    </row>
    <row r="49" spans="3:45" s="1" customFormat="1" ht="15" customHeight="1" x14ac:dyDescent="0.2">
      <c r="C49" s="395"/>
      <c r="D49" s="395"/>
      <c r="E49" s="396"/>
      <c r="F49" s="396"/>
      <c r="G49" s="396"/>
      <c r="H49" s="396"/>
      <c r="I49" s="396"/>
      <c r="J49" s="396"/>
      <c r="K49" s="396"/>
      <c r="L49" s="396"/>
      <c r="M49" s="396"/>
      <c r="N49" s="396"/>
      <c r="O49" s="1003" t="str">
        <f>"Total "&amp;E40</f>
        <v>Total Section Title</v>
      </c>
      <c r="P49" s="1003"/>
      <c r="Q49" s="1003"/>
      <c r="R49" s="1003"/>
      <c r="S49" s="1003"/>
      <c r="T49" s="1003"/>
      <c r="U49" s="1003"/>
      <c r="V49" s="1003"/>
      <c r="W49" s="1004"/>
      <c r="X49" s="1005">
        <f ca="1">SUM(INDIRECT("X"&amp;ROW(X_10003Bef)+1&amp;":X"&amp;ROW()-1))</f>
        <v>0</v>
      </c>
      <c r="Y49" s="1006"/>
      <c r="Z49" s="1007"/>
      <c r="AB49" s="1005">
        <f ca="1">SUM(INDIRECT("AB"&amp;ROW(X_10003Bef)+1&amp;":AB"&amp;ROW()-1))</f>
        <v>0</v>
      </c>
      <c r="AC49" s="1006"/>
      <c r="AD49" s="1007"/>
      <c r="AF49" s="1000">
        <f ca="1">AB49-X49</f>
        <v>0</v>
      </c>
      <c r="AG49" s="1001"/>
      <c r="AH49" s="1002"/>
      <c r="AI49" s="398"/>
    </row>
    <row r="50" spans="3:45" customFormat="1" ht="16" x14ac:dyDescent="0.2"/>
    <row r="51" spans="3:45" s="115" customFormat="1" ht="15" customHeight="1" x14ac:dyDescent="0.2">
      <c r="C51" s="978">
        <v>10004</v>
      </c>
      <c r="D51" s="979"/>
      <c r="E51" s="704" t="s">
        <v>513</v>
      </c>
      <c r="F51" s="704"/>
      <c r="G51" s="704"/>
      <c r="H51" s="704"/>
      <c r="I51" s="704"/>
      <c r="J51" s="704"/>
      <c r="K51" s="704"/>
      <c r="L51" s="704"/>
      <c r="M51" s="704"/>
      <c r="N51" s="704"/>
      <c r="O51" s="704"/>
      <c r="P51" s="704"/>
      <c r="Q51" s="704"/>
      <c r="R51" s="704"/>
      <c r="S51" s="704"/>
      <c r="T51" s="704"/>
      <c r="U51" s="704"/>
      <c r="V51" s="704"/>
      <c r="W51" s="704"/>
      <c r="X51" s="704"/>
      <c r="Y51" s="704"/>
      <c r="Z51" s="256" t="s">
        <v>533</v>
      </c>
    </row>
    <row r="52" spans="3:45" ht="15" hidden="1" customHeight="1" x14ac:dyDescent="0.15">
      <c r="C52" s="980"/>
      <c r="D52" s="981"/>
      <c r="E52" s="989" t="s">
        <v>514</v>
      </c>
      <c r="F52" s="989"/>
      <c r="G52" s="989"/>
      <c r="H52" s="989"/>
      <c r="I52" s="989"/>
      <c r="J52" s="989"/>
      <c r="K52" s="989"/>
      <c r="L52" s="989"/>
      <c r="M52" s="989"/>
      <c r="N52" s="989"/>
      <c r="O52" s="989"/>
      <c r="P52" s="989"/>
      <c r="Q52" s="989"/>
      <c r="R52" s="989"/>
      <c r="S52" s="989"/>
      <c r="T52" s="989"/>
      <c r="U52" s="989"/>
      <c r="V52" s="989"/>
      <c r="W52" s="989"/>
      <c r="X52" s="989"/>
      <c r="Y52" s="989"/>
      <c r="Z52" s="990"/>
      <c r="AJ52" s="110"/>
    </row>
    <row r="53" spans="3:45" ht="15" hidden="1" customHeight="1" x14ac:dyDescent="0.15">
      <c r="C53" s="980"/>
      <c r="D53" s="981"/>
      <c r="E53" s="989"/>
      <c r="F53" s="989"/>
      <c r="G53" s="989"/>
      <c r="H53" s="989"/>
      <c r="I53" s="989"/>
      <c r="J53" s="989"/>
      <c r="K53" s="989"/>
      <c r="L53" s="989"/>
      <c r="M53" s="989"/>
      <c r="N53" s="989"/>
      <c r="O53" s="989"/>
      <c r="P53" s="989"/>
      <c r="Q53" s="989"/>
      <c r="R53" s="989"/>
      <c r="S53" s="989"/>
      <c r="T53" s="989"/>
      <c r="U53" s="989"/>
      <c r="V53" s="989"/>
      <c r="W53" s="989"/>
      <c r="X53" s="989"/>
      <c r="Y53" s="989"/>
      <c r="Z53" s="990"/>
      <c r="AJ53" s="110"/>
    </row>
    <row r="54" spans="3:45" ht="15" hidden="1" customHeight="1" x14ac:dyDescent="0.15">
      <c r="C54" s="982"/>
      <c r="D54" s="983"/>
      <c r="E54" s="989"/>
      <c r="F54" s="989"/>
      <c r="G54" s="989"/>
      <c r="H54" s="989"/>
      <c r="I54" s="989"/>
      <c r="J54" s="989"/>
      <c r="K54" s="989"/>
      <c r="L54" s="989"/>
      <c r="M54" s="989"/>
      <c r="N54" s="989"/>
      <c r="O54" s="989"/>
      <c r="P54" s="989"/>
      <c r="Q54" s="989"/>
      <c r="R54" s="989"/>
      <c r="S54" s="989"/>
      <c r="T54" s="989"/>
      <c r="U54" s="989"/>
      <c r="V54" s="989"/>
      <c r="W54" s="989"/>
      <c r="X54" s="989"/>
      <c r="Y54" s="989"/>
      <c r="Z54" s="990"/>
      <c r="AJ54" s="110"/>
    </row>
    <row r="55" spans="3:45" ht="15" customHeight="1" x14ac:dyDescent="0.15">
      <c r="C55" s="137"/>
      <c r="D55" s="138"/>
      <c r="E55" s="233" t="s">
        <v>384</v>
      </c>
      <c r="F55" s="233"/>
      <c r="G55" s="233"/>
      <c r="H55" s="233"/>
      <c r="I55" s="233"/>
      <c r="J55" s="233"/>
      <c r="K55" s="233"/>
      <c r="L55" s="233"/>
      <c r="M55" s="233"/>
      <c r="N55" s="233"/>
      <c r="O55" s="139" t="s">
        <v>375</v>
      </c>
      <c r="P55" s="139"/>
      <c r="Q55" s="234"/>
      <c r="R55" s="140" t="s">
        <v>220</v>
      </c>
      <c r="S55" s="140"/>
      <c r="T55" s="234"/>
      <c r="U55" s="141" t="s">
        <v>400</v>
      </c>
      <c r="V55" s="234"/>
      <c r="W55" s="234"/>
      <c r="X55" s="142" t="s">
        <v>370</v>
      </c>
      <c r="Y55" s="142"/>
      <c r="Z55" s="143"/>
      <c r="AB55" s="723" t="s">
        <v>363</v>
      </c>
      <c r="AC55" s="724"/>
      <c r="AD55" s="725"/>
      <c r="AF55" s="723" t="s">
        <v>447</v>
      </c>
      <c r="AG55" s="724"/>
      <c r="AH55" s="725"/>
      <c r="AI55" s="257"/>
      <c r="AJ55" s="232" t="s">
        <v>524</v>
      </c>
      <c r="AK55" s="994" t="str">
        <f>"Add Line in Section "&amp;C51</f>
        <v>Add Line in Section 10004</v>
      </c>
      <c r="AL55" s="995"/>
      <c r="AM55" s="995"/>
      <c r="AN55" s="995"/>
      <c r="AO55" s="995"/>
      <c r="AP55" s="995"/>
      <c r="AQ55" s="995"/>
      <c r="AR55" s="995"/>
      <c r="AS55" s="996"/>
    </row>
    <row r="56" spans="3:45" s="51" customFormat="1" ht="15" customHeight="1" x14ac:dyDescent="0.15">
      <c r="C56" s="991">
        <v>1</v>
      </c>
      <c r="D56" s="992"/>
      <c r="E56" s="700"/>
      <c r="F56" s="700"/>
      <c r="G56" s="700"/>
      <c r="H56" s="700"/>
      <c r="I56" s="700"/>
      <c r="J56" s="700"/>
      <c r="K56" s="700"/>
      <c r="L56" s="700"/>
      <c r="M56" s="700"/>
      <c r="N56" s="309"/>
      <c r="O56" s="993" t="s">
        <v>116</v>
      </c>
      <c r="P56" s="993"/>
      <c r="Q56" s="310" t="s">
        <v>117</v>
      </c>
      <c r="R56" s="789"/>
      <c r="S56" s="789"/>
      <c r="T56" s="311" t="s">
        <v>143</v>
      </c>
      <c r="U56" s="311"/>
      <c r="V56" s="311"/>
      <c r="W56" s="311"/>
      <c r="X56" s="984">
        <f>N56*R56*(IF(ISNUMBER(U56),U56,IF(ISNUMBER(N56),1,0)))</f>
        <v>0</v>
      </c>
      <c r="Y56" s="984"/>
      <c r="Z56" s="985"/>
      <c r="AB56" s="986">
        <v>0</v>
      </c>
      <c r="AC56" s="984"/>
      <c r="AD56" s="985"/>
      <c r="AF56" s="986">
        <f>AB56-X56</f>
        <v>0</v>
      </c>
      <c r="AG56" s="984"/>
      <c r="AH56" s="985"/>
      <c r="AI56" s="348"/>
      <c r="AJ56" s="347" t="s">
        <v>525</v>
      </c>
      <c r="AK56" s="434" t="str">
        <f>"Remove Line "&amp;TEXT(C56,"00#")&amp;" "&amp;E56</f>
        <v xml:space="preserve">Remove Line 001 </v>
      </c>
      <c r="AL56" s="434"/>
      <c r="AM56" s="434"/>
      <c r="AN56" s="434"/>
      <c r="AO56" s="434"/>
      <c r="AP56" s="434"/>
      <c r="AQ56" s="434"/>
      <c r="AR56" s="434"/>
      <c r="AS56" s="600"/>
    </row>
    <row r="57" spans="3:45" s="51" customFormat="1" ht="15" customHeight="1" x14ac:dyDescent="0.15">
      <c r="C57" s="991">
        <v>2</v>
      </c>
      <c r="D57" s="992"/>
      <c r="E57" s="700"/>
      <c r="F57" s="700"/>
      <c r="G57" s="700"/>
      <c r="H57" s="700"/>
      <c r="I57" s="700"/>
      <c r="J57" s="700"/>
      <c r="K57" s="700"/>
      <c r="L57" s="700"/>
      <c r="M57" s="700"/>
      <c r="N57" s="309"/>
      <c r="O57" s="993" t="s">
        <v>116</v>
      </c>
      <c r="P57" s="993"/>
      <c r="Q57" s="310" t="s">
        <v>117</v>
      </c>
      <c r="R57" s="789"/>
      <c r="S57" s="789"/>
      <c r="T57" s="311" t="s">
        <v>143</v>
      </c>
      <c r="U57" s="311"/>
      <c r="V57" s="311"/>
      <c r="W57" s="311"/>
      <c r="X57" s="984">
        <f>N57*R57*(IF(ISNUMBER(U57),U57,IF(ISNUMBER(N57),1,0)))</f>
        <v>0</v>
      </c>
      <c r="Y57" s="984"/>
      <c r="Z57" s="985"/>
      <c r="AB57" s="986">
        <v>0</v>
      </c>
      <c r="AC57" s="984"/>
      <c r="AD57" s="985"/>
      <c r="AF57" s="986">
        <f>AB57-X57</f>
        <v>0</v>
      </c>
      <c r="AG57" s="984"/>
      <c r="AH57" s="985"/>
      <c r="AI57" s="348"/>
      <c r="AJ57" s="347" t="s">
        <v>525</v>
      </c>
      <c r="AK57" s="434" t="str">
        <f t="shared" ref="AK57:AK59" si="20">"Remove Line "&amp;TEXT(C57,"00#")&amp;" "&amp;E57</f>
        <v xml:space="preserve">Remove Line 002 </v>
      </c>
      <c r="AL57" s="434"/>
      <c r="AM57" s="434"/>
      <c r="AN57" s="434"/>
      <c r="AO57" s="434"/>
      <c r="AP57" s="434"/>
      <c r="AQ57" s="434"/>
      <c r="AR57" s="434"/>
      <c r="AS57" s="600"/>
    </row>
    <row r="58" spans="3:45" s="51" customFormat="1" ht="15" customHeight="1" x14ac:dyDescent="0.15">
      <c r="C58" s="991">
        <v>3</v>
      </c>
      <c r="D58" s="992"/>
      <c r="E58" s="700"/>
      <c r="F58" s="700"/>
      <c r="G58" s="700"/>
      <c r="H58" s="700"/>
      <c r="I58" s="700"/>
      <c r="J58" s="700"/>
      <c r="K58" s="700"/>
      <c r="L58" s="700"/>
      <c r="M58" s="700"/>
      <c r="N58" s="309"/>
      <c r="O58" s="993" t="s">
        <v>116</v>
      </c>
      <c r="P58" s="993"/>
      <c r="Q58" s="310" t="s">
        <v>117</v>
      </c>
      <c r="R58" s="789"/>
      <c r="S58" s="789"/>
      <c r="T58" s="311" t="s">
        <v>143</v>
      </c>
      <c r="U58" s="311"/>
      <c r="V58" s="311"/>
      <c r="W58" s="311"/>
      <c r="X58" s="984">
        <f>N58*R58*(IF(ISNUMBER(U58),U58,IF(ISNUMBER(N58),1,0)))</f>
        <v>0</v>
      </c>
      <c r="Y58" s="984"/>
      <c r="Z58" s="985"/>
      <c r="AB58" s="986">
        <v>0</v>
      </c>
      <c r="AC58" s="984"/>
      <c r="AD58" s="985"/>
      <c r="AF58" s="986">
        <f>AB58-X58</f>
        <v>0</v>
      </c>
      <c r="AG58" s="984"/>
      <c r="AH58" s="985"/>
      <c r="AI58" s="348"/>
      <c r="AJ58" s="347" t="s">
        <v>525</v>
      </c>
      <c r="AK58" s="434" t="str">
        <f t="shared" si="20"/>
        <v xml:space="preserve">Remove Line 003 </v>
      </c>
      <c r="AL58" s="434"/>
      <c r="AM58" s="434"/>
      <c r="AN58" s="434"/>
      <c r="AO58" s="434"/>
      <c r="AP58" s="434"/>
      <c r="AQ58" s="434"/>
      <c r="AR58" s="434"/>
      <c r="AS58" s="600"/>
    </row>
    <row r="59" spans="3:45" s="51" customFormat="1" ht="15" customHeight="1" x14ac:dyDescent="0.15">
      <c r="C59" s="991">
        <v>4</v>
      </c>
      <c r="D59" s="992"/>
      <c r="E59" s="700"/>
      <c r="F59" s="700"/>
      <c r="G59" s="700"/>
      <c r="H59" s="700"/>
      <c r="I59" s="700"/>
      <c r="J59" s="700"/>
      <c r="K59" s="700"/>
      <c r="L59" s="700"/>
      <c r="M59" s="700"/>
      <c r="N59" s="309"/>
      <c r="O59" s="993" t="s">
        <v>116</v>
      </c>
      <c r="P59" s="993"/>
      <c r="Q59" s="310" t="s">
        <v>117</v>
      </c>
      <c r="R59" s="789"/>
      <c r="S59" s="789"/>
      <c r="T59" s="311" t="s">
        <v>143</v>
      </c>
      <c r="U59" s="311"/>
      <c r="V59" s="311"/>
      <c r="W59" s="311"/>
      <c r="X59" s="984">
        <f>N59*R59*(IF(ISNUMBER(U59),U59,IF(ISNUMBER(N59),1,0)))</f>
        <v>0</v>
      </c>
      <c r="Y59" s="984"/>
      <c r="Z59" s="985"/>
      <c r="AB59" s="986">
        <v>0</v>
      </c>
      <c r="AC59" s="984"/>
      <c r="AD59" s="985"/>
      <c r="AF59" s="986">
        <f>AB59-X59</f>
        <v>0</v>
      </c>
      <c r="AG59" s="984"/>
      <c r="AH59" s="985"/>
      <c r="AI59" s="348"/>
      <c r="AJ59" s="347" t="s">
        <v>525</v>
      </c>
      <c r="AK59" s="434" t="str">
        <f t="shared" si="20"/>
        <v xml:space="preserve">Remove Line 004 </v>
      </c>
      <c r="AL59" s="434"/>
      <c r="AM59" s="434"/>
      <c r="AN59" s="434"/>
      <c r="AO59" s="434"/>
      <c r="AP59" s="434"/>
      <c r="AQ59" s="434"/>
      <c r="AR59" s="434"/>
      <c r="AS59" s="600"/>
    </row>
    <row r="60" spans="3:45" s="1" customFormat="1" ht="15" customHeight="1" x14ac:dyDescent="0.2">
      <c r="C60" s="395"/>
      <c r="D60" s="395"/>
      <c r="E60" s="396"/>
      <c r="F60" s="396"/>
      <c r="G60" s="396"/>
      <c r="H60" s="396"/>
      <c r="I60" s="396"/>
      <c r="J60" s="396"/>
      <c r="K60" s="396"/>
      <c r="L60" s="396"/>
      <c r="M60" s="396"/>
      <c r="N60" s="396"/>
      <c r="O60" s="1003" t="str">
        <f>"Total "&amp;E51</f>
        <v>Total Section Title</v>
      </c>
      <c r="P60" s="1003"/>
      <c r="Q60" s="1003"/>
      <c r="R60" s="1003"/>
      <c r="S60" s="1003"/>
      <c r="T60" s="1003"/>
      <c r="U60" s="1003"/>
      <c r="V60" s="1003"/>
      <c r="W60" s="1004"/>
      <c r="X60" s="1005">
        <f ca="1">SUM(INDIRECT("X"&amp;ROW(X_10004Bef)+1&amp;":X"&amp;ROW()-1))</f>
        <v>0</v>
      </c>
      <c r="Y60" s="1006"/>
      <c r="Z60" s="1007"/>
      <c r="AB60" s="1005">
        <f ca="1">SUM(INDIRECT("AB"&amp;ROW(X_10004Bef)+1&amp;":AB"&amp;ROW()-1))</f>
        <v>0</v>
      </c>
      <c r="AC60" s="1006"/>
      <c r="AD60" s="1007"/>
      <c r="AF60" s="1000">
        <f ca="1">AB60-X60</f>
        <v>0</v>
      </c>
      <c r="AG60" s="1001"/>
      <c r="AH60" s="1002"/>
      <c r="AI60" s="398"/>
    </row>
    <row r="61" spans="3:45" customFormat="1" ht="16" x14ac:dyDescent="0.2"/>
    <row r="62" spans="3:45" s="115" customFormat="1" ht="15" customHeight="1" x14ac:dyDescent="0.2">
      <c r="C62" s="978">
        <v>10005</v>
      </c>
      <c r="D62" s="979"/>
      <c r="E62" s="704" t="s">
        <v>513</v>
      </c>
      <c r="F62" s="704"/>
      <c r="G62" s="704"/>
      <c r="H62" s="704"/>
      <c r="I62" s="704"/>
      <c r="J62" s="704"/>
      <c r="K62" s="704"/>
      <c r="L62" s="704"/>
      <c r="M62" s="704"/>
      <c r="N62" s="704"/>
      <c r="O62" s="704"/>
      <c r="P62" s="704"/>
      <c r="Q62" s="704"/>
      <c r="R62" s="704"/>
      <c r="S62" s="704"/>
      <c r="T62" s="704"/>
      <c r="U62" s="704"/>
      <c r="V62" s="704"/>
      <c r="W62" s="704"/>
      <c r="X62" s="704"/>
      <c r="Y62" s="704"/>
      <c r="Z62" s="256" t="s">
        <v>533</v>
      </c>
    </row>
    <row r="63" spans="3:45" ht="15" hidden="1" customHeight="1" x14ac:dyDescent="0.15">
      <c r="C63" s="980"/>
      <c r="D63" s="981"/>
      <c r="E63" s="989" t="s">
        <v>514</v>
      </c>
      <c r="F63" s="989"/>
      <c r="G63" s="989"/>
      <c r="H63" s="989"/>
      <c r="I63" s="989"/>
      <c r="J63" s="989"/>
      <c r="K63" s="989"/>
      <c r="L63" s="989"/>
      <c r="M63" s="989"/>
      <c r="N63" s="989"/>
      <c r="O63" s="989"/>
      <c r="P63" s="989"/>
      <c r="Q63" s="989"/>
      <c r="R63" s="989"/>
      <c r="S63" s="989"/>
      <c r="T63" s="989"/>
      <c r="U63" s="989"/>
      <c r="V63" s="989"/>
      <c r="W63" s="989"/>
      <c r="X63" s="989"/>
      <c r="Y63" s="989"/>
      <c r="Z63" s="990"/>
      <c r="AJ63" s="110"/>
    </row>
    <row r="64" spans="3:45" ht="15" hidden="1" customHeight="1" x14ac:dyDescent="0.15">
      <c r="C64" s="980"/>
      <c r="D64" s="981"/>
      <c r="E64" s="989"/>
      <c r="F64" s="989"/>
      <c r="G64" s="989"/>
      <c r="H64" s="989"/>
      <c r="I64" s="989"/>
      <c r="J64" s="989"/>
      <c r="K64" s="989"/>
      <c r="L64" s="989"/>
      <c r="M64" s="989"/>
      <c r="N64" s="989"/>
      <c r="O64" s="989"/>
      <c r="P64" s="989"/>
      <c r="Q64" s="989"/>
      <c r="R64" s="989"/>
      <c r="S64" s="989"/>
      <c r="T64" s="989"/>
      <c r="U64" s="989"/>
      <c r="V64" s="989"/>
      <c r="W64" s="989"/>
      <c r="X64" s="989"/>
      <c r="Y64" s="989"/>
      <c r="Z64" s="990"/>
      <c r="AJ64" s="110"/>
    </row>
    <row r="65" spans="3:45" ht="15" hidden="1" customHeight="1" x14ac:dyDescent="0.15">
      <c r="C65" s="982"/>
      <c r="D65" s="983"/>
      <c r="E65" s="989"/>
      <c r="F65" s="989"/>
      <c r="G65" s="989"/>
      <c r="H65" s="989"/>
      <c r="I65" s="989"/>
      <c r="J65" s="989"/>
      <c r="K65" s="989"/>
      <c r="L65" s="989"/>
      <c r="M65" s="989"/>
      <c r="N65" s="989"/>
      <c r="O65" s="989"/>
      <c r="P65" s="989"/>
      <c r="Q65" s="989"/>
      <c r="R65" s="989"/>
      <c r="S65" s="989"/>
      <c r="T65" s="989"/>
      <c r="U65" s="989"/>
      <c r="V65" s="989"/>
      <c r="W65" s="989"/>
      <c r="X65" s="989"/>
      <c r="Y65" s="989"/>
      <c r="Z65" s="990"/>
      <c r="AJ65" s="110"/>
    </row>
    <row r="66" spans="3:45" ht="15" customHeight="1" x14ac:dyDescent="0.15">
      <c r="C66" s="137"/>
      <c r="D66" s="138"/>
      <c r="E66" s="233" t="s">
        <v>384</v>
      </c>
      <c r="F66" s="233"/>
      <c r="G66" s="233"/>
      <c r="H66" s="233"/>
      <c r="I66" s="233"/>
      <c r="J66" s="233"/>
      <c r="K66" s="233"/>
      <c r="L66" s="233"/>
      <c r="M66" s="233"/>
      <c r="N66" s="233"/>
      <c r="O66" s="139" t="s">
        <v>375</v>
      </c>
      <c r="P66" s="139"/>
      <c r="Q66" s="234"/>
      <c r="R66" s="140" t="s">
        <v>220</v>
      </c>
      <c r="S66" s="140"/>
      <c r="T66" s="234"/>
      <c r="U66" s="141" t="s">
        <v>400</v>
      </c>
      <c r="V66" s="234"/>
      <c r="W66" s="234"/>
      <c r="X66" s="142" t="s">
        <v>370</v>
      </c>
      <c r="Y66" s="142"/>
      <c r="Z66" s="143"/>
      <c r="AB66" s="723" t="s">
        <v>363</v>
      </c>
      <c r="AC66" s="724"/>
      <c r="AD66" s="725"/>
      <c r="AF66" s="723" t="s">
        <v>447</v>
      </c>
      <c r="AG66" s="724"/>
      <c r="AH66" s="725"/>
      <c r="AI66" s="257"/>
      <c r="AJ66" s="232" t="s">
        <v>524</v>
      </c>
      <c r="AK66" s="994" t="str">
        <f>"Add Line in Section "&amp;C62</f>
        <v>Add Line in Section 10005</v>
      </c>
      <c r="AL66" s="995"/>
      <c r="AM66" s="995"/>
      <c r="AN66" s="995"/>
      <c r="AO66" s="995"/>
      <c r="AP66" s="995"/>
      <c r="AQ66" s="995"/>
      <c r="AR66" s="995"/>
      <c r="AS66" s="996"/>
    </row>
    <row r="67" spans="3:45" s="51" customFormat="1" ht="15" customHeight="1" x14ac:dyDescent="0.15">
      <c r="C67" s="991">
        <v>1</v>
      </c>
      <c r="D67" s="992"/>
      <c r="E67" s="700"/>
      <c r="F67" s="700"/>
      <c r="G67" s="700"/>
      <c r="H67" s="700"/>
      <c r="I67" s="700"/>
      <c r="J67" s="700"/>
      <c r="K67" s="700"/>
      <c r="L67" s="700"/>
      <c r="M67" s="700"/>
      <c r="N67" s="309"/>
      <c r="O67" s="993" t="s">
        <v>116</v>
      </c>
      <c r="P67" s="993"/>
      <c r="Q67" s="310" t="s">
        <v>117</v>
      </c>
      <c r="R67" s="789"/>
      <c r="S67" s="789"/>
      <c r="T67" s="311" t="s">
        <v>143</v>
      </c>
      <c r="U67" s="311"/>
      <c r="V67" s="311"/>
      <c r="W67" s="311"/>
      <c r="X67" s="984">
        <f>N67*R67*(IF(ISNUMBER(U67),U67,IF(ISNUMBER(N67),1,0)))</f>
        <v>0</v>
      </c>
      <c r="Y67" s="984"/>
      <c r="Z67" s="985"/>
      <c r="AB67" s="986">
        <v>0</v>
      </c>
      <c r="AC67" s="984"/>
      <c r="AD67" s="985"/>
      <c r="AF67" s="986">
        <f>AB67-X67</f>
        <v>0</v>
      </c>
      <c r="AG67" s="984"/>
      <c r="AH67" s="985"/>
      <c r="AI67" s="348"/>
      <c r="AJ67" s="347" t="s">
        <v>525</v>
      </c>
      <c r="AK67" s="434" t="str">
        <f>"Remove Line "&amp;TEXT(C67,"00#")&amp;" "&amp;E67</f>
        <v xml:space="preserve">Remove Line 001 </v>
      </c>
      <c r="AL67" s="434"/>
      <c r="AM67" s="434"/>
      <c r="AN67" s="434"/>
      <c r="AO67" s="434"/>
      <c r="AP67" s="434"/>
      <c r="AQ67" s="434"/>
      <c r="AR67" s="434"/>
      <c r="AS67" s="600"/>
    </row>
    <row r="68" spans="3:45" s="51" customFormat="1" ht="15" customHeight="1" x14ac:dyDescent="0.15">
      <c r="C68" s="991">
        <v>2</v>
      </c>
      <c r="D68" s="992"/>
      <c r="E68" s="700"/>
      <c r="F68" s="700"/>
      <c r="G68" s="700"/>
      <c r="H68" s="700"/>
      <c r="I68" s="700"/>
      <c r="J68" s="700"/>
      <c r="K68" s="700"/>
      <c r="L68" s="700"/>
      <c r="M68" s="700"/>
      <c r="N68" s="309"/>
      <c r="O68" s="993" t="s">
        <v>116</v>
      </c>
      <c r="P68" s="993"/>
      <c r="Q68" s="310" t="s">
        <v>117</v>
      </c>
      <c r="R68" s="789"/>
      <c r="S68" s="789"/>
      <c r="T68" s="311" t="s">
        <v>143</v>
      </c>
      <c r="U68" s="311"/>
      <c r="V68" s="311"/>
      <c r="W68" s="311"/>
      <c r="X68" s="984">
        <f>N68*R68*(IF(ISNUMBER(U68),U68,IF(ISNUMBER(N68),1,0)))</f>
        <v>0</v>
      </c>
      <c r="Y68" s="984"/>
      <c r="Z68" s="985"/>
      <c r="AB68" s="986">
        <v>0</v>
      </c>
      <c r="AC68" s="984"/>
      <c r="AD68" s="985"/>
      <c r="AF68" s="986">
        <f>AB68-X68</f>
        <v>0</v>
      </c>
      <c r="AG68" s="984"/>
      <c r="AH68" s="985"/>
      <c r="AI68" s="348"/>
      <c r="AJ68" s="347" t="s">
        <v>525</v>
      </c>
      <c r="AK68" s="434" t="str">
        <f t="shared" ref="AK68:AK70" si="21">"Remove Line "&amp;TEXT(C68,"00#")&amp;" "&amp;E68</f>
        <v xml:space="preserve">Remove Line 002 </v>
      </c>
      <c r="AL68" s="434"/>
      <c r="AM68" s="434"/>
      <c r="AN68" s="434"/>
      <c r="AO68" s="434"/>
      <c r="AP68" s="434"/>
      <c r="AQ68" s="434"/>
      <c r="AR68" s="434"/>
      <c r="AS68" s="600"/>
    </row>
    <row r="69" spans="3:45" s="51" customFormat="1" ht="15" customHeight="1" x14ac:dyDescent="0.15">
      <c r="C69" s="991">
        <v>3</v>
      </c>
      <c r="D69" s="992"/>
      <c r="E69" s="700"/>
      <c r="F69" s="700"/>
      <c r="G69" s="700"/>
      <c r="H69" s="700"/>
      <c r="I69" s="700"/>
      <c r="J69" s="700"/>
      <c r="K69" s="700"/>
      <c r="L69" s="700"/>
      <c r="M69" s="700"/>
      <c r="N69" s="309"/>
      <c r="O69" s="993" t="s">
        <v>116</v>
      </c>
      <c r="P69" s="993"/>
      <c r="Q69" s="310" t="s">
        <v>117</v>
      </c>
      <c r="R69" s="789"/>
      <c r="S69" s="789"/>
      <c r="T69" s="311" t="s">
        <v>143</v>
      </c>
      <c r="U69" s="311"/>
      <c r="V69" s="311"/>
      <c r="W69" s="311"/>
      <c r="X69" s="984">
        <f>N69*R69*(IF(ISNUMBER(U69),U69,IF(ISNUMBER(N69),1,0)))</f>
        <v>0</v>
      </c>
      <c r="Y69" s="984"/>
      <c r="Z69" s="985"/>
      <c r="AB69" s="986">
        <v>0</v>
      </c>
      <c r="AC69" s="984"/>
      <c r="AD69" s="985"/>
      <c r="AF69" s="986">
        <f>AB69-X69</f>
        <v>0</v>
      </c>
      <c r="AG69" s="984"/>
      <c r="AH69" s="985"/>
      <c r="AI69" s="348"/>
      <c r="AJ69" s="347" t="s">
        <v>525</v>
      </c>
      <c r="AK69" s="434" t="str">
        <f t="shared" si="21"/>
        <v xml:space="preserve">Remove Line 003 </v>
      </c>
      <c r="AL69" s="434"/>
      <c r="AM69" s="434"/>
      <c r="AN69" s="434"/>
      <c r="AO69" s="434"/>
      <c r="AP69" s="434"/>
      <c r="AQ69" s="434"/>
      <c r="AR69" s="434"/>
      <c r="AS69" s="600"/>
    </row>
    <row r="70" spans="3:45" s="51" customFormat="1" ht="15" customHeight="1" x14ac:dyDescent="0.15">
      <c r="C70" s="991">
        <v>4</v>
      </c>
      <c r="D70" s="992"/>
      <c r="E70" s="700"/>
      <c r="F70" s="700"/>
      <c r="G70" s="700"/>
      <c r="H70" s="700"/>
      <c r="I70" s="700"/>
      <c r="J70" s="700"/>
      <c r="K70" s="700"/>
      <c r="L70" s="700"/>
      <c r="M70" s="700"/>
      <c r="N70" s="309"/>
      <c r="O70" s="993" t="s">
        <v>116</v>
      </c>
      <c r="P70" s="993"/>
      <c r="Q70" s="310" t="s">
        <v>117</v>
      </c>
      <c r="R70" s="789"/>
      <c r="S70" s="789"/>
      <c r="T70" s="311" t="s">
        <v>143</v>
      </c>
      <c r="U70" s="311"/>
      <c r="V70" s="311"/>
      <c r="W70" s="311"/>
      <c r="X70" s="984">
        <f>N70*R70*(IF(ISNUMBER(U70),U70,IF(ISNUMBER(N70),1,0)))</f>
        <v>0</v>
      </c>
      <c r="Y70" s="984"/>
      <c r="Z70" s="985"/>
      <c r="AB70" s="986">
        <v>0</v>
      </c>
      <c r="AC70" s="984"/>
      <c r="AD70" s="985"/>
      <c r="AF70" s="986">
        <f>AB70-X70</f>
        <v>0</v>
      </c>
      <c r="AG70" s="984"/>
      <c r="AH70" s="985"/>
      <c r="AI70" s="348"/>
      <c r="AJ70" s="347" t="s">
        <v>525</v>
      </c>
      <c r="AK70" s="434" t="str">
        <f t="shared" si="21"/>
        <v xml:space="preserve">Remove Line 004 </v>
      </c>
      <c r="AL70" s="434"/>
      <c r="AM70" s="434"/>
      <c r="AN70" s="434"/>
      <c r="AO70" s="434"/>
      <c r="AP70" s="434"/>
      <c r="AQ70" s="434"/>
      <c r="AR70" s="434"/>
      <c r="AS70" s="600"/>
    </row>
    <row r="71" spans="3:45" s="1" customFormat="1" ht="15" customHeight="1" x14ac:dyDescent="0.2">
      <c r="C71" s="395"/>
      <c r="D71" s="395"/>
      <c r="E71" s="396"/>
      <c r="F71" s="396"/>
      <c r="G71" s="396"/>
      <c r="H71" s="396"/>
      <c r="I71" s="396"/>
      <c r="J71" s="396"/>
      <c r="K71" s="396"/>
      <c r="L71" s="396"/>
      <c r="M71" s="396"/>
      <c r="N71" s="396"/>
      <c r="O71" s="1003" t="str">
        <f>"Total "&amp;E62</f>
        <v>Total Section Title</v>
      </c>
      <c r="P71" s="1003"/>
      <c r="Q71" s="1003"/>
      <c r="R71" s="1003"/>
      <c r="S71" s="1003"/>
      <c r="T71" s="1003"/>
      <c r="U71" s="1003"/>
      <c r="V71" s="1003"/>
      <c r="W71" s="1004"/>
      <c r="X71" s="1005">
        <f ca="1">SUM(INDIRECT("X"&amp;ROW(X_10005Bef)+1&amp;":X"&amp;ROW()-1))</f>
        <v>0</v>
      </c>
      <c r="Y71" s="1006"/>
      <c r="Z71" s="1007"/>
      <c r="AB71" s="1005">
        <f ca="1">SUM(INDIRECT("AB"&amp;ROW(X_10005Bef)+1&amp;":AB"&amp;ROW()-1))</f>
        <v>0</v>
      </c>
      <c r="AC71" s="1006"/>
      <c r="AD71" s="1007"/>
      <c r="AF71" s="1000">
        <f ca="1">AB71-X71</f>
        <v>0</v>
      </c>
      <c r="AG71" s="1001"/>
      <c r="AH71" s="1002"/>
      <c r="AI71" s="398"/>
    </row>
    <row r="72" spans="3:45" customFormat="1" ht="16" x14ac:dyDescent="0.2"/>
    <row r="73" spans="3:45" s="115" customFormat="1" ht="15" customHeight="1" x14ac:dyDescent="0.2">
      <c r="C73" s="978">
        <v>10006</v>
      </c>
      <c r="D73" s="979"/>
      <c r="E73" s="704" t="s">
        <v>513</v>
      </c>
      <c r="F73" s="704"/>
      <c r="G73" s="704"/>
      <c r="H73" s="704"/>
      <c r="I73" s="704"/>
      <c r="J73" s="704"/>
      <c r="K73" s="704"/>
      <c r="L73" s="704"/>
      <c r="M73" s="704"/>
      <c r="N73" s="704"/>
      <c r="O73" s="704"/>
      <c r="P73" s="704"/>
      <c r="Q73" s="704"/>
      <c r="R73" s="704"/>
      <c r="S73" s="704"/>
      <c r="T73" s="704"/>
      <c r="U73" s="704"/>
      <c r="V73" s="704"/>
      <c r="W73" s="704"/>
      <c r="X73" s="704"/>
      <c r="Y73" s="704"/>
      <c r="Z73" s="256" t="s">
        <v>533</v>
      </c>
    </row>
    <row r="74" spans="3:45" ht="15" hidden="1" customHeight="1" x14ac:dyDescent="0.15">
      <c r="C74" s="980"/>
      <c r="D74" s="981"/>
      <c r="E74" s="989" t="s">
        <v>514</v>
      </c>
      <c r="F74" s="989"/>
      <c r="G74" s="989"/>
      <c r="H74" s="989"/>
      <c r="I74" s="989"/>
      <c r="J74" s="989"/>
      <c r="K74" s="989"/>
      <c r="L74" s="989"/>
      <c r="M74" s="989"/>
      <c r="N74" s="989"/>
      <c r="O74" s="989"/>
      <c r="P74" s="989"/>
      <c r="Q74" s="989"/>
      <c r="R74" s="989"/>
      <c r="S74" s="989"/>
      <c r="T74" s="989"/>
      <c r="U74" s="989"/>
      <c r="V74" s="989"/>
      <c r="W74" s="989"/>
      <c r="X74" s="989"/>
      <c r="Y74" s="989"/>
      <c r="Z74" s="990"/>
      <c r="AJ74" s="110"/>
    </row>
    <row r="75" spans="3:45" ht="15" hidden="1" customHeight="1" x14ac:dyDescent="0.15">
      <c r="C75" s="980"/>
      <c r="D75" s="981"/>
      <c r="E75" s="989"/>
      <c r="F75" s="989"/>
      <c r="G75" s="989"/>
      <c r="H75" s="989"/>
      <c r="I75" s="989"/>
      <c r="J75" s="989"/>
      <c r="K75" s="989"/>
      <c r="L75" s="989"/>
      <c r="M75" s="989"/>
      <c r="N75" s="989"/>
      <c r="O75" s="989"/>
      <c r="P75" s="989"/>
      <c r="Q75" s="989"/>
      <c r="R75" s="989"/>
      <c r="S75" s="989"/>
      <c r="T75" s="989"/>
      <c r="U75" s="989"/>
      <c r="V75" s="989"/>
      <c r="W75" s="989"/>
      <c r="X75" s="989"/>
      <c r="Y75" s="989"/>
      <c r="Z75" s="990"/>
      <c r="AJ75" s="110"/>
    </row>
    <row r="76" spans="3:45" ht="15" hidden="1" customHeight="1" x14ac:dyDescent="0.15">
      <c r="C76" s="982"/>
      <c r="D76" s="983"/>
      <c r="E76" s="989"/>
      <c r="F76" s="989"/>
      <c r="G76" s="989"/>
      <c r="H76" s="989"/>
      <c r="I76" s="989"/>
      <c r="J76" s="989"/>
      <c r="K76" s="989"/>
      <c r="L76" s="989"/>
      <c r="M76" s="989"/>
      <c r="N76" s="989"/>
      <c r="O76" s="989"/>
      <c r="P76" s="989"/>
      <c r="Q76" s="989"/>
      <c r="R76" s="989"/>
      <c r="S76" s="989"/>
      <c r="T76" s="989"/>
      <c r="U76" s="989"/>
      <c r="V76" s="989"/>
      <c r="W76" s="989"/>
      <c r="X76" s="989"/>
      <c r="Y76" s="989"/>
      <c r="Z76" s="990"/>
      <c r="AJ76" s="110"/>
    </row>
    <row r="77" spans="3:45" ht="15" customHeight="1" x14ac:dyDescent="0.15">
      <c r="C77" s="137"/>
      <c r="D77" s="138"/>
      <c r="E77" s="233" t="s">
        <v>384</v>
      </c>
      <c r="F77" s="233"/>
      <c r="G77" s="233"/>
      <c r="H77" s="233"/>
      <c r="I77" s="233"/>
      <c r="J77" s="233"/>
      <c r="K77" s="233"/>
      <c r="L77" s="233"/>
      <c r="M77" s="233"/>
      <c r="N77" s="233"/>
      <c r="O77" s="139" t="s">
        <v>375</v>
      </c>
      <c r="P77" s="139"/>
      <c r="Q77" s="234"/>
      <c r="R77" s="140" t="s">
        <v>220</v>
      </c>
      <c r="S77" s="140"/>
      <c r="T77" s="234"/>
      <c r="U77" s="141" t="s">
        <v>400</v>
      </c>
      <c r="V77" s="234"/>
      <c r="W77" s="234"/>
      <c r="X77" s="142" t="s">
        <v>370</v>
      </c>
      <c r="Y77" s="142"/>
      <c r="Z77" s="143"/>
      <c r="AB77" s="723" t="s">
        <v>363</v>
      </c>
      <c r="AC77" s="724"/>
      <c r="AD77" s="725"/>
      <c r="AF77" s="723" t="s">
        <v>447</v>
      </c>
      <c r="AG77" s="724"/>
      <c r="AH77" s="725"/>
      <c r="AI77" s="257"/>
      <c r="AJ77" s="232" t="s">
        <v>524</v>
      </c>
      <c r="AK77" s="994" t="str">
        <f>"Add Line in Section "&amp;C73</f>
        <v>Add Line in Section 10006</v>
      </c>
      <c r="AL77" s="995"/>
      <c r="AM77" s="995"/>
      <c r="AN77" s="995"/>
      <c r="AO77" s="995"/>
      <c r="AP77" s="995"/>
      <c r="AQ77" s="995"/>
      <c r="AR77" s="995"/>
      <c r="AS77" s="996"/>
    </row>
    <row r="78" spans="3:45" s="51" customFormat="1" ht="15" customHeight="1" x14ac:dyDescent="0.15">
      <c r="C78" s="991">
        <v>1</v>
      </c>
      <c r="D78" s="992"/>
      <c r="E78" s="700"/>
      <c r="F78" s="700"/>
      <c r="G78" s="700"/>
      <c r="H78" s="700"/>
      <c r="I78" s="700"/>
      <c r="J78" s="700"/>
      <c r="K78" s="700"/>
      <c r="L78" s="700"/>
      <c r="M78" s="700"/>
      <c r="N78" s="309"/>
      <c r="O78" s="993" t="s">
        <v>116</v>
      </c>
      <c r="P78" s="993"/>
      <c r="Q78" s="310" t="s">
        <v>117</v>
      </c>
      <c r="R78" s="789"/>
      <c r="S78" s="789"/>
      <c r="T78" s="311" t="s">
        <v>143</v>
      </c>
      <c r="U78" s="311"/>
      <c r="V78" s="311"/>
      <c r="W78" s="311"/>
      <c r="X78" s="984">
        <f>N78*R78*(IF(ISNUMBER(U78),U78,IF(ISNUMBER(N78),1,0)))</f>
        <v>0</v>
      </c>
      <c r="Y78" s="984"/>
      <c r="Z78" s="985"/>
      <c r="AB78" s="986">
        <v>0</v>
      </c>
      <c r="AC78" s="984"/>
      <c r="AD78" s="985"/>
      <c r="AF78" s="986">
        <f>AB78-X78</f>
        <v>0</v>
      </c>
      <c r="AG78" s="984"/>
      <c r="AH78" s="985"/>
      <c r="AI78" s="348"/>
      <c r="AJ78" s="347" t="s">
        <v>525</v>
      </c>
      <c r="AK78" s="434" t="str">
        <f>"Remove Line "&amp;TEXT(C78,"00#")&amp;" "&amp;E78</f>
        <v xml:space="preserve">Remove Line 001 </v>
      </c>
      <c r="AL78" s="434"/>
      <c r="AM78" s="434"/>
      <c r="AN78" s="434"/>
      <c r="AO78" s="434"/>
      <c r="AP78" s="434"/>
      <c r="AQ78" s="434"/>
      <c r="AR78" s="434"/>
      <c r="AS78" s="600"/>
    </row>
    <row r="79" spans="3:45" s="51" customFormat="1" ht="15" customHeight="1" x14ac:dyDescent="0.15">
      <c r="C79" s="991">
        <v>2</v>
      </c>
      <c r="D79" s="992"/>
      <c r="E79" s="700"/>
      <c r="F79" s="700"/>
      <c r="G79" s="700"/>
      <c r="H79" s="700"/>
      <c r="I79" s="700"/>
      <c r="J79" s="700"/>
      <c r="K79" s="700"/>
      <c r="L79" s="700"/>
      <c r="M79" s="700"/>
      <c r="N79" s="309"/>
      <c r="O79" s="993" t="s">
        <v>116</v>
      </c>
      <c r="P79" s="993"/>
      <c r="Q79" s="310" t="s">
        <v>117</v>
      </c>
      <c r="R79" s="789"/>
      <c r="S79" s="789"/>
      <c r="T79" s="311" t="s">
        <v>143</v>
      </c>
      <c r="U79" s="311"/>
      <c r="V79" s="311"/>
      <c r="W79" s="311"/>
      <c r="X79" s="984">
        <f>N79*R79*(IF(ISNUMBER(U79),U79,IF(ISNUMBER(N79),1,0)))</f>
        <v>0</v>
      </c>
      <c r="Y79" s="984"/>
      <c r="Z79" s="985"/>
      <c r="AB79" s="986">
        <v>0</v>
      </c>
      <c r="AC79" s="984"/>
      <c r="AD79" s="985"/>
      <c r="AF79" s="986">
        <f>AB79-X79</f>
        <v>0</v>
      </c>
      <c r="AG79" s="984"/>
      <c r="AH79" s="985"/>
      <c r="AI79" s="348"/>
      <c r="AJ79" s="347" t="s">
        <v>525</v>
      </c>
      <c r="AK79" s="434" t="str">
        <f t="shared" ref="AK79:AK81" si="22">"Remove Line "&amp;TEXT(C79,"00#")&amp;" "&amp;E79</f>
        <v xml:space="preserve">Remove Line 002 </v>
      </c>
      <c r="AL79" s="434"/>
      <c r="AM79" s="434"/>
      <c r="AN79" s="434"/>
      <c r="AO79" s="434"/>
      <c r="AP79" s="434"/>
      <c r="AQ79" s="434"/>
      <c r="AR79" s="434"/>
      <c r="AS79" s="600"/>
    </row>
    <row r="80" spans="3:45" s="51" customFormat="1" ht="15" customHeight="1" x14ac:dyDescent="0.15">
      <c r="C80" s="991">
        <v>3</v>
      </c>
      <c r="D80" s="992"/>
      <c r="E80" s="700"/>
      <c r="F80" s="700"/>
      <c r="G80" s="700"/>
      <c r="H80" s="700"/>
      <c r="I80" s="700"/>
      <c r="J80" s="700"/>
      <c r="K80" s="700"/>
      <c r="L80" s="700"/>
      <c r="M80" s="700"/>
      <c r="N80" s="309"/>
      <c r="O80" s="993" t="s">
        <v>116</v>
      </c>
      <c r="P80" s="993"/>
      <c r="Q80" s="310" t="s">
        <v>117</v>
      </c>
      <c r="R80" s="789"/>
      <c r="S80" s="789"/>
      <c r="T80" s="311" t="s">
        <v>143</v>
      </c>
      <c r="U80" s="311"/>
      <c r="V80" s="311"/>
      <c r="W80" s="311"/>
      <c r="X80" s="984">
        <f>N80*R80*(IF(ISNUMBER(U80),U80,IF(ISNUMBER(N80),1,0)))</f>
        <v>0</v>
      </c>
      <c r="Y80" s="984"/>
      <c r="Z80" s="985"/>
      <c r="AB80" s="986">
        <v>0</v>
      </c>
      <c r="AC80" s="984"/>
      <c r="AD80" s="985"/>
      <c r="AF80" s="986">
        <f>AB80-X80</f>
        <v>0</v>
      </c>
      <c r="AG80" s="984"/>
      <c r="AH80" s="985"/>
      <c r="AI80" s="348"/>
      <c r="AJ80" s="347" t="s">
        <v>525</v>
      </c>
      <c r="AK80" s="434" t="str">
        <f t="shared" si="22"/>
        <v xml:space="preserve">Remove Line 003 </v>
      </c>
      <c r="AL80" s="434"/>
      <c r="AM80" s="434"/>
      <c r="AN80" s="434"/>
      <c r="AO80" s="434"/>
      <c r="AP80" s="434"/>
      <c r="AQ80" s="434"/>
      <c r="AR80" s="434"/>
      <c r="AS80" s="600"/>
    </row>
    <row r="81" spans="3:45" s="51" customFormat="1" ht="15" customHeight="1" x14ac:dyDescent="0.15">
      <c r="C81" s="991">
        <v>4</v>
      </c>
      <c r="D81" s="992"/>
      <c r="E81" s="700"/>
      <c r="F81" s="700"/>
      <c r="G81" s="700"/>
      <c r="H81" s="700"/>
      <c r="I81" s="700"/>
      <c r="J81" s="700"/>
      <c r="K81" s="700"/>
      <c r="L81" s="700"/>
      <c r="M81" s="700"/>
      <c r="N81" s="309"/>
      <c r="O81" s="993" t="s">
        <v>116</v>
      </c>
      <c r="P81" s="993"/>
      <c r="Q81" s="310" t="s">
        <v>117</v>
      </c>
      <c r="R81" s="789"/>
      <c r="S81" s="789"/>
      <c r="T81" s="311" t="s">
        <v>143</v>
      </c>
      <c r="U81" s="311"/>
      <c r="V81" s="311"/>
      <c r="W81" s="311"/>
      <c r="X81" s="984">
        <f>N81*R81*(IF(ISNUMBER(U81),U81,IF(ISNUMBER(N81),1,0)))</f>
        <v>0</v>
      </c>
      <c r="Y81" s="984"/>
      <c r="Z81" s="985"/>
      <c r="AB81" s="986">
        <v>0</v>
      </c>
      <c r="AC81" s="984"/>
      <c r="AD81" s="985"/>
      <c r="AF81" s="986">
        <f>AB81-X81</f>
        <v>0</v>
      </c>
      <c r="AG81" s="984"/>
      <c r="AH81" s="985"/>
      <c r="AI81" s="348"/>
      <c r="AJ81" s="347" t="s">
        <v>525</v>
      </c>
      <c r="AK81" s="434" t="str">
        <f t="shared" si="22"/>
        <v xml:space="preserve">Remove Line 004 </v>
      </c>
      <c r="AL81" s="434"/>
      <c r="AM81" s="434"/>
      <c r="AN81" s="434"/>
      <c r="AO81" s="434"/>
      <c r="AP81" s="434"/>
      <c r="AQ81" s="434"/>
      <c r="AR81" s="434"/>
      <c r="AS81" s="600"/>
    </row>
    <row r="82" spans="3:45" s="1" customFormat="1" ht="15" customHeight="1" x14ac:dyDescent="0.2">
      <c r="C82" s="395"/>
      <c r="D82" s="395"/>
      <c r="E82" s="396"/>
      <c r="F82" s="396"/>
      <c r="G82" s="396"/>
      <c r="H82" s="396"/>
      <c r="I82" s="396"/>
      <c r="J82" s="396"/>
      <c r="K82" s="396"/>
      <c r="L82" s="396"/>
      <c r="M82" s="396"/>
      <c r="N82" s="396"/>
      <c r="O82" s="1003" t="str">
        <f>"Total "&amp;E73</f>
        <v>Total Section Title</v>
      </c>
      <c r="P82" s="1003"/>
      <c r="Q82" s="1003"/>
      <c r="R82" s="1003"/>
      <c r="S82" s="1003"/>
      <c r="T82" s="1003"/>
      <c r="U82" s="1003"/>
      <c r="V82" s="1003"/>
      <c r="W82" s="1004"/>
      <c r="X82" s="1005">
        <f ca="1">SUM(INDIRECT("X"&amp;ROW(X_10006Bef)+1&amp;":X"&amp;ROW()-1))</f>
        <v>0</v>
      </c>
      <c r="Y82" s="1006"/>
      <c r="Z82" s="1007"/>
      <c r="AB82" s="1005">
        <f ca="1">SUM(INDIRECT("AB"&amp;ROW(X_10006Bef)+1&amp;":AB"&amp;ROW()-1))</f>
        <v>0</v>
      </c>
      <c r="AC82" s="1006"/>
      <c r="AD82" s="1007"/>
      <c r="AF82" s="1000">
        <f ca="1">AB82-X82</f>
        <v>0</v>
      </c>
      <c r="AG82" s="1001"/>
      <c r="AH82" s="1002"/>
      <c r="AI82" s="398"/>
    </row>
    <row r="83" spans="3:45" customFormat="1" ht="16" x14ac:dyDescent="0.2"/>
    <row r="84" spans="3:45" s="115" customFormat="1" ht="15" customHeight="1" x14ac:dyDescent="0.2">
      <c r="C84" s="978">
        <v>10007</v>
      </c>
      <c r="D84" s="979"/>
      <c r="E84" s="704" t="s">
        <v>513</v>
      </c>
      <c r="F84" s="704"/>
      <c r="G84" s="704"/>
      <c r="H84" s="704"/>
      <c r="I84" s="704"/>
      <c r="J84" s="704"/>
      <c r="K84" s="704"/>
      <c r="L84" s="704"/>
      <c r="M84" s="704"/>
      <c r="N84" s="704"/>
      <c r="O84" s="704"/>
      <c r="P84" s="704"/>
      <c r="Q84" s="704"/>
      <c r="R84" s="704"/>
      <c r="S84" s="704"/>
      <c r="T84" s="704"/>
      <c r="U84" s="704"/>
      <c r="V84" s="704"/>
      <c r="W84" s="704"/>
      <c r="X84" s="704"/>
      <c r="Y84" s="704"/>
      <c r="Z84" s="256" t="s">
        <v>533</v>
      </c>
    </row>
    <row r="85" spans="3:45" ht="15" hidden="1" customHeight="1" x14ac:dyDescent="0.15">
      <c r="C85" s="980"/>
      <c r="D85" s="981"/>
      <c r="E85" s="989" t="s">
        <v>514</v>
      </c>
      <c r="F85" s="989"/>
      <c r="G85" s="989"/>
      <c r="H85" s="989"/>
      <c r="I85" s="989"/>
      <c r="J85" s="989"/>
      <c r="K85" s="989"/>
      <c r="L85" s="989"/>
      <c r="M85" s="989"/>
      <c r="N85" s="989"/>
      <c r="O85" s="989"/>
      <c r="P85" s="989"/>
      <c r="Q85" s="989"/>
      <c r="R85" s="989"/>
      <c r="S85" s="989"/>
      <c r="T85" s="989"/>
      <c r="U85" s="989"/>
      <c r="V85" s="989"/>
      <c r="W85" s="989"/>
      <c r="X85" s="989"/>
      <c r="Y85" s="989"/>
      <c r="Z85" s="990"/>
      <c r="AJ85" s="110"/>
    </row>
    <row r="86" spans="3:45" ht="15" hidden="1" customHeight="1" x14ac:dyDescent="0.15">
      <c r="C86" s="980"/>
      <c r="D86" s="981"/>
      <c r="E86" s="989"/>
      <c r="F86" s="989"/>
      <c r="G86" s="989"/>
      <c r="H86" s="989"/>
      <c r="I86" s="989"/>
      <c r="J86" s="989"/>
      <c r="K86" s="989"/>
      <c r="L86" s="989"/>
      <c r="M86" s="989"/>
      <c r="N86" s="989"/>
      <c r="O86" s="989"/>
      <c r="P86" s="989"/>
      <c r="Q86" s="989"/>
      <c r="R86" s="989"/>
      <c r="S86" s="989"/>
      <c r="T86" s="989"/>
      <c r="U86" s="989"/>
      <c r="V86" s="989"/>
      <c r="W86" s="989"/>
      <c r="X86" s="989"/>
      <c r="Y86" s="989"/>
      <c r="Z86" s="990"/>
      <c r="AJ86" s="110"/>
    </row>
    <row r="87" spans="3:45" ht="15" hidden="1" customHeight="1" x14ac:dyDescent="0.15">
      <c r="C87" s="982"/>
      <c r="D87" s="983"/>
      <c r="E87" s="989"/>
      <c r="F87" s="989"/>
      <c r="G87" s="989"/>
      <c r="H87" s="989"/>
      <c r="I87" s="989"/>
      <c r="J87" s="989"/>
      <c r="K87" s="989"/>
      <c r="L87" s="989"/>
      <c r="M87" s="989"/>
      <c r="N87" s="989"/>
      <c r="O87" s="989"/>
      <c r="P87" s="989"/>
      <c r="Q87" s="989"/>
      <c r="R87" s="989"/>
      <c r="S87" s="989"/>
      <c r="T87" s="989"/>
      <c r="U87" s="989"/>
      <c r="V87" s="989"/>
      <c r="W87" s="989"/>
      <c r="X87" s="989"/>
      <c r="Y87" s="989"/>
      <c r="Z87" s="990"/>
      <c r="AJ87" s="110"/>
    </row>
    <row r="88" spans="3:45" ht="15" customHeight="1" x14ac:dyDescent="0.15">
      <c r="C88" s="137"/>
      <c r="D88" s="138"/>
      <c r="E88" s="233" t="s">
        <v>384</v>
      </c>
      <c r="F88" s="233"/>
      <c r="G88" s="233"/>
      <c r="H88" s="233"/>
      <c r="I88" s="233"/>
      <c r="J88" s="233"/>
      <c r="K88" s="233"/>
      <c r="L88" s="233"/>
      <c r="M88" s="233"/>
      <c r="N88" s="233"/>
      <c r="O88" s="139" t="s">
        <v>375</v>
      </c>
      <c r="P88" s="139"/>
      <c r="Q88" s="234"/>
      <c r="R88" s="140" t="s">
        <v>220</v>
      </c>
      <c r="S88" s="140"/>
      <c r="T88" s="234"/>
      <c r="U88" s="141" t="s">
        <v>400</v>
      </c>
      <c r="V88" s="234"/>
      <c r="W88" s="234"/>
      <c r="X88" s="142" t="s">
        <v>370</v>
      </c>
      <c r="Y88" s="142"/>
      <c r="Z88" s="143"/>
      <c r="AB88" s="723" t="s">
        <v>363</v>
      </c>
      <c r="AC88" s="724"/>
      <c r="AD88" s="725"/>
      <c r="AF88" s="723" t="s">
        <v>447</v>
      </c>
      <c r="AG88" s="724"/>
      <c r="AH88" s="725"/>
      <c r="AI88" s="257"/>
      <c r="AJ88" s="232" t="s">
        <v>524</v>
      </c>
      <c r="AK88" s="994" t="str">
        <f>"Add Line in Section "&amp;C84</f>
        <v>Add Line in Section 10007</v>
      </c>
      <c r="AL88" s="995"/>
      <c r="AM88" s="995"/>
      <c r="AN88" s="995"/>
      <c r="AO88" s="995"/>
      <c r="AP88" s="995"/>
      <c r="AQ88" s="995"/>
      <c r="AR88" s="995"/>
      <c r="AS88" s="996"/>
    </row>
    <row r="89" spans="3:45" s="51" customFormat="1" ht="15" customHeight="1" x14ac:dyDescent="0.15">
      <c r="C89" s="991">
        <v>1</v>
      </c>
      <c r="D89" s="992"/>
      <c r="E89" s="700"/>
      <c r="F89" s="700"/>
      <c r="G89" s="700"/>
      <c r="H89" s="700"/>
      <c r="I89" s="700"/>
      <c r="J89" s="700"/>
      <c r="K89" s="700"/>
      <c r="L89" s="700"/>
      <c r="M89" s="700"/>
      <c r="N89" s="309"/>
      <c r="O89" s="993" t="s">
        <v>116</v>
      </c>
      <c r="P89" s="993"/>
      <c r="Q89" s="310" t="s">
        <v>117</v>
      </c>
      <c r="R89" s="789"/>
      <c r="S89" s="789"/>
      <c r="T89" s="311" t="s">
        <v>143</v>
      </c>
      <c r="U89" s="311"/>
      <c r="V89" s="311"/>
      <c r="W89" s="311"/>
      <c r="X89" s="984">
        <f>N89*R89*(IF(ISNUMBER(U89),U89,IF(ISNUMBER(N89),1,0)))</f>
        <v>0</v>
      </c>
      <c r="Y89" s="984"/>
      <c r="Z89" s="985"/>
      <c r="AB89" s="986">
        <v>0</v>
      </c>
      <c r="AC89" s="984"/>
      <c r="AD89" s="985"/>
      <c r="AF89" s="986">
        <f>AB89-X89</f>
        <v>0</v>
      </c>
      <c r="AG89" s="984"/>
      <c r="AH89" s="985"/>
      <c r="AI89" s="348"/>
      <c r="AJ89" s="347" t="s">
        <v>525</v>
      </c>
      <c r="AK89" s="434" t="str">
        <f>"Remove Line "&amp;TEXT(C89,"00#")&amp;" "&amp;E89</f>
        <v xml:space="preserve">Remove Line 001 </v>
      </c>
      <c r="AL89" s="434"/>
      <c r="AM89" s="434"/>
      <c r="AN89" s="434"/>
      <c r="AO89" s="434"/>
      <c r="AP89" s="434"/>
      <c r="AQ89" s="434"/>
      <c r="AR89" s="434"/>
      <c r="AS89" s="600"/>
    </row>
    <row r="90" spans="3:45" s="51" customFormat="1" ht="15" customHeight="1" x14ac:dyDescent="0.15">
      <c r="C90" s="991">
        <v>2</v>
      </c>
      <c r="D90" s="992"/>
      <c r="E90" s="700"/>
      <c r="F90" s="700"/>
      <c r="G90" s="700"/>
      <c r="H90" s="700"/>
      <c r="I90" s="700"/>
      <c r="J90" s="700"/>
      <c r="K90" s="700"/>
      <c r="L90" s="700"/>
      <c r="M90" s="700"/>
      <c r="N90" s="309"/>
      <c r="O90" s="993" t="s">
        <v>116</v>
      </c>
      <c r="P90" s="993"/>
      <c r="Q90" s="310" t="s">
        <v>117</v>
      </c>
      <c r="R90" s="789"/>
      <c r="S90" s="789"/>
      <c r="T90" s="311" t="s">
        <v>143</v>
      </c>
      <c r="U90" s="311"/>
      <c r="V90" s="311"/>
      <c r="W90" s="311"/>
      <c r="X90" s="984">
        <f>N90*R90*(IF(ISNUMBER(U90),U90,IF(ISNUMBER(N90),1,0)))</f>
        <v>0</v>
      </c>
      <c r="Y90" s="984"/>
      <c r="Z90" s="985"/>
      <c r="AB90" s="986">
        <v>0</v>
      </c>
      <c r="AC90" s="984"/>
      <c r="AD90" s="985"/>
      <c r="AF90" s="986">
        <f>AB90-X90</f>
        <v>0</v>
      </c>
      <c r="AG90" s="984"/>
      <c r="AH90" s="985"/>
      <c r="AI90" s="348"/>
      <c r="AJ90" s="347" t="s">
        <v>525</v>
      </c>
      <c r="AK90" s="434" t="str">
        <f t="shared" ref="AK90:AK92" si="23">"Remove Line "&amp;TEXT(C90,"00#")&amp;" "&amp;E90</f>
        <v xml:space="preserve">Remove Line 002 </v>
      </c>
      <c r="AL90" s="434"/>
      <c r="AM90" s="434"/>
      <c r="AN90" s="434"/>
      <c r="AO90" s="434"/>
      <c r="AP90" s="434"/>
      <c r="AQ90" s="434"/>
      <c r="AR90" s="434"/>
      <c r="AS90" s="600"/>
    </row>
    <row r="91" spans="3:45" s="51" customFormat="1" ht="15" customHeight="1" x14ac:dyDescent="0.15">
      <c r="C91" s="991">
        <v>3</v>
      </c>
      <c r="D91" s="992"/>
      <c r="E91" s="700"/>
      <c r="F91" s="700"/>
      <c r="G91" s="700"/>
      <c r="H91" s="700"/>
      <c r="I91" s="700"/>
      <c r="J91" s="700"/>
      <c r="K91" s="700"/>
      <c r="L91" s="700"/>
      <c r="M91" s="700"/>
      <c r="N91" s="309"/>
      <c r="O91" s="993" t="s">
        <v>116</v>
      </c>
      <c r="P91" s="993"/>
      <c r="Q91" s="310" t="s">
        <v>117</v>
      </c>
      <c r="R91" s="789"/>
      <c r="S91" s="789"/>
      <c r="T91" s="311" t="s">
        <v>143</v>
      </c>
      <c r="U91" s="311"/>
      <c r="V91" s="311"/>
      <c r="W91" s="311"/>
      <c r="X91" s="984">
        <f>N91*R91*(IF(ISNUMBER(U91),U91,IF(ISNUMBER(N91),1,0)))</f>
        <v>0</v>
      </c>
      <c r="Y91" s="984"/>
      <c r="Z91" s="985"/>
      <c r="AB91" s="986">
        <v>0</v>
      </c>
      <c r="AC91" s="984"/>
      <c r="AD91" s="985"/>
      <c r="AF91" s="986">
        <f>AB91-X91</f>
        <v>0</v>
      </c>
      <c r="AG91" s="984"/>
      <c r="AH91" s="985"/>
      <c r="AI91" s="348"/>
      <c r="AJ91" s="347" t="s">
        <v>525</v>
      </c>
      <c r="AK91" s="434" t="str">
        <f t="shared" si="23"/>
        <v xml:space="preserve">Remove Line 003 </v>
      </c>
      <c r="AL91" s="434"/>
      <c r="AM91" s="434"/>
      <c r="AN91" s="434"/>
      <c r="AO91" s="434"/>
      <c r="AP91" s="434"/>
      <c r="AQ91" s="434"/>
      <c r="AR91" s="434"/>
      <c r="AS91" s="600"/>
    </row>
    <row r="92" spans="3:45" s="51" customFormat="1" ht="15" customHeight="1" x14ac:dyDescent="0.15">
      <c r="C92" s="991">
        <v>4</v>
      </c>
      <c r="D92" s="992"/>
      <c r="E92" s="700"/>
      <c r="F92" s="700"/>
      <c r="G92" s="700"/>
      <c r="H92" s="700"/>
      <c r="I92" s="700"/>
      <c r="J92" s="700"/>
      <c r="K92" s="700"/>
      <c r="L92" s="700"/>
      <c r="M92" s="700"/>
      <c r="N92" s="309"/>
      <c r="O92" s="993" t="s">
        <v>116</v>
      </c>
      <c r="P92" s="993"/>
      <c r="Q92" s="310" t="s">
        <v>117</v>
      </c>
      <c r="R92" s="789"/>
      <c r="S92" s="789"/>
      <c r="T92" s="311" t="s">
        <v>143</v>
      </c>
      <c r="U92" s="311"/>
      <c r="V92" s="311"/>
      <c r="W92" s="311"/>
      <c r="X92" s="984">
        <f>N92*R92*(IF(ISNUMBER(U92),U92,IF(ISNUMBER(N92),1,0)))</f>
        <v>0</v>
      </c>
      <c r="Y92" s="984"/>
      <c r="Z92" s="985"/>
      <c r="AB92" s="986">
        <v>0</v>
      </c>
      <c r="AC92" s="984"/>
      <c r="AD92" s="985"/>
      <c r="AF92" s="986">
        <f>AB92-X92</f>
        <v>0</v>
      </c>
      <c r="AG92" s="984"/>
      <c r="AH92" s="985"/>
      <c r="AI92" s="348"/>
      <c r="AJ92" s="347" t="s">
        <v>525</v>
      </c>
      <c r="AK92" s="434" t="str">
        <f t="shared" si="23"/>
        <v xml:space="preserve">Remove Line 004 </v>
      </c>
      <c r="AL92" s="434"/>
      <c r="AM92" s="434"/>
      <c r="AN92" s="434"/>
      <c r="AO92" s="434"/>
      <c r="AP92" s="434"/>
      <c r="AQ92" s="434"/>
      <c r="AR92" s="434"/>
      <c r="AS92" s="600"/>
    </row>
    <row r="93" spans="3:45" s="1" customFormat="1" ht="15" customHeight="1" x14ac:dyDescent="0.2">
      <c r="C93" s="395"/>
      <c r="D93" s="395"/>
      <c r="E93" s="396"/>
      <c r="F93" s="396"/>
      <c r="G93" s="396"/>
      <c r="H93" s="396"/>
      <c r="I93" s="396"/>
      <c r="J93" s="396"/>
      <c r="K93" s="396"/>
      <c r="L93" s="396"/>
      <c r="M93" s="396"/>
      <c r="N93" s="396"/>
      <c r="O93" s="1003" t="str">
        <f>"Total "&amp;E84</f>
        <v>Total Section Title</v>
      </c>
      <c r="P93" s="1003"/>
      <c r="Q93" s="1003"/>
      <c r="R93" s="1003"/>
      <c r="S93" s="1003"/>
      <c r="T93" s="1003"/>
      <c r="U93" s="1003"/>
      <c r="V93" s="1003"/>
      <c r="W93" s="1004"/>
      <c r="X93" s="1005">
        <f ca="1">SUM(INDIRECT("X"&amp;ROW(X_10007Bef)+1&amp;":X"&amp;ROW()-1))</f>
        <v>0</v>
      </c>
      <c r="Y93" s="1006"/>
      <c r="Z93" s="1007"/>
      <c r="AB93" s="1005">
        <f ca="1">SUM(INDIRECT("AB"&amp;ROW(X_10007Bef)+1&amp;":AB"&amp;ROW()-1))</f>
        <v>0</v>
      </c>
      <c r="AC93" s="1006"/>
      <c r="AD93" s="1007"/>
      <c r="AF93" s="1000">
        <f ca="1">AB93-X93</f>
        <v>0</v>
      </c>
      <c r="AG93" s="1001"/>
      <c r="AH93" s="1002"/>
      <c r="AI93" s="398"/>
    </row>
    <row r="94" spans="3:45" customFormat="1" ht="6" customHeight="1" x14ac:dyDescent="0.2"/>
    <row r="95" spans="3:45" s="322" customFormat="1" ht="17" x14ac:dyDescent="0.2">
      <c r="O95" s="826" t="s">
        <v>241</v>
      </c>
      <c r="P95" s="826"/>
      <c r="Q95" s="826"/>
      <c r="R95" s="826"/>
      <c r="S95" s="826"/>
      <c r="T95" s="826"/>
      <c r="U95" s="826"/>
      <c r="V95" s="826"/>
      <c r="W95" s="826"/>
      <c r="X95" s="1008">
        <f ca="1">SUM(Total_10000+Total_10001+Total_10002+Total_10003+Total_10004+Total_10005+Total_10006+Total_10007)</f>
        <v>0</v>
      </c>
      <c r="Y95" s="1009"/>
      <c r="Z95" s="1010"/>
      <c r="AB95" s="1008">
        <f ca="1">SUM(Actual_10000+Actual_10001+Actual_10002+Actual_10003+Actual_10004+Actual_10005+Actual_10006+Actual_10007)</f>
        <v>0</v>
      </c>
      <c r="AC95" s="1009"/>
      <c r="AD95" s="1010"/>
      <c r="AF95" s="1008"/>
      <c r="AG95" s="1009"/>
      <c r="AH95" s="1010"/>
    </row>
    <row r="96" spans="3:45" x14ac:dyDescent="0.25">
      <c r="R96" s="110"/>
      <c r="S96" s="110"/>
    </row>
    <row r="97" spans="18:19" x14ac:dyDescent="0.25">
      <c r="R97" s="110"/>
      <c r="S97" s="110"/>
    </row>
    <row r="98" spans="18:19" ht="15.75" customHeight="1" x14ac:dyDescent="0.25">
      <c r="R98" s="110"/>
      <c r="S98" s="110"/>
    </row>
    <row r="99" spans="18:19" x14ac:dyDescent="0.25">
      <c r="R99" s="110"/>
      <c r="S99" s="110"/>
    </row>
    <row r="100" spans="18:19" x14ac:dyDescent="0.25">
      <c r="R100" s="110"/>
      <c r="S100" s="110"/>
    </row>
    <row r="101" spans="18:19" x14ac:dyDescent="0.25">
      <c r="R101" s="110"/>
      <c r="S101" s="110"/>
    </row>
    <row r="102" spans="18:19" x14ac:dyDescent="0.25">
      <c r="R102" s="110"/>
      <c r="S102" s="110"/>
    </row>
    <row r="103" spans="18:19" x14ac:dyDescent="0.25">
      <c r="R103" s="110"/>
      <c r="S103" s="110"/>
    </row>
    <row r="104" spans="18:19" x14ac:dyDescent="0.25">
      <c r="R104" s="110"/>
      <c r="S104" s="110"/>
    </row>
    <row r="105" spans="18:19" x14ac:dyDescent="0.25">
      <c r="R105" s="110"/>
      <c r="S105" s="110"/>
    </row>
    <row r="106" spans="18:19" x14ac:dyDescent="0.25">
      <c r="R106" s="110"/>
      <c r="S106" s="110"/>
    </row>
    <row r="107" spans="18:19" x14ac:dyDescent="0.25">
      <c r="R107" s="110"/>
      <c r="S107" s="110"/>
    </row>
    <row r="108" spans="18:19" x14ac:dyDescent="0.25">
      <c r="R108" s="110"/>
      <c r="S108" s="110"/>
    </row>
    <row r="109" spans="18:19" x14ac:dyDescent="0.25">
      <c r="R109" s="110"/>
      <c r="S109" s="110"/>
    </row>
    <row r="110" spans="18:19" x14ac:dyDescent="0.25">
      <c r="R110" s="110"/>
      <c r="S110" s="110"/>
    </row>
    <row r="111" spans="18:19" x14ac:dyDescent="0.25">
      <c r="R111" s="110"/>
      <c r="S111" s="110"/>
    </row>
    <row r="112" spans="18:19" x14ac:dyDescent="0.25">
      <c r="R112" s="110"/>
      <c r="S112" s="110"/>
    </row>
    <row r="113" spans="18:19" ht="16.25" customHeight="1" x14ac:dyDescent="0.25">
      <c r="R113" s="110"/>
      <c r="S113" s="110"/>
    </row>
    <row r="114" spans="18:19" ht="16.25" customHeight="1" x14ac:dyDescent="0.25">
      <c r="R114" s="110"/>
      <c r="S114" s="110"/>
    </row>
    <row r="115" spans="18:19" ht="16.25" customHeight="1" x14ac:dyDescent="0.25">
      <c r="R115" s="110"/>
      <c r="S115" s="110"/>
    </row>
    <row r="116" spans="18:19" ht="16.25" customHeight="1" x14ac:dyDescent="0.25">
      <c r="R116" s="110"/>
      <c r="S116" s="110"/>
    </row>
    <row r="117" spans="18:19" ht="16.25" customHeight="1" x14ac:dyDescent="0.25"/>
    <row r="118" spans="18:19" ht="16.25" customHeight="1" x14ac:dyDescent="0.25"/>
    <row r="119" spans="18:19" ht="16.25" customHeight="1" x14ac:dyDescent="0.25"/>
    <row r="120" spans="18:19" ht="16.25" customHeight="1" x14ac:dyDescent="0.25"/>
    <row r="121" spans="18:19" ht="16.25" customHeight="1" x14ac:dyDescent="0.25"/>
  </sheetData>
  <sheetProtection selectLockedCells="1"/>
  <mergeCells count="342">
    <mergeCell ref="C92:D92"/>
    <mergeCell ref="E92:M92"/>
    <mergeCell ref="O92:P92"/>
    <mergeCell ref="R92:S92"/>
    <mergeCell ref="X92:Z92"/>
    <mergeCell ref="AB92:AD92"/>
    <mergeCell ref="AF92:AH92"/>
    <mergeCell ref="AK92:AS92"/>
    <mergeCell ref="O93:W93"/>
    <mergeCell ref="X93:Z93"/>
    <mergeCell ref="AB93:AD93"/>
    <mergeCell ref="AF93:AH93"/>
    <mergeCell ref="C90:D90"/>
    <mergeCell ref="E90:M90"/>
    <mergeCell ref="O90:P90"/>
    <mergeCell ref="R90:S90"/>
    <mergeCell ref="X90:Z90"/>
    <mergeCell ref="AB90:AD90"/>
    <mergeCell ref="AF90:AH90"/>
    <mergeCell ref="AK90:AS90"/>
    <mergeCell ref="C91:D91"/>
    <mergeCell ref="E91:M91"/>
    <mergeCell ref="O91:P91"/>
    <mergeCell ref="R91:S91"/>
    <mergeCell ref="X91:Z91"/>
    <mergeCell ref="AB91:AD91"/>
    <mergeCell ref="AF91:AH91"/>
    <mergeCell ref="AK91:AS91"/>
    <mergeCell ref="C84:D87"/>
    <mergeCell ref="E84:Y84"/>
    <mergeCell ref="E85:Z87"/>
    <mergeCell ref="AB88:AD88"/>
    <mergeCell ref="AF88:AH88"/>
    <mergeCell ref="AK88:AS88"/>
    <mergeCell ref="C89:D89"/>
    <mergeCell ref="E89:M89"/>
    <mergeCell ref="O89:P89"/>
    <mergeCell ref="R89:S89"/>
    <mergeCell ref="X89:Z89"/>
    <mergeCell ref="AB89:AD89"/>
    <mergeCell ref="AF89:AH89"/>
    <mergeCell ref="AK89:AS89"/>
    <mergeCell ref="C81:D81"/>
    <mergeCell ref="E81:M81"/>
    <mergeCell ref="O81:P81"/>
    <mergeCell ref="R81:S81"/>
    <mergeCell ref="X81:Z81"/>
    <mergeCell ref="AB81:AD81"/>
    <mergeCell ref="AF81:AH81"/>
    <mergeCell ref="AK81:AS81"/>
    <mergeCell ref="O82:W82"/>
    <mergeCell ref="X82:Z82"/>
    <mergeCell ref="AB82:AD82"/>
    <mergeCell ref="AF82:AH82"/>
    <mergeCell ref="C79:D79"/>
    <mergeCell ref="E79:M79"/>
    <mergeCell ref="O79:P79"/>
    <mergeCell ref="R79:S79"/>
    <mergeCell ref="X79:Z79"/>
    <mergeCell ref="AB79:AD79"/>
    <mergeCell ref="AF79:AH79"/>
    <mergeCell ref="AK79:AS79"/>
    <mergeCell ref="C80:D80"/>
    <mergeCell ref="E80:M80"/>
    <mergeCell ref="O80:P80"/>
    <mergeCell ref="R80:S80"/>
    <mergeCell ref="X80:Z80"/>
    <mergeCell ref="AB80:AD80"/>
    <mergeCell ref="AF80:AH80"/>
    <mergeCell ref="AK80:AS80"/>
    <mergeCell ref="C73:D76"/>
    <mergeCell ref="E73:Y73"/>
    <mergeCell ref="E74:Z76"/>
    <mergeCell ref="AB77:AD77"/>
    <mergeCell ref="AF77:AH77"/>
    <mergeCell ref="AK77:AS77"/>
    <mergeCell ref="C78:D78"/>
    <mergeCell ref="E78:M78"/>
    <mergeCell ref="O78:P78"/>
    <mergeCell ref="R78:S78"/>
    <mergeCell ref="X78:Z78"/>
    <mergeCell ref="AB78:AD78"/>
    <mergeCell ref="AF78:AH78"/>
    <mergeCell ref="AK78:AS78"/>
    <mergeCell ref="C70:D70"/>
    <mergeCell ref="E70:M70"/>
    <mergeCell ref="O70:P70"/>
    <mergeCell ref="R70:S70"/>
    <mergeCell ref="X70:Z70"/>
    <mergeCell ref="AB70:AD70"/>
    <mergeCell ref="AF70:AH70"/>
    <mergeCell ref="AK70:AS70"/>
    <mergeCell ref="O71:W71"/>
    <mergeCell ref="X71:Z71"/>
    <mergeCell ref="AB71:AD71"/>
    <mergeCell ref="AF71:AH71"/>
    <mergeCell ref="C68:D68"/>
    <mergeCell ref="E68:M68"/>
    <mergeCell ref="O68:P68"/>
    <mergeCell ref="R68:S68"/>
    <mergeCell ref="X68:Z68"/>
    <mergeCell ref="AB68:AD68"/>
    <mergeCell ref="AF68:AH68"/>
    <mergeCell ref="AK68:AS68"/>
    <mergeCell ref="C69:D69"/>
    <mergeCell ref="E69:M69"/>
    <mergeCell ref="O69:P69"/>
    <mergeCell ref="R69:S69"/>
    <mergeCell ref="X69:Z69"/>
    <mergeCell ref="AB69:AD69"/>
    <mergeCell ref="AF69:AH69"/>
    <mergeCell ref="AK69:AS69"/>
    <mergeCell ref="C62:D65"/>
    <mergeCell ref="E62:Y62"/>
    <mergeCell ref="E63:Z65"/>
    <mergeCell ref="AB66:AD66"/>
    <mergeCell ref="AF66:AH66"/>
    <mergeCell ref="AK66:AS66"/>
    <mergeCell ref="C67:D67"/>
    <mergeCell ref="E67:M67"/>
    <mergeCell ref="O67:P67"/>
    <mergeCell ref="R67:S67"/>
    <mergeCell ref="X67:Z67"/>
    <mergeCell ref="AB67:AD67"/>
    <mergeCell ref="AF67:AH67"/>
    <mergeCell ref="AK67:AS67"/>
    <mergeCell ref="C59:D59"/>
    <mergeCell ref="E59:M59"/>
    <mergeCell ref="O59:P59"/>
    <mergeCell ref="R59:S59"/>
    <mergeCell ref="X59:Z59"/>
    <mergeCell ref="AB59:AD59"/>
    <mergeCell ref="AF59:AH59"/>
    <mergeCell ref="AK59:AS59"/>
    <mergeCell ref="O60:W60"/>
    <mergeCell ref="X60:Z60"/>
    <mergeCell ref="AB60:AD60"/>
    <mergeCell ref="AF60:AH60"/>
    <mergeCell ref="C57:D57"/>
    <mergeCell ref="E57:M57"/>
    <mergeCell ref="O57:P57"/>
    <mergeCell ref="R57:S57"/>
    <mergeCell ref="X57:Z57"/>
    <mergeCell ref="AB57:AD57"/>
    <mergeCell ref="AF57:AH57"/>
    <mergeCell ref="AK57:AS57"/>
    <mergeCell ref="C58:D58"/>
    <mergeCell ref="E58:M58"/>
    <mergeCell ref="O58:P58"/>
    <mergeCell ref="R58:S58"/>
    <mergeCell ref="X58:Z58"/>
    <mergeCell ref="AB58:AD58"/>
    <mergeCell ref="AF58:AH58"/>
    <mergeCell ref="AK58:AS58"/>
    <mergeCell ref="C51:D54"/>
    <mergeCell ref="E51:Y51"/>
    <mergeCell ref="E52:Z54"/>
    <mergeCell ref="AB55:AD55"/>
    <mergeCell ref="AF55:AH55"/>
    <mergeCell ref="AK55:AS55"/>
    <mergeCell ref="C56:D56"/>
    <mergeCell ref="E56:M56"/>
    <mergeCell ref="O56:P56"/>
    <mergeCell ref="R56:S56"/>
    <mergeCell ref="X56:Z56"/>
    <mergeCell ref="AB56:AD56"/>
    <mergeCell ref="AF56:AH56"/>
    <mergeCell ref="AK56:AS56"/>
    <mergeCell ref="C48:D48"/>
    <mergeCell ref="E48:M48"/>
    <mergeCell ref="O48:P48"/>
    <mergeCell ref="R48:S48"/>
    <mergeCell ref="X48:Z48"/>
    <mergeCell ref="AB48:AD48"/>
    <mergeCell ref="AF48:AH48"/>
    <mergeCell ref="AK48:AS48"/>
    <mergeCell ref="O49:W49"/>
    <mergeCell ref="X49:Z49"/>
    <mergeCell ref="AB49:AD49"/>
    <mergeCell ref="AF49:AH49"/>
    <mergeCell ref="C46:D46"/>
    <mergeCell ref="E46:M46"/>
    <mergeCell ref="O46:P46"/>
    <mergeCell ref="R46:S46"/>
    <mergeCell ref="X46:Z46"/>
    <mergeCell ref="AB46:AD46"/>
    <mergeCell ref="AF46:AH46"/>
    <mergeCell ref="AK46:AS46"/>
    <mergeCell ref="C47:D47"/>
    <mergeCell ref="E47:M47"/>
    <mergeCell ref="O47:P47"/>
    <mergeCell ref="R47:S47"/>
    <mergeCell ref="X47:Z47"/>
    <mergeCell ref="AB47:AD47"/>
    <mergeCell ref="AF47:AH47"/>
    <mergeCell ref="AK47:AS47"/>
    <mergeCell ref="C40:D43"/>
    <mergeCell ref="E40:Y40"/>
    <mergeCell ref="E41:Z43"/>
    <mergeCell ref="AB44:AD44"/>
    <mergeCell ref="AF44:AH44"/>
    <mergeCell ref="AK44:AS44"/>
    <mergeCell ref="C45:D45"/>
    <mergeCell ref="E45:M45"/>
    <mergeCell ref="O45:P45"/>
    <mergeCell ref="R45:S45"/>
    <mergeCell ref="X45:Z45"/>
    <mergeCell ref="AB45:AD45"/>
    <mergeCell ref="AF45:AH45"/>
    <mergeCell ref="AK45:AS45"/>
    <mergeCell ref="C29:D32"/>
    <mergeCell ref="E29:Y29"/>
    <mergeCell ref="E30:Z32"/>
    <mergeCell ref="AB33:AD33"/>
    <mergeCell ref="AF33:AH33"/>
    <mergeCell ref="C36:D36"/>
    <mergeCell ref="E36:M36"/>
    <mergeCell ref="O36:P36"/>
    <mergeCell ref="R36:S36"/>
    <mergeCell ref="X36:Z36"/>
    <mergeCell ref="AB36:AD36"/>
    <mergeCell ref="AF36:AH36"/>
    <mergeCell ref="C34:D34"/>
    <mergeCell ref="E34:M34"/>
    <mergeCell ref="O34:P34"/>
    <mergeCell ref="R34:S34"/>
    <mergeCell ref="X34:Z34"/>
    <mergeCell ref="AB34:AD34"/>
    <mergeCell ref="AF34:AH34"/>
    <mergeCell ref="C35:D35"/>
    <mergeCell ref="E35:M35"/>
    <mergeCell ref="O35:P35"/>
    <mergeCell ref="R35:S35"/>
    <mergeCell ref="X35:Z35"/>
    <mergeCell ref="C37:D37"/>
    <mergeCell ref="E37:M37"/>
    <mergeCell ref="O37:P37"/>
    <mergeCell ref="R37:S37"/>
    <mergeCell ref="X37:Z37"/>
    <mergeCell ref="AB37:AD37"/>
    <mergeCell ref="AF37:AH37"/>
    <mergeCell ref="AK37:AS37"/>
    <mergeCell ref="O38:W38"/>
    <mergeCell ref="X38:Z38"/>
    <mergeCell ref="AB38:AD38"/>
    <mergeCell ref="AF38:AH38"/>
    <mergeCell ref="AB35:AD35"/>
    <mergeCell ref="AF35:AH35"/>
    <mergeCell ref="AK35:AS35"/>
    <mergeCell ref="AK36:AS36"/>
    <mergeCell ref="AF95:AH95"/>
    <mergeCell ref="X95:Z95"/>
    <mergeCell ref="O95:W95"/>
    <mergeCell ref="AK33:AS33"/>
    <mergeCell ref="X14:Z14"/>
    <mergeCell ref="AK34:AS34"/>
    <mergeCell ref="AB22:AD22"/>
    <mergeCell ref="E18:Y18"/>
    <mergeCell ref="AB95:AD95"/>
    <mergeCell ref="AK26:AS26"/>
    <mergeCell ref="AB14:AD14"/>
    <mergeCell ref="AB25:AD25"/>
    <mergeCell ref="E23:M23"/>
    <mergeCell ref="E24:M24"/>
    <mergeCell ref="AB15:AD15"/>
    <mergeCell ref="AF15:AH15"/>
    <mergeCell ref="AB16:AD16"/>
    <mergeCell ref="X16:Z16"/>
    <mergeCell ref="R23:S23"/>
    <mergeCell ref="X23:Z23"/>
    <mergeCell ref="C26:D26"/>
    <mergeCell ref="E26:M26"/>
    <mergeCell ref="O26:P26"/>
    <mergeCell ref="R26:S26"/>
    <mergeCell ref="X26:Z26"/>
    <mergeCell ref="AB26:AD26"/>
    <mergeCell ref="AF26:AH26"/>
    <mergeCell ref="E25:M25"/>
    <mergeCell ref="O25:P25"/>
    <mergeCell ref="R25:S25"/>
    <mergeCell ref="X25:Z25"/>
    <mergeCell ref="AB23:AD23"/>
    <mergeCell ref="R24:S24"/>
    <mergeCell ref="AK12:AS12"/>
    <mergeCell ref="AK13:AS13"/>
    <mergeCell ref="AF24:AH24"/>
    <mergeCell ref="AF22:AH22"/>
    <mergeCell ref="AF16:AH16"/>
    <mergeCell ref="AF23:AH23"/>
    <mergeCell ref="AF25:AH25"/>
    <mergeCell ref="AK25:AS25"/>
    <mergeCell ref="AF14:AH14"/>
    <mergeCell ref="AK14:AS14"/>
    <mergeCell ref="AK15:AS15"/>
    <mergeCell ref="AK11:AS11"/>
    <mergeCell ref="AK22:AS22"/>
    <mergeCell ref="C12:D12"/>
    <mergeCell ref="X27:Z27"/>
    <mergeCell ref="C13:D13"/>
    <mergeCell ref="R13:S13"/>
    <mergeCell ref="O12:P12"/>
    <mergeCell ref="O13:P13"/>
    <mergeCell ref="C23:D23"/>
    <mergeCell ref="C24:D24"/>
    <mergeCell ref="E19:Z21"/>
    <mergeCell ref="O23:P23"/>
    <mergeCell ref="O24:P24"/>
    <mergeCell ref="AK23:AS23"/>
    <mergeCell ref="AK24:AS24"/>
    <mergeCell ref="AF27:AH27"/>
    <mergeCell ref="C25:D25"/>
    <mergeCell ref="C14:D14"/>
    <mergeCell ref="E14:M14"/>
    <mergeCell ref="O14:P14"/>
    <mergeCell ref="R14:S14"/>
    <mergeCell ref="O16:W16"/>
    <mergeCell ref="AB27:AD27"/>
    <mergeCell ref="O27:W27"/>
    <mergeCell ref="C18:D21"/>
    <mergeCell ref="X24:Z24"/>
    <mergeCell ref="AB24:AD24"/>
    <mergeCell ref="H2:J3"/>
    <mergeCell ref="D2:F3"/>
    <mergeCell ref="E12:M12"/>
    <mergeCell ref="E13:M13"/>
    <mergeCell ref="AB13:AD13"/>
    <mergeCell ref="AF12:AH12"/>
    <mergeCell ref="AF11:AH11"/>
    <mergeCell ref="X13:Z13"/>
    <mergeCell ref="E8:Z10"/>
    <mergeCell ref="AB12:AD12"/>
    <mergeCell ref="X12:Z12"/>
    <mergeCell ref="C7:D10"/>
    <mergeCell ref="AF13:AH13"/>
    <mergeCell ref="R12:S12"/>
    <mergeCell ref="AB11:AD11"/>
    <mergeCell ref="E7:Y7"/>
    <mergeCell ref="C15:D15"/>
    <mergeCell ref="E15:M15"/>
    <mergeCell ref="O15:P15"/>
    <mergeCell ref="R15:S15"/>
    <mergeCell ref="X15:Z15"/>
  </mergeCells>
  <pageMargins left="0.7" right="0.7" top="0.75" bottom="0.75" header="0.3" footer="0.3"/>
  <pageSetup scale="70" orientation="portrait" horizontalDpi="1200" verticalDpi="1200"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EB6D6-9BCB-4BFE-9917-B6D9530D2ACC}">
  <sheetPr codeName="Sheet25"/>
  <dimension ref="A1:C118"/>
  <sheetViews>
    <sheetView topLeftCell="A54" workbookViewId="0">
      <selection activeCell="E84" sqref="E84"/>
    </sheetView>
  </sheetViews>
  <sheetFormatPr baseColWidth="10" defaultColWidth="8.83203125" defaultRowHeight="16" x14ac:dyDescent="0.2"/>
  <cols>
    <col min="1" max="1" width="6.6640625" customWidth="1"/>
    <col min="2" max="2" width="40.6640625" customWidth="1"/>
    <col min="3" max="3" width="9"/>
    <col min="5" max="5" width="29.6640625" customWidth="1"/>
    <col min="9" max="9" width="16.6640625" customWidth="1"/>
    <col min="13" max="13" width="31" customWidth="1"/>
  </cols>
  <sheetData>
    <row r="1" spans="1:3" x14ac:dyDescent="0.2">
      <c r="A1">
        <f>COUNTA(B:B)</f>
        <v>117</v>
      </c>
    </row>
    <row r="2" spans="1:3" x14ac:dyDescent="0.2">
      <c r="B2" s="186" t="s">
        <v>326</v>
      </c>
      <c r="C2" t="s">
        <v>715</v>
      </c>
    </row>
    <row r="3" spans="1:3" x14ac:dyDescent="0.2">
      <c r="B3" s="186" t="s">
        <v>1</v>
      </c>
      <c r="C3" t="s">
        <v>707</v>
      </c>
    </row>
    <row r="4" spans="1:3" x14ac:dyDescent="0.2">
      <c r="B4" s="186" t="s">
        <v>327</v>
      </c>
      <c r="C4" t="s">
        <v>703</v>
      </c>
    </row>
    <row r="5" spans="1:3" x14ac:dyDescent="0.2">
      <c r="B5" s="186" t="s">
        <v>328</v>
      </c>
      <c r="C5" t="s">
        <v>704</v>
      </c>
    </row>
    <row r="6" spans="1:3" x14ac:dyDescent="0.2">
      <c r="B6" s="186" t="s">
        <v>2</v>
      </c>
      <c r="C6" t="s">
        <v>706</v>
      </c>
    </row>
    <row r="7" spans="1:3" x14ac:dyDescent="0.2">
      <c r="B7" s="266" t="s">
        <v>51</v>
      </c>
      <c r="C7" t="s">
        <v>701</v>
      </c>
    </row>
    <row r="8" spans="1:3" x14ac:dyDescent="0.2">
      <c r="B8" s="186" t="s">
        <v>330</v>
      </c>
      <c r="C8" t="s">
        <v>705</v>
      </c>
    </row>
    <row r="9" spans="1:3" x14ac:dyDescent="0.2">
      <c r="B9" s="186" t="s">
        <v>4</v>
      </c>
      <c r="C9" t="s">
        <v>711</v>
      </c>
    </row>
    <row r="10" spans="1:3" x14ac:dyDescent="0.2">
      <c r="B10" s="186" t="s">
        <v>331</v>
      </c>
      <c r="C10" t="s">
        <v>709</v>
      </c>
    </row>
    <row r="11" spans="1:3" x14ac:dyDescent="0.2">
      <c r="B11" s="186" t="s">
        <v>728</v>
      </c>
      <c r="C11" t="s">
        <v>710</v>
      </c>
    </row>
    <row r="12" spans="1:3" x14ac:dyDescent="0.2">
      <c r="B12" s="186" t="s">
        <v>334</v>
      </c>
      <c r="C12" t="s">
        <v>732</v>
      </c>
    </row>
    <row r="13" spans="1:3" x14ac:dyDescent="0.2">
      <c r="B13" s="186" t="s">
        <v>5</v>
      </c>
      <c r="C13" t="s">
        <v>713</v>
      </c>
    </row>
    <row r="14" spans="1:3" x14ac:dyDescent="0.2">
      <c r="B14" s="186" t="s">
        <v>727</v>
      </c>
      <c r="C14" t="s">
        <v>712</v>
      </c>
    </row>
    <row r="15" spans="1:3" x14ac:dyDescent="0.2">
      <c r="B15" s="186" t="s">
        <v>729</v>
      </c>
      <c r="C15" t="s">
        <v>730</v>
      </c>
    </row>
    <row r="16" spans="1:3" x14ac:dyDescent="0.2">
      <c r="B16" s="186" t="s">
        <v>339</v>
      </c>
      <c r="C16" t="s">
        <v>794</v>
      </c>
    </row>
    <row r="17" spans="2:3" x14ac:dyDescent="0.2">
      <c r="B17" s="186" t="s">
        <v>341</v>
      </c>
      <c r="C17" t="s">
        <v>731</v>
      </c>
    </row>
    <row r="18" spans="2:3" x14ac:dyDescent="0.2">
      <c r="B18" s="186" t="s">
        <v>6</v>
      </c>
      <c r="C18" t="s">
        <v>720</v>
      </c>
    </row>
    <row r="19" spans="2:3" x14ac:dyDescent="0.2">
      <c r="B19" s="186" t="s">
        <v>422</v>
      </c>
      <c r="C19" t="s">
        <v>722</v>
      </c>
    </row>
    <row r="20" spans="2:3" x14ac:dyDescent="0.2">
      <c r="B20" s="186" t="s">
        <v>413</v>
      </c>
      <c r="C20" t="s">
        <v>723</v>
      </c>
    </row>
    <row r="21" spans="2:3" x14ac:dyDescent="0.2">
      <c r="B21" s="186" t="s">
        <v>345</v>
      </c>
      <c r="C21" t="s">
        <v>721</v>
      </c>
    </row>
    <row r="22" spans="2:3" x14ac:dyDescent="0.2">
      <c r="B22" s="186" t="s">
        <v>346</v>
      </c>
      <c r="C22" t="s">
        <v>724</v>
      </c>
    </row>
    <row r="23" spans="2:3" x14ac:dyDescent="0.2">
      <c r="B23" s="186" t="s">
        <v>347</v>
      </c>
      <c r="C23" t="s">
        <v>733</v>
      </c>
    </row>
    <row r="24" spans="2:3" x14ac:dyDescent="0.2">
      <c r="B24" s="186" t="s">
        <v>348</v>
      </c>
      <c r="C24" t="s">
        <v>734</v>
      </c>
    </row>
    <row r="25" spans="2:3" x14ac:dyDescent="0.2">
      <c r="B25" s="186" t="s">
        <v>349</v>
      </c>
      <c r="C25" t="s">
        <v>702</v>
      </c>
    </row>
    <row r="26" spans="2:3" x14ac:dyDescent="0.2">
      <c r="B26" s="186" t="s">
        <v>350</v>
      </c>
      <c r="C26" t="s">
        <v>714</v>
      </c>
    </row>
    <row r="27" spans="2:3" x14ac:dyDescent="0.2">
      <c r="B27" s="186" t="s">
        <v>9</v>
      </c>
      <c r="C27" t="s">
        <v>716</v>
      </c>
    </row>
    <row r="28" spans="2:3" x14ac:dyDescent="0.2">
      <c r="B28" s="186" t="s">
        <v>10</v>
      </c>
      <c r="C28" t="s">
        <v>735</v>
      </c>
    </row>
    <row r="29" spans="2:3" x14ac:dyDescent="0.2">
      <c r="B29" s="186" t="s">
        <v>11</v>
      </c>
      <c r="C29" t="s">
        <v>708</v>
      </c>
    </row>
    <row r="30" spans="2:3" x14ac:dyDescent="0.2">
      <c r="B30" s="186" t="s">
        <v>736</v>
      </c>
      <c r="C30" t="s">
        <v>737</v>
      </c>
    </row>
    <row r="31" spans="2:3" x14ac:dyDescent="0.2">
      <c r="B31" s="186" t="s">
        <v>351</v>
      </c>
      <c r="C31" t="s">
        <v>738</v>
      </c>
    </row>
    <row r="32" spans="2:3" x14ac:dyDescent="0.2">
      <c r="B32" s="186" t="s">
        <v>12</v>
      </c>
      <c r="C32" t="s">
        <v>725</v>
      </c>
    </row>
    <row r="33" spans="2:3" x14ac:dyDescent="0.2">
      <c r="B33" s="186" t="s">
        <v>425</v>
      </c>
      <c r="C33" t="s">
        <v>726</v>
      </c>
    </row>
    <row r="34" spans="2:3" x14ac:dyDescent="0.2">
      <c r="B34" s="266" t="s">
        <v>374</v>
      </c>
      <c r="C34" t="s">
        <v>719</v>
      </c>
    </row>
    <row r="35" spans="2:3" x14ac:dyDescent="0.2">
      <c r="B35" s="186" t="s">
        <v>13</v>
      </c>
      <c r="C35" t="s">
        <v>718</v>
      </c>
    </row>
    <row r="36" spans="2:3" x14ac:dyDescent="0.2">
      <c r="B36" s="186" t="s">
        <v>352</v>
      </c>
      <c r="C36" t="s">
        <v>717</v>
      </c>
    </row>
    <row r="37" spans="2:3" x14ac:dyDescent="0.2">
      <c r="B37" s="186" t="s">
        <v>15</v>
      </c>
      <c r="C37" t="s">
        <v>739</v>
      </c>
    </row>
    <row r="38" spans="2:3" x14ac:dyDescent="0.2">
      <c r="B38" s="186" t="s">
        <v>16</v>
      </c>
      <c r="C38" t="s">
        <v>740</v>
      </c>
    </row>
    <row r="39" spans="2:3" x14ac:dyDescent="0.2">
      <c r="B39" s="186" t="s">
        <v>20</v>
      </c>
      <c r="C39" s="186" t="s">
        <v>741</v>
      </c>
    </row>
    <row r="40" spans="2:3" x14ac:dyDescent="0.2">
      <c r="B40" s="186" t="s">
        <v>21</v>
      </c>
      <c r="C40" s="186" t="s">
        <v>742</v>
      </c>
    </row>
    <row r="41" spans="2:3" x14ac:dyDescent="0.2">
      <c r="B41" s="186" t="s">
        <v>100</v>
      </c>
      <c r="C41" s="186" t="s">
        <v>746</v>
      </c>
    </row>
    <row r="42" spans="2:3" x14ac:dyDescent="0.2">
      <c r="B42" s="186" t="s">
        <v>23</v>
      </c>
      <c r="C42" s="186" t="s">
        <v>743</v>
      </c>
    </row>
    <row r="43" spans="2:3" x14ac:dyDescent="0.2">
      <c r="B43" s="186" t="s">
        <v>24</v>
      </c>
      <c r="C43" s="186" t="s">
        <v>744</v>
      </c>
    </row>
    <row r="44" spans="2:3" x14ac:dyDescent="0.2">
      <c r="B44" s="186" t="s">
        <v>232</v>
      </c>
      <c r="C44" s="186" t="s">
        <v>745</v>
      </c>
    </row>
    <row r="45" spans="2:3" x14ac:dyDescent="0.2">
      <c r="B45" s="186" t="s">
        <v>35</v>
      </c>
      <c r="C45" s="186" t="s">
        <v>747</v>
      </c>
    </row>
    <row r="46" spans="2:3" x14ac:dyDescent="0.2">
      <c r="B46" s="186" t="s">
        <v>226</v>
      </c>
      <c r="C46" s="186" t="s">
        <v>748</v>
      </c>
    </row>
    <row r="47" spans="2:3" x14ac:dyDescent="0.2">
      <c r="B47" s="186" t="s">
        <v>36</v>
      </c>
      <c r="C47" s="186" t="s">
        <v>751</v>
      </c>
    </row>
    <row r="48" spans="2:3" x14ac:dyDescent="0.2">
      <c r="B48" s="186" t="s">
        <v>225</v>
      </c>
      <c r="C48" s="186" t="s">
        <v>752</v>
      </c>
    </row>
    <row r="49" spans="2:3" x14ac:dyDescent="0.2">
      <c r="B49" s="186" t="s">
        <v>361</v>
      </c>
      <c r="C49" s="186" t="s">
        <v>753</v>
      </c>
    </row>
    <row r="50" spans="2:3" x14ac:dyDescent="0.2">
      <c r="B50" s="186" t="s">
        <v>230</v>
      </c>
      <c r="C50" s="186" t="s">
        <v>749</v>
      </c>
    </row>
    <row r="51" spans="2:3" x14ac:dyDescent="0.2">
      <c r="B51" s="186" t="s">
        <v>58</v>
      </c>
      <c r="C51" s="186" t="s">
        <v>750</v>
      </c>
    </row>
    <row r="52" spans="2:3" x14ac:dyDescent="0.2">
      <c r="B52" s="186" t="s">
        <v>754</v>
      </c>
      <c r="C52" s="186" t="s">
        <v>755</v>
      </c>
    </row>
    <row r="53" spans="2:3" x14ac:dyDescent="0.2">
      <c r="B53" s="186" t="s">
        <v>756</v>
      </c>
      <c r="C53" s="186" t="s">
        <v>757</v>
      </c>
    </row>
    <row r="54" spans="2:3" x14ac:dyDescent="0.2">
      <c r="B54" s="186" t="s">
        <v>758</v>
      </c>
      <c r="C54" s="186" t="s">
        <v>759</v>
      </c>
    </row>
    <row r="55" spans="2:3" x14ac:dyDescent="0.2">
      <c r="B55" s="186" t="s">
        <v>760</v>
      </c>
      <c r="C55" s="186" t="s">
        <v>761</v>
      </c>
    </row>
    <row r="56" spans="2:3" x14ac:dyDescent="0.2">
      <c r="B56" s="186" t="s">
        <v>764</v>
      </c>
      <c r="C56" s="186" t="s">
        <v>768</v>
      </c>
    </row>
    <row r="57" spans="2:3" x14ac:dyDescent="0.2">
      <c r="B57" s="186" t="s">
        <v>765</v>
      </c>
      <c r="C57" s="186" t="s">
        <v>769</v>
      </c>
    </row>
    <row r="58" spans="2:3" x14ac:dyDescent="0.2">
      <c r="B58" s="186" t="s">
        <v>770</v>
      </c>
      <c r="C58" s="186" t="s">
        <v>795</v>
      </c>
    </row>
    <row r="59" spans="2:3" x14ac:dyDescent="0.2">
      <c r="B59" s="186" t="s">
        <v>771</v>
      </c>
      <c r="C59" s="186" t="s">
        <v>772</v>
      </c>
    </row>
    <row r="60" spans="2:3" x14ac:dyDescent="0.2">
      <c r="B60" s="186" t="s">
        <v>325</v>
      </c>
      <c r="C60" s="186" t="s">
        <v>796</v>
      </c>
    </row>
    <row r="61" spans="2:3" x14ac:dyDescent="0.2">
      <c r="B61" s="186" t="s">
        <v>797</v>
      </c>
      <c r="C61" s="186" t="s">
        <v>762</v>
      </c>
    </row>
    <row r="62" spans="2:3" x14ac:dyDescent="0.2">
      <c r="B62" s="186" t="s">
        <v>54</v>
      </c>
      <c r="C62" s="186" t="s">
        <v>763</v>
      </c>
    </row>
    <row r="63" spans="2:3" x14ac:dyDescent="0.2">
      <c r="B63" s="186" t="s">
        <v>798</v>
      </c>
      <c r="C63" s="186" t="s">
        <v>799</v>
      </c>
    </row>
    <row r="64" spans="2:3" x14ac:dyDescent="0.2">
      <c r="B64" s="186" t="s">
        <v>59</v>
      </c>
      <c r="C64" s="186" t="s">
        <v>773</v>
      </c>
    </row>
    <row r="65" spans="2:3" x14ac:dyDescent="0.2">
      <c r="B65" s="186" t="s">
        <v>57</v>
      </c>
      <c r="C65" s="186" t="s">
        <v>774</v>
      </c>
    </row>
    <row r="66" spans="2:3" x14ac:dyDescent="0.2">
      <c r="B66" s="186" t="s">
        <v>766</v>
      </c>
      <c r="C66" s="186" t="s">
        <v>775</v>
      </c>
    </row>
    <row r="67" spans="2:3" x14ac:dyDescent="0.2">
      <c r="B67" s="186" t="s">
        <v>767</v>
      </c>
      <c r="C67" s="186" t="s">
        <v>776</v>
      </c>
    </row>
    <row r="68" spans="2:3" x14ac:dyDescent="0.2">
      <c r="B68" s="186" t="s">
        <v>316</v>
      </c>
      <c r="C68" t="s">
        <v>792</v>
      </c>
    </row>
    <row r="69" spans="2:3" x14ac:dyDescent="0.2">
      <c r="B69" s="186" t="s">
        <v>319</v>
      </c>
      <c r="C69" s="186" t="s">
        <v>777</v>
      </c>
    </row>
    <row r="70" spans="2:3" x14ac:dyDescent="0.2">
      <c r="B70" s="186" t="s">
        <v>74</v>
      </c>
      <c r="C70" s="186" t="s">
        <v>800</v>
      </c>
    </row>
    <row r="71" spans="2:3" x14ac:dyDescent="0.2">
      <c r="B71" s="186" t="s">
        <v>126</v>
      </c>
      <c r="C71" s="186" t="s">
        <v>778</v>
      </c>
    </row>
    <row r="72" spans="2:3" x14ac:dyDescent="0.2">
      <c r="B72" s="186" t="s">
        <v>228</v>
      </c>
      <c r="C72" s="186" t="s">
        <v>779</v>
      </c>
    </row>
    <row r="73" spans="2:3" x14ac:dyDescent="0.2">
      <c r="B73" s="186" t="s">
        <v>82</v>
      </c>
      <c r="C73" s="186" t="s">
        <v>780</v>
      </c>
    </row>
    <row r="74" spans="2:3" x14ac:dyDescent="0.2">
      <c r="B74" s="186" t="s">
        <v>89</v>
      </c>
      <c r="C74" s="186" t="s">
        <v>781</v>
      </c>
    </row>
    <row r="75" spans="2:3" x14ac:dyDescent="0.2">
      <c r="B75" s="186" t="s">
        <v>308</v>
      </c>
      <c r="C75" s="186" t="s">
        <v>782</v>
      </c>
    </row>
    <row r="76" spans="2:3" x14ac:dyDescent="0.2">
      <c r="B76" s="186" t="s">
        <v>311</v>
      </c>
      <c r="C76" s="186" t="s">
        <v>783</v>
      </c>
    </row>
    <row r="77" spans="2:3" x14ac:dyDescent="0.2">
      <c r="B77" s="186" t="s">
        <v>784</v>
      </c>
      <c r="C77" s="186" t="s">
        <v>785</v>
      </c>
    </row>
    <row r="78" spans="2:3" x14ac:dyDescent="0.2">
      <c r="B78" s="186" t="s">
        <v>313</v>
      </c>
      <c r="C78" s="186" t="s">
        <v>786</v>
      </c>
    </row>
    <row r="79" spans="2:3" x14ac:dyDescent="0.2">
      <c r="B79" s="186" t="s">
        <v>314</v>
      </c>
      <c r="C79" s="186" t="s">
        <v>787</v>
      </c>
    </row>
    <row r="80" spans="2:3" x14ac:dyDescent="0.2">
      <c r="B80" s="186" t="s">
        <v>315</v>
      </c>
      <c r="C80" s="186" t="s">
        <v>788</v>
      </c>
    </row>
    <row r="81" spans="2:3" x14ac:dyDescent="0.2">
      <c r="B81" s="186" t="s">
        <v>305</v>
      </c>
      <c r="C81" s="186" t="s">
        <v>789</v>
      </c>
    </row>
    <row r="82" spans="2:3" x14ac:dyDescent="0.2">
      <c r="B82" s="186" t="s">
        <v>306</v>
      </c>
      <c r="C82" s="186" t="s">
        <v>790</v>
      </c>
    </row>
    <row r="83" spans="2:3" x14ac:dyDescent="0.2">
      <c r="B83" t="s">
        <v>667</v>
      </c>
      <c r="C83" t="s">
        <v>545</v>
      </c>
    </row>
    <row r="84" spans="2:3" x14ac:dyDescent="0.2">
      <c r="B84" t="s">
        <v>668</v>
      </c>
      <c r="C84" t="s">
        <v>547</v>
      </c>
    </row>
    <row r="85" spans="2:3" x14ac:dyDescent="0.2">
      <c r="B85" t="s">
        <v>669</v>
      </c>
      <c r="C85" t="s">
        <v>549</v>
      </c>
    </row>
    <row r="86" spans="2:3" x14ac:dyDescent="0.2">
      <c r="B86" t="s">
        <v>670</v>
      </c>
      <c r="C86" t="s">
        <v>551</v>
      </c>
    </row>
    <row r="87" spans="2:3" x14ac:dyDescent="0.2">
      <c r="B87" t="s">
        <v>671</v>
      </c>
      <c r="C87" t="s">
        <v>553</v>
      </c>
    </row>
    <row r="88" spans="2:3" x14ac:dyDescent="0.2">
      <c r="B88" t="s">
        <v>672</v>
      </c>
      <c r="C88" t="s">
        <v>555</v>
      </c>
    </row>
    <row r="89" spans="2:3" x14ac:dyDescent="0.2">
      <c r="B89" t="s">
        <v>673</v>
      </c>
      <c r="C89" t="s">
        <v>557</v>
      </c>
    </row>
    <row r="90" spans="2:3" x14ac:dyDescent="0.2">
      <c r="B90" t="s">
        <v>674</v>
      </c>
      <c r="C90" t="s">
        <v>559</v>
      </c>
    </row>
    <row r="91" spans="2:3" x14ac:dyDescent="0.2">
      <c r="B91" t="s">
        <v>675</v>
      </c>
      <c r="C91" t="s">
        <v>561</v>
      </c>
    </row>
    <row r="92" spans="2:3" x14ac:dyDescent="0.2">
      <c r="B92" t="s">
        <v>676</v>
      </c>
      <c r="C92" t="s">
        <v>565</v>
      </c>
    </row>
    <row r="93" spans="2:3" x14ac:dyDescent="0.2">
      <c r="B93" t="s">
        <v>677</v>
      </c>
      <c r="C93" t="s">
        <v>568</v>
      </c>
    </row>
    <row r="94" spans="2:3" x14ac:dyDescent="0.2">
      <c r="B94" t="s">
        <v>678</v>
      </c>
      <c r="C94" t="s">
        <v>570</v>
      </c>
    </row>
    <row r="95" spans="2:3" x14ac:dyDescent="0.2">
      <c r="B95" t="s">
        <v>679</v>
      </c>
      <c r="C95" t="s">
        <v>574</v>
      </c>
    </row>
    <row r="96" spans="2:3" x14ac:dyDescent="0.2">
      <c r="B96" t="s">
        <v>680</v>
      </c>
      <c r="C96" t="s">
        <v>579</v>
      </c>
    </row>
    <row r="97" spans="2:3" x14ac:dyDescent="0.2">
      <c r="B97" t="s">
        <v>681</v>
      </c>
      <c r="C97" t="s">
        <v>590</v>
      </c>
    </row>
    <row r="98" spans="2:3" x14ac:dyDescent="0.2">
      <c r="B98" t="s">
        <v>791</v>
      </c>
      <c r="C98" t="s">
        <v>593</v>
      </c>
    </row>
    <row r="99" spans="2:3" x14ac:dyDescent="0.2">
      <c r="B99" t="s">
        <v>793</v>
      </c>
      <c r="C99" t="s">
        <v>596</v>
      </c>
    </row>
    <row r="100" spans="2:3" x14ac:dyDescent="0.2">
      <c r="B100" t="s">
        <v>682</v>
      </c>
      <c r="C100" t="s">
        <v>599</v>
      </c>
    </row>
    <row r="101" spans="2:3" x14ac:dyDescent="0.2">
      <c r="B101" t="s">
        <v>683</v>
      </c>
      <c r="C101" t="s">
        <v>601</v>
      </c>
    </row>
    <row r="102" spans="2:3" x14ac:dyDescent="0.2">
      <c r="B102" t="s">
        <v>684</v>
      </c>
      <c r="C102" t="s">
        <v>603</v>
      </c>
    </row>
    <row r="103" spans="2:3" x14ac:dyDescent="0.2">
      <c r="B103" t="s">
        <v>685</v>
      </c>
      <c r="C103" t="s">
        <v>605</v>
      </c>
    </row>
    <row r="104" spans="2:3" x14ac:dyDescent="0.2">
      <c r="B104" t="s">
        <v>686</v>
      </c>
      <c r="C104" t="s">
        <v>608</v>
      </c>
    </row>
    <row r="105" spans="2:3" x14ac:dyDescent="0.2">
      <c r="B105" t="s">
        <v>687</v>
      </c>
      <c r="C105" t="s">
        <v>655</v>
      </c>
    </row>
    <row r="106" spans="2:3" x14ac:dyDescent="0.2">
      <c r="B106" t="s">
        <v>688</v>
      </c>
      <c r="C106" t="s">
        <v>613</v>
      </c>
    </row>
    <row r="107" spans="2:3" x14ac:dyDescent="0.2">
      <c r="B107" t="s">
        <v>689</v>
      </c>
      <c r="C107" t="s">
        <v>615</v>
      </c>
    </row>
    <row r="108" spans="2:3" x14ac:dyDescent="0.2">
      <c r="B108" t="s">
        <v>690</v>
      </c>
      <c r="C108" t="s">
        <v>618</v>
      </c>
    </row>
    <row r="109" spans="2:3" x14ac:dyDescent="0.2">
      <c r="B109" t="s">
        <v>691</v>
      </c>
      <c r="C109" t="s">
        <v>622</v>
      </c>
    </row>
    <row r="110" spans="2:3" x14ac:dyDescent="0.2">
      <c r="B110" t="s">
        <v>692</v>
      </c>
      <c r="C110" t="s">
        <v>627</v>
      </c>
    </row>
    <row r="111" spans="2:3" x14ac:dyDescent="0.2">
      <c r="B111" t="s">
        <v>693</v>
      </c>
      <c r="C111" t="s">
        <v>629</v>
      </c>
    </row>
    <row r="112" spans="2:3" x14ac:dyDescent="0.2">
      <c r="B112" t="s">
        <v>694</v>
      </c>
      <c r="C112" t="s">
        <v>631</v>
      </c>
    </row>
    <row r="113" spans="2:3" x14ac:dyDescent="0.2">
      <c r="B113" t="s">
        <v>695</v>
      </c>
      <c r="C113" t="s">
        <v>633</v>
      </c>
    </row>
    <row r="114" spans="2:3" x14ac:dyDescent="0.2">
      <c r="B114" t="s">
        <v>696</v>
      </c>
      <c r="C114" t="s">
        <v>636</v>
      </c>
    </row>
    <row r="115" spans="2:3" x14ac:dyDescent="0.2">
      <c r="B115" t="s">
        <v>697</v>
      </c>
      <c r="C115" t="s">
        <v>638</v>
      </c>
    </row>
    <row r="116" spans="2:3" x14ac:dyDescent="0.2">
      <c r="B116" t="s">
        <v>698</v>
      </c>
      <c r="C116" t="s">
        <v>640</v>
      </c>
    </row>
    <row r="117" spans="2:3" x14ac:dyDescent="0.2">
      <c r="B117" t="s">
        <v>699</v>
      </c>
      <c r="C117" t="s">
        <v>656</v>
      </c>
    </row>
    <row r="118" spans="2:3" x14ac:dyDescent="0.2">
      <c r="B118" t="s">
        <v>700</v>
      </c>
      <c r="C118" t="s">
        <v>646</v>
      </c>
    </row>
  </sheetData>
  <pageMargins left="0.7" right="0.7" top="0.75" bottom="0.75" header="0.3" footer="0.3"/>
  <pageSetup orientation="portrait" horizontalDpi="4294967293" verticalDpi="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D65CAC-2460-491F-87C4-92787AD833E2}">
  <sheetPr codeName="Sheet26"/>
  <dimension ref="A1:P273"/>
  <sheetViews>
    <sheetView topLeftCell="A168" workbookViewId="0">
      <selection activeCell="G193" sqref="G193"/>
    </sheetView>
  </sheetViews>
  <sheetFormatPr baseColWidth="10" defaultColWidth="8.83203125" defaultRowHeight="16" x14ac:dyDescent="0.2"/>
  <cols>
    <col min="3" max="12" width="9"/>
  </cols>
  <sheetData>
    <row r="1" spans="1:16" x14ac:dyDescent="0.2">
      <c r="A1" s="1011">
        <v>1</v>
      </c>
      <c r="B1" s="1012"/>
      <c r="C1" s="264" t="s">
        <v>0</v>
      </c>
      <c r="D1" s="264"/>
      <c r="E1" s="264"/>
      <c r="F1" s="264"/>
      <c r="G1" s="264"/>
      <c r="H1" s="264"/>
      <c r="I1" s="264"/>
      <c r="J1" s="264"/>
      <c r="K1" s="264"/>
      <c r="L1" t="str">
        <f>C1</f>
        <v>Line Producer</v>
      </c>
      <c r="P1" t="str">
        <f>A1&amp;" "&amp;C1</f>
        <v>1 Line Producer</v>
      </c>
    </row>
    <row r="2" spans="1:16" x14ac:dyDescent="0.2">
      <c r="A2" s="1011">
        <v>2</v>
      </c>
      <c r="B2" s="1012"/>
      <c r="C2" s="264" t="s">
        <v>326</v>
      </c>
      <c r="D2" s="264"/>
      <c r="E2" s="264"/>
      <c r="F2" s="264"/>
      <c r="G2" s="264"/>
      <c r="H2" s="264"/>
      <c r="I2" s="264"/>
      <c r="J2" s="264"/>
      <c r="K2" s="264"/>
      <c r="L2" t="str">
        <f t="shared" ref="L2:L49" si="0">C2</f>
        <v>Assistant Director</v>
      </c>
      <c r="P2" t="str">
        <f t="shared" ref="P2:P65" si="1">A2&amp;" "&amp;C2</f>
        <v>2 Assistant Director</v>
      </c>
    </row>
    <row r="3" spans="1:16" x14ac:dyDescent="0.2">
      <c r="A3" s="1011">
        <v>3</v>
      </c>
      <c r="B3" s="1012"/>
      <c r="C3" s="264" t="s">
        <v>1</v>
      </c>
      <c r="D3" s="264"/>
      <c r="E3" s="264"/>
      <c r="F3" s="264"/>
      <c r="G3" s="264"/>
      <c r="H3" s="264"/>
      <c r="I3" s="264"/>
      <c r="J3" s="264"/>
      <c r="K3" s="264"/>
      <c r="L3" t="str">
        <f t="shared" si="0"/>
        <v>Director of Photography</v>
      </c>
      <c r="P3" t="str">
        <f t="shared" si="1"/>
        <v>3 Director of Photography</v>
      </c>
    </row>
    <row r="4" spans="1:16" x14ac:dyDescent="0.2">
      <c r="A4" s="1011">
        <v>4</v>
      </c>
      <c r="B4" s="1012"/>
      <c r="C4" s="264" t="s">
        <v>327</v>
      </c>
      <c r="D4" s="264"/>
      <c r="E4" s="264"/>
      <c r="F4" s="264"/>
      <c r="G4" s="264"/>
      <c r="H4" s="264"/>
      <c r="I4" s="264"/>
      <c r="J4" s="264"/>
      <c r="K4" s="264"/>
      <c r="L4" t="str">
        <f t="shared" si="0"/>
        <v>1st Assistant Camera</v>
      </c>
      <c r="P4" t="str">
        <f t="shared" si="1"/>
        <v>4 1st Assistant Camera</v>
      </c>
    </row>
    <row r="5" spans="1:16" x14ac:dyDescent="0.2">
      <c r="A5" s="1011">
        <v>5</v>
      </c>
      <c r="B5" s="1012"/>
      <c r="C5" s="264" t="s">
        <v>328</v>
      </c>
      <c r="D5" s="264"/>
      <c r="E5" s="264"/>
      <c r="F5" s="264"/>
      <c r="G5" s="264"/>
      <c r="H5" s="264"/>
      <c r="I5" s="264"/>
      <c r="J5" s="264"/>
      <c r="K5" s="264"/>
      <c r="L5" t="str">
        <f t="shared" si="0"/>
        <v>2nd Assistant Camera</v>
      </c>
      <c r="P5" t="str">
        <f t="shared" si="1"/>
        <v>5 2nd Assistant Camera</v>
      </c>
    </row>
    <row r="6" spans="1:16" x14ac:dyDescent="0.2">
      <c r="A6" s="1011">
        <v>6</v>
      </c>
      <c r="B6" s="1012"/>
      <c r="C6" s="264" t="s">
        <v>2</v>
      </c>
      <c r="D6" s="264"/>
      <c r="E6" s="264"/>
      <c r="F6" s="264"/>
      <c r="G6" s="264"/>
      <c r="H6" s="264"/>
      <c r="I6" s="264"/>
      <c r="J6" s="264"/>
      <c r="K6" s="264"/>
      <c r="L6" t="str">
        <f t="shared" si="0"/>
        <v>DIT</v>
      </c>
      <c r="P6" t="str">
        <f t="shared" si="1"/>
        <v>6 DIT</v>
      </c>
    </row>
    <row r="7" spans="1:16" x14ac:dyDescent="0.2">
      <c r="A7" s="1011">
        <v>7</v>
      </c>
      <c r="B7" s="1012"/>
      <c r="C7" s="265" t="s">
        <v>51</v>
      </c>
      <c r="D7" s="265"/>
      <c r="E7" s="265"/>
      <c r="F7" s="265"/>
      <c r="G7" s="265"/>
      <c r="H7" s="265"/>
      <c r="I7" s="265"/>
      <c r="J7" s="265"/>
      <c r="K7" s="265"/>
      <c r="L7" t="str">
        <f t="shared" si="0"/>
        <v>Prop Master</v>
      </c>
      <c r="P7" t="str">
        <f t="shared" si="1"/>
        <v>7 Prop Master</v>
      </c>
    </row>
    <row r="8" spans="1:16" x14ac:dyDescent="0.2">
      <c r="A8" s="1011">
        <v>8</v>
      </c>
      <c r="B8" s="1012"/>
      <c r="C8" s="264" t="s">
        <v>3</v>
      </c>
      <c r="D8" s="264"/>
      <c r="E8" s="264"/>
      <c r="F8" s="264"/>
      <c r="G8" s="264"/>
      <c r="H8" s="264"/>
      <c r="I8" s="264"/>
      <c r="J8" s="264"/>
      <c r="K8" s="264"/>
      <c r="L8" t="str">
        <f t="shared" si="0"/>
        <v>Asst Props</v>
      </c>
      <c r="P8" t="str">
        <f t="shared" si="1"/>
        <v>8 Asst Props</v>
      </c>
    </row>
    <row r="9" spans="1:16" x14ac:dyDescent="0.2">
      <c r="A9" s="1011">
        <v>9</v>
      </c>
      <c r="B9" s="1012"/>
      <c r="C9" s="264" t="s">
        <v>329</v>
      </c>
      <c r="D9" s="264"/>
      <c r="E9" s="264"/>
      <c r="F9" s="264"/>
      <c r="G9" s="264"/>
      <c r="H9" s="264"/>
      <c r="I9" s="264"/>
      <c r="J9" s="264"/>
      <c r="K9" s="264"/>
      <c r="L9" t="str">
        <f t="shared" si="0"/>
        <v>Local Production Super</v>
      </c>
      <c r="P9" t="str">
        <f t="shared" si="1"/>
        <v>9 Local Production Super</v>
      </c>
    </row>
    <row r="10" spans="1:16" x14ac:dyDescent="0.2">
      <c r="A10" s="1011">
        <v>10</v>
      </c>
      <c r="B10" s="1012"/>
      <c r="C10" s="264" t="s">
        <v>330</v>
      </c>
      <c r="D10" s="264"/>
      <c r="E10" s="264"/>
      <c r="F10" s="264"/>
      <c r="G10" s="264"/>
      <c r="H10" s="264"/>
      <c r="I10" s="264"/>
      <c r="J10" s="264"/>
      <c r="K10" s="264"/>
      <c r="L10" t="str">
        <f t="shared" si="0"/>
        <v>Camera Op</v>
      </c>
      <c r="P10" t="str">
        <f t="shared" si="1"/>
        <v>10 Camera Op</v>
      </c>
    </row>
    <row r="11" spans="1:16" x14ac:dyDescent="0.2">
      <c r="A11" s="1011">
        <v>11</v>
      </c>
      <c r="B11" s="1012"/>
      <c r="C11" s="264" t="s">
        <v>4</v>
      </c>
      <c r="D11" s="264"/>
      <c r="E11" s="264"/>
      <c r="F11" s="264"/>
      <c r="G11" s="264"/>
      <c r="H11" s="264"/>
      <c r="I11" s="264"/>
      <c r="J11" s="264"/>
      <c r="K11" s="264"/>
      <c r="L11" t="str">
        <f t="shared" si="0"/>
        <v>Gaffer</v>
      </c>
      <c r="P11" t="str">
        <f t="shared" si="1"/>
        <v>11 Gaffer</v>
      </c>
    </row>
    <row r="12" spans="1:16" x14ac:dyDescent="0.2">
      <c r="A12" s="1011">
        <v>12</v>
      </c>
      <c r="B12" s="1012"/>
      <c r="C12" s="264" t="s">
        <v>331</v>
      </c>
      <c r="D12" s="264"/>
      <c r="E12" s="264"/>
      <c r="F12" s="264"/>
      <c r="G12" s="264"/>
      <c r="H12" s="264"/>
      <c r="I12" s="264"/>
      <c r="J12" s="264"/>
      <c r="K12" s="264"/>
      <c r="L12" t="str">
        <f t="shared" si="0"/>
        <v>Best Boy Electric</v>
      </c>
      <c r="P12" t="str">
        <f t="shared" si="1"/>
        <v>12 Best Boy Electric</v>
      </c>
    </row>
    <row r="13" spans="1:16" x14ac:dyDescent="0.2">
      <c r="A13" s="1011">
        <v>13</v>
      </c>
      <c r="B13" s="1012"/>
      <c r="C13" s="264" t="s">
        <v>332</v>
      </c>
      <c r="D13" s="264"/>
      <c r="E13" s="264"/>
      <c r="F13" s="264"/>
      <c r="G13" s="264"/>
      <c r="H13" s="264"/>
      <c r="I13" s="264"/>
      <c r="J13" s="264"/>
      <c r="K13" s="264"/>
      <c r="L13" t="str">
        <f t="shared" si="0"/>
        <v>3rd Electric</v>
      </c>
      <c r="P13" t="str">
        <f t="shared" si="1"/>
        <v>13 3rd Electric</v>
      </c>
    </row>
    <row r="14" spans="1:16" x14ac:dyDescent="0.2">
      <c r="A14" s="1011">
        <v>14</v>
      </c>
      <c r="B14" s="1012"/>
      <c r="C14" s="264" t="s">
        <v>333</v>
      </c>
      <c r="D14" s="264"/>
      <c r="E14" s="264"/>
      <c r="F14" s="264"/>
      <c r="G14" s="264"/>
      <c r="H14" s="264"/>
      <c r="I14" s="264"/>
      <c r="J14" s="264"/>
      <c r="K14" s="264"/>
      <c r="L14" t="str">
        <f t="shared" si="0"/>
        <v>Electric/Driver</v>
      </c>
      <c r="P14" t="str">
        <f t="shared" si="1"/>
        <v>14 Electric/Driver</v>
      </c>
    </row>
    <row r="15" spans="1:16" x14ac:dyDescent="0.2">
      <c r="A15" s="1011">
        <v>15</v>
      </c>
      <c r="B15" s="1012"/>
      <c r="C15" s="264" t="s">
        <v>334</v>
      </c>
      <c r="D15" s="264"/>
      <c r="E15" s="264"/>
      <c r="F15" s="264"/>
      <c r="G15" s="264"/>
      <c r="H15" s="264"/>
      <c r="I15" s="264"/>
      <c r="J15" s="264"/>
      <c r="K15" s="264"/>
      <c r="L15" t="str">
        <f t="shared" si="0"/>
        <v>Prep/Strike/Pre Rig Crew</v>
      </c>
      <c r="P15" t="str">
        <f t="shared" si="1"/>
        <v>15 Prep/Strike/Pre Rig Crew</v>
      </c>
    </row>
    <row r="16" spans="1:16" x14ac:dyDescent="0.2">
      <c r="A16" s="1013">
        <v>16</v>
      </c>
      <c r="B16" s="1014"/>
      <c r="C16" s="264" t="s">
        <v>5</v>
      </c>
      <c r="D16" s="264"/>
      <c r="E16" s="264"/>
      <c r="F16" s="264"/>
      <c r="G16" s="264"/>
      <c r="H16" s="264"/>
      <c r="I16" s="264"/>
      <c r="J16" s="264"/>
      <c r="K16" s="264"/>
      <c r="L16" t="str">
        <f t="shared" si="0"/>
        <v>Key Grip</v>
      </c>
      <c r="P16" t="str">
        <f t="shared" si="1"/>
        <v>16 Key Grip</v>
      </c>
    </row>
    <row r="17" spans="1:16" x14ac:dyDescent="0.2">
      <c r="A17" s="1013">
        <v>17</v>
      </c>
      <c r="B17" s="1014"/>
      <c r="C17" s="264" t="s">
        <v>335</v>
      </c>
      <c r="D17" s="264"/>
      <c r="E17" s="264"/>
      <c r="F17" s="264"/>
      <c r="G17" s="264"/>
      <c r="H17" s="264"/>
      <c r="I17" s="264"/>
      <c r="J17" s="264"/>
      <c r="K17" s="264"/>
      <c r="L17" t="str">
        <f t="shared" si="0"/>
        <v>Best Boy Grip</v>
      </c>
      <c r="P17" t="str">
        <f t="shared" si="1"/>
        <v>17 Best Boy Grip</v>
      </c>
    </row>
    <row r="18" spans="1:16" x14ac:dyDescent="0.2">
      <c r="A18" s="1013">
        <v>18</v>
      </c>
      <c r="B18" s="1014"/>
      <c r="C18" s="264" t="s">
        <v>336</v>
      </c>
      <c r="D18" s="264"/>
      <c r="E18" s="264"/>
      <c r="F18" s="264"/>
      <c r="G18" s="264"/>
      <c r="H18" s="264"/>
      <c r="I18" s="264"/>
      <c r="J18" s="264"/>
      <c r="K18" s="264"/>
      <c r="L18" t="str">
        <f t="shared" si="0"/>
        <v>3rd Grip</v>
      </c>
      <c r="P18" t="str">
        <f t="shared" si="1"/>
        <v>18 3rd Grip</v>
      </c>
    </row>
    <row r="19" spans="1:16" x14ac:dyDescent="0.2">
      <c r="A19" s="1013">
        <v>19</v>
      </c>
      <c r="B19" s="1014"/>
      <c r="C19" s="264" t="s">
        <v>337</v>
      </c>
      <c r="D19" s="264"/>
      <c r="E19" s="264"/>
      <c r="F19" s="264"/>
      <c r="G19" s="264"/>
      <c r="H19" s="264"/>
      <c r="I19" s="264"/>
      <c r="J19" s="264"/>
      <c r="K19" s="264"/>
      <c r="L19" t="str">
        <f t="shared" si="0"/>
        <v>Grip/Driver</v>
      </c>
      <c r="P19" t="str">
        <f t="shared" si="1"/>
        <v>19 Grip/Driver</v>
      </c>
    </row>
    <row r="20" spans="1:16" x14ac:dyDescent="0.2">
      <c r="A20" s="1013">
        <v>20</v>
      </c>
      <c r="B20" s="1014"/>
      <c r="C20" s="264" t="s">
        <v>338</v>
      </c>
      <c r="D20" s="264"/>
      <c r="E20" s="264"/>
      <c r="F20" s="264"/>
      <c r="G20" s="264"/>
      <c r="H20" s="264"/>
      <c r="I20" s="264"/>
      <c r="J20" s="264"/>
      <c r="K20" s="264"/>
      <c r="L20" t="str">
        <f t="shared" si="0"/>
        <v>Crane Tech 2x</v>
      </c>
      <c r="P20" t="str">
        <f t="shared" si="1"/>
        <v>20 Crane Tech 2x</v>
      </c>
    </row>
    <row r="21" spans="1:16" x14ac:dyDescent="0.2">
      <c r="A21" s="1013">
        <v>21</v>
      </c>
      <c r="B21" s="1014"/>
      <c r="C21" s="264" t="s">
        <v>339</v>
      </c>
      <c r="D21" s="264"/>
      <c r="E21" s="264"/>
      <c r="F21" s="264"/>
      <c r="G21" s="264"/>
      <c r="H21" s="264"/>
      <c r="I21" s="264"/>
      <c r="J21" s="264"/>
      <c r="K21" s="264"/>
      <c r="L21" t="str">
        <f t="shared" si="0"/>
        <v>Crane Head Tech</v>
      </c>
      <c r="P21" t="str">
        <f t="shared" si="1"/>
        <v>21 Crane Head Tech</v>
      </c>
    </row>
    <row r="22" spans="1:16" x14ac:dyDescent="0.2">
      <c r="A22" s="1013">
        <v>22</v>
      </c>
      <c r="B22" s="1014"/>
      <c r="C22" s="264" t="s">
        <v>340</v>
      </c>
      <c r="D22" s="264"/>
      <c r="E22" s="264"/>
      <c r="F22" s="264"/>
      <c r="G22" s="264"/>
      <c r="H22" s="264"/>
      <c r="I22" s="264"/>
      <c r="J22" s="264"/>
      <c r="K22" s="264"/>
      <c r="L22" t="str">
        <f t="shared" si="0"/>
        <v>Steadi Cam Op</v>
      </c>
      <c r="P22" t="str">
        <f t="shared" si="1"/>
        <v>22 Steadi Cam Op</v>
      </c>
    </row>
    <row r="23" spans="1:16" x14ac:dyDescent="0.2">
      <c r="A23" s="1013">
        <v>23</v>
      </c>
      <c r="B23" s="1014"/>
      <c r="C23" s="264" t="s">
        <v>341</v>
      </c>
      <c r="D23" s="264"/>
      <c r="E23" s="264"/>
      <c r="F23" s="264"/>
      <c r="G23" s="264"/>
      <c r="H23" s="264"/>
      <c r="I23" s="264"/>
      <c r="J23" s="264"/>
      <c r="K23" s="264"/>
      <c r="L23" t="str">
        <f t="shared" si="0"/>
        <v>Choreographer</v>
      </c>
      <c r="P23" t="str">
        <f t="shared" si="1"/>
        <v>23 Choreographer</v>
      </c>
    </row>
    <row r="24" spans="1:16" x14ac:dyDescent="0.2">
      <c r="A24" s="1013">
        <v>24</v>
      </c>
      <c r="B24" s="1014"/>
      <c r="C24" s="264" t="s">
        <v>342</v>
      </c>
      <c r="D24" s="264"/>
      <c r="E24" s="264"/>
      <c r="F24" s="264"/>
      <c r="G24" s="264"/>
      <c r="H24" s="264"/>
      <c r="I24" s="264"/>
      <c r="J24" s="264"/>
      <c r="K24" s="264"/>
      <c r="L24" t="str">
        <f t="shared" si="0"/>
        <v>Make-Up/Hair</v>
      </c>
      <c r="P24" t="str">
        <f t="shared" si="1"/>
        <v>24 Make-Up/Hair</v>
      </c>
    </row>
    <row r="25" spans="1:16" x14ac:dyDescent="0.2">
      <c r="A25" s="1013">
        <v>25</v>
      </c>
      <c r="B25" s="1014"/>
      <c r="C25" s="264" t="s">
        <v>343</v>
      </c>
      <c r="D25" s="264"/>
      <c r="E25" s="264"/>
      <c r="F25" s="264"/>
      <c r="G25" s="264"/>
      <c r="H25" s="264"/>
      <c r="I25" s="264"/>
      <c r="J25" s="264"/>
      <c r="K25" s="264"/>
      <c r="L25" t="str">
        <f t="shared" si="0"/>
        <v>Make-Up/Hair Asst</v>
      </c>
      <c r="P25" t="str">
        <f t="shared" si="1"/>
        <v>25 Make-Up/Hair Asst</v>
      </c>
    </row>
    <row r="26" spans="1:16" x14ac:dyDescent="0.2">
      <c r="A26" s="1013">
        <v>26</v>
      </c>
      <c r="B26" s="1014"/>
      <c r="C26" s="265" t="s">
        <v>373</v>
      </c>
      <c r="D26" s="265"/>
      <c r="E26" s="265"/>
      <c r="F26" s="265"/>
      <c r="G26" s="265"/>
      <c r="H26" s="265"/>
      <c r="I26" s="265"/>
      <c r="J26" s="265"/>
      <c r="K26" s="265"/>
      <c r="L26" t="str">
        <f t="shared" si="0"/>
        <v>Wardrobe Stylist</v>
      </c>
      <c r="P26" t="str">
        <f t="shared" si="1"/>
        <v>26 Wardrobe Stylist</v>
      </c>
    </row>
    <row r="27" spans="1:16" x14ac:dyDescent="0.2">
      <c r="A27" s="1013">
        <v>27</v>
      </c>
      <c r="B27" s="1014"/>
      <c r="C27" s="264" t="s">
        <v>344</v>
      </c>
      <c r="D27" s="264"/>
      <c r="E27" s="264"/>
      <c r="F27" s="264"/>
      <c r="G27" s="264"/>
      <c r="H27" s="264"/>
      <c r="I27" s="264"/>
      <c r="J27" s="264"/>
      <c r="K27" s="264"/>
      <c r="L27" t="str">
        <f t="shared" si="0"/>
        <v xml:space="preserve">Asst Wardrobe </v>
      </c>
      <c r="P27" t="str">
        <f t="shared" si="1"/>
        <v xml:space="preserve">27 Asst Wardrobe </v>
      </c>
    </row>
    <row r="28" spans="1:16" x14ac:dyDescent="0.2">
      <c r="A28" s="1013">
        <v>28</v>
      </c>
      <c r="B28" s="1014"/>
      <c r="C28" s="264" t="s">
        <v>6</v>
      </c>
      <c r="D28" s="264"/>
      <c r="E28" s="264"/>
      <c r="F28" s="264"/>
      <c r="G28" s="264"/>
      <c r="H28" s="264"/>
      <c r="I28" s="264"/>
      <c r="J28" s="264"/>
      <c r="K28" s="264"/>
      <c r="L28" t="str">
        <f t="shared" si="0"/>
        <v>Script Supervisor</v>
      </c>
      <c r="P28" t="str">
        <f t="shared" si="1"/>
        <v>28 Script Supervisor</v>
      </c>
    </row>
    <row r="29" spans="1:16" x14ac:dyDescent="0.2">
      <c r="A29" s="1013">
        <v>29</v>
      </c>
      <c r="B29" s="1014"/>
      <c r="C29" s="264" t="s">
        <v>422</v>
      </c>
      <c r="D29" s="264"/>
      <c r="E29" s="264"/>
      <c r="F29" s="264"/>
      <c r="G29" s="264"/>
      <c r="H29" s="264"/>
      <c r="I29" s="264"/>
      <c r="J29" s="264"/>
      <c r="K29" s="264"/>
      <c r="L29" t="str">
        <f t="shared" si="0"/>
        <v>Boom Operator</v>
      </c>
      <c r="P29" t="str">
        <f t="shared" si="1"/>
        <v>29 Boom Operator</v>
      </c>
    </row>
    <row r="30" spans="1:16" x14ac:dyDescent="0.2">
      <c r="A30" s="1013">
        <v>30</v>
      </c>
      <c r="B30" s="1014"/>
      <c r="C30" s="264" t="s">
        <v>413</v>
      </c>
      <c r="D30" s="264"/>
      <c r="E30" s="264"/>
      <c r="F30" s="264"/>
      <c r="G30" s="264"/>
      <c r="H30" s="264"/>
      <c r="I30" s="264"/>
      <c r="J30" s="264"/>
      <c r="K30" s="264"/>
      <c r="L30" t="str">
        <f t="shared" si="0"/>
        <v>Sound Mixer</v>
      </c>
      <c r="P30" t="str">
        <f t="shared" si="1"/>
        <v>30 Sound Mixer</v>
      </c>
    </row>
    <row r="31" spans="1:16" x14ac:dyDescent="0.2">
      <c r="A31" s="1013">
        <v>31</v>
      </c>
      <c r="B31" s="1014"/>
      <c r="C31" s="264" t="s">
        <v>345</v>
      </c>
      <c r="D31" s="264"/>
      <c r="E31" s="264"/>
      <c r="F31" s="264"/>
      <c r="G31" s="264"/>
      <c r="H31" s="264"/>
      <c r="I31" s="264"/>
      <c r="J31" s="264"/>
      <c r="K31" s="264"/>
      <c r="L31" t="str">
        <f t="shared" si="0"/>
        <v>VTR Operator</v>
      </c>
      <c r="P31" t="str">
        <f t="shared" si="1"/>
        <v>31 VTR Operator</v>
      </c>
    </row>
    <row r="32" spans="1:16" x14ac:dyDescent="0.2">
      <c r="A32" s="1013">
        <v>32</v>
      </c>
      <c r="B32" s="1014"/>
      <c r="C32" s="264" t="s">
        <v>346</v>
      </c>
      <c r="D32" s="264"/>
      <c r="E32" s="264"/>
      <c r="F32" s="264"/>
      <c r="G32" s="264"/>
      <c r="H32" s="264"/>
      <c r="I32" s="264"/>
      <c r="J32" s="264"/>
      <c r="K32" s="264"/>
      <c r="L32" t="str">
        <f t="shared" si="0"/>
        <v>Stunt Coordinator</v>
      </c>
      <c r="P32" t="str">
        <f t="shared" si="1"/>
        <v>32 Stunt Coordinator</v>
      </c>
    </row>
    <row r="33" spans="1:16" x14ac:dyDescent="0.2">
      <c r="A33" s="1013">
        <v>33</v>
      </c>
      <c r="B33" s="1014"/>
      <c r="C33" s="264" t="s">
        <v>347</v>
      </c>
      <c r="D33" s="264"/>
      <c r="E33" s="264"/>
      <c r="F33" s="264"/>
      <c r="G33" s="264"/>
      <c r="H33" s="264"/>
      <c r="I33" s="264"/>
      <c r="J33" s="264"/>
      <c r="K33" s="264"/>
      <c r="L33" t="str">
        <f t="shared" si="0"/>
        <v>Safety Officer</v>
      </c>
      <c r="P33" t="str">
        <f t="shared" si="1"/>
        <v>33 Safety Officer</v>
      </c>
    </row>
    <row r="34" spans="1:16" x14ac:dyDescent="0.2">
      <c r="A34" s="1013">
        <v>34</v>
      </c>
      <c r="B34" s="1014"/>
      <c r="C34" s="264" t="s">
        <v>348</v>
      </c>
      <c r="D34" s="264"/>
      <c r="E34" s="264"/>
      <c r="F34" s="264"/>
      <c r="G34" s="264"/>
      <c r="H34" s="264"/>
      <c r="I34" s="264"/>
      <c r="J34" s="264"/>
      <c r="K34" s="264"/>
      <c r="L34" t="str">
        <f t="shared" si="0"/>
        <v>Site Rep</v>
      </c>
      <c r="P34" t="str">
        <f t="shared" si="1"/>
        <v>34 Site Rep</v>
      </c>
    </row>
    <row r="35" spans="1:16" x14ac:dyDescent="0.2">
      <c r="A35" s="1013">
        <v>35</v>
      </c>
      <c r="B35" s="1014"/>
      <c r="C35" s="264" t="s">
        <v>349</v>
      </c>
      <c r="D35" s="264"/>
      <c r="E35" s="264"/>
      <c r="F35" s="264"/>
      <c r="G35" s="264"/>
      <c r="H35" s="264"/>
      <c r="I35" s="264"/>
      <c r="J35" s="264"/>
      <c r="K35" s="264"/>
      <c r="L35" t="str">
        <f t="shared" si="0"/>
        <v>Storyboard Artist</v>
      </c>
      <c r="P35" t="str">
        <f t="shared" si="1"/>
        <v>35 Storyboard Artist</v>
      </c>
    </row>
    <row r="36" spans="1:16" x14ac:dyDescent="0.2">
      <c r="A36" s="1013">
        <v>36</v>
      </c>
      <c r="B36" s="1014"/>
      <c r="C36" s="264" t="s">
        <v>7</v>
      </c>
      <c r="D36" s="264"/>
      <c r="E36" s="264"/>
      <c r="F36" s="264"/>
      <c r="G36" s="264"/>
      <c r="H36" s="264"/>
      <c r="I36" s="264"/>
      <c r="J36" s="264"/>
      <c r="K36" s="264"/>
      <c r="L36" t="str">
        <f t="shared" si="0"/>
        <v>Catering Crew</v>
      </c>
      <c r="P36" t="str">
        <f t="shared" si="1"/>
        <v>36 Catering Crew</v>
      </c>
    </row>
    <row r="37" spans="1:16" x14ac:dyDescent="0.2">
      <c r="A37" s="1013">
        <v>37</v>
      </c>
      <c r="B37" s="1014"/>
      <c r="C37" s="264" t="s">
        <v>350</v>
      </c>
      <c r="D37" s="264"/>
      <c r="E37" s="264"/>
      <c r="F37" s="264"/>
      <c r="G37" s="264"/>
      <c r="H37" s="264"/>
      <c r="I37" s="264"/>
      <c r="J37" s="264"/>
      <c r="K37" s="264"/>
      <c r="L37" t="str">
        <f t="shared" si="0"/>
        <v>Location Scout</v>
      </c>
      <c r="P37" t="str">
        <f t="shared" si="1"/>
        <v>37 Location Scout</v>
      </c>
    </row>
    <row r="38" spans="1:16" x14ac:dyDescent="0.2">
      <c r="A38" s="1013">
        <v>38</v>
      </c>
      <c r="B38" s="1014"/>
      <c r="C38" s="264" t="s">
        <v>8</v>
      </c>
      <c r="D38" s="264"/>
      <c r="E38" s="264"/>
      <c r="F38" s="264"/>
      <c r="G38" s="264"/>
      <c r="H38" s="264"/>
      <c r="I38" s="264"/>
      <c r="J38" s="264"/>
      <c r="K38" s="264"/>
      <c r="L38" t="str">
        <f t="shared" si="0"/>
        <v>Asst Locations</v>
      </c>
      <c r="P38" t="str">
        <f t="shared" si="1"/>
        <v>38 Asst Locations</v>
      </c>
    </row>
    <row r="39" spans="1:16" x14ac:dyDescent="0.2">
      <c r="A39" s="1013">
        <v>39</v>
      </c>
      <c r="B39" s="1014"/>
      <c r="C39" s="264" t="s">
        <v>9</v>
      </c>
      <c r="D39" s="264"/>
      <c r="E39" s="264"/>
      <c r="F39" s="264"/>
      <c r="G39" s="264"/>
      <c r="H39" s="264"/>
      <c r="I39" s="264"/>
      <c r="J39" s="264"/>
      <c r="K39" s="264"/>
      <c r="L39" t="str">
        <f t="shared" si="0"/>
        <v>2nd AD</v>
      </c>
      <c r="P39" t="str">
        <f t="shared" si="1"/>
        <v>39 2nd AD</v>
      </c>
    </row>
    <row r="40" spans="1:16" x14ac:dyDescent="0.2">
      <c r="A40" s="1013">
        <v>40</v>
      </c>
      <c r="B40" s="1014"/>
      <c r="C40" s="264" t="s">
        <v>10</v>
      </c>
      <c r="D40" s="264"/>
      <c r="E40" s="264"/>
      <c r="F40" s="264"/>
      <c r="G40" s="264"/>
      <c r="H40" s="264"/>
      <c r="I40" s="264"/>
      <c r="J40" s="264"/>
      <c r="K40" s="264"/>
      <c r="L40" t="str">
        <f t="shared" si="0"/>
        <v>Medic</v>
      </c>
      <c r="P40" t="str">
        <f t="shared" si="1"/>
        <v>40 Medic</v>
      </c>
    </row>
    <row r="41" spans="1:16" x14ac:dyDescent="0.2">
      <c r="A41" s="1013">
        <v>41</v>
      </c>
      <c r="B41" s="1014"/>
      <c r="C41" s="264" t="s">
        <v>11</v>
      </c>
      <c r="D41" s="264"/>
      <c r="E41" s="264"/>
      <c r="F41" s="264"/>
      <c r="G41" s="264"/>
      <c r="H41" s="264"/>
      <c r="I41" s="264"/>
      <c r="J41" s="264"/>
      <c r="K41" s="264"/>
      <c r="L41" t="str">
        <f t="shared" si="0"/>
        <v>Craft Service</v>
      </c>
      <c r="P41" t="str">
        <f t="shared" si="1"/>
        <v>41 Craft Service</v>
      </c>
    </row>
    <row r="42" spans="1:16" x14ac:dyDescent="0.2">
      <c r="A42" s="1013">
        <v>42</v>
      </c>
      <c r="B42" s="1014"/>
      <c r="C42" s="264" t="s">
        <v>423</v>
      </c>
      <c r="D42" s="264"/>
      <c r="E42" s="264"/>
      <c r="F42" s="264"/>
      <c r="G42" s="264"/>
      <c r="H42" s="264"/>
      <c r="I42" s="264"/>
      <c r="J42" s="264"/>
      <c r="K42" s="264"/>
      <c r="L42" t="str">
        <f t="shared" si="0"/>
        <v>Firefighter</v>
      </c>
      <c r="P42" t="str">
        <f t="shared" si="1"/>
        <v>42 Firefighter</v>
      </c>
    </row>
    <row r="43" spans="1:16" x14ac:dyDescent="0.2">
      <c r="A43" s="1013">
        <v>43</v>
      </c>
      <c r="B43" s="1014"/>
      <c r="C43" s="264" t="s">
        <v>424</v>
      </c>
      <c r="D43" s="264"/>
      <c r="E43" s="264"/>
      <c r="F43" s="264"/>
      <c r="G43" s="264"/>
      <c r="H43" s="264"/>
      <c r="I43" s="264"/>
      <c r="J43" s="264"/>
      <c r="K43" s="264"/>
      <c r="L43" t="str">
        <f t="shared" si="0"/>
        <v>Police Officers/Ranger/CHP</v>
      </c>
      <c r="P43" t="str">
        <f t="shared" si="1"/>
        <v>43 Police Officers/Ranger/CHP</v>
      </c>
    </row>
    <row r="44" spans="1:16" x14ac:dyDescent="0.2">
      <c r="A44" s="1013">
        <v>44</v>
      </c>
      <c r="B44" s="1014"/>
      <c r="C44" s="264" t="s">
        <v>351</v>
      </c>
      <c r="D44" s="264"/>
      <c r="E44" s="264"/>
      <c r="F44" s="264"/>
      <c r="G44" s="264"/>
      <c r="H44" s="264"/>
      <c r="I44" s="264"/>
      <c r="J44" s="264"/>
      <c r="K44" s="264"/>
      <c r="L44" t="str">
        <f t="shared" si="0"/>
        <v>Welfare/Teacher</v>
      </c>
      <c r="P44" t="str">
        <f t="shared" si="1"/>
        <v>44 Welfare/Teacher</v>
      </c>
    </row>
    <row r="45" spans="1:16" x14ac:dyDescent="0.2">
      <c r="A45" s="1013">
        <v>45</v>
      </c>
      <c r="B45" s="1014"/>
      <c r="C45" s="264" t="s">
        <v>12</v>
      </c>
      <c r="D45" s="264"/>
      <c r="E45" s="264"/>
      <c r="F45" s="264"/>
      <c r="G45" s="264"/>
      <c r="H45" s="264"/>
      <c r="I45" s="264"/>
      <c r="J45" s="264"/>
      <c r="K45" s="264"/>
      <c r="L45" t="str">
        <f t="shared" si="0"/>
        <v>Gang Boss</v>
      </c>
      <c r="P45" t="str">
        <f t="shared" si="1"/>
        <v>45 Gang Boss</v>
      </c>
    </row>
    <row r="46" spans="1:16" x14ac:dyDescent="0.2">
      <c r="A46" s="1013">
        <v>46</v>
      </c>
      <c r="B46" s="1014"/>
      <c r="C46" s="264" t="s">
        <v>425</v>
      </c>
      <c r="D46" s="264"/>
      <c r="E46" s="264"/>
      <c r="F46" s="264"/>
      <c r="G46" s="264"/>
      <c r="H46" s="264"/>
      <c r="I46" s="264"/>
      <c r="J46" s="264"/>
      <c r="K46" s="264"/>
      <c r="L46" t="str">
        <f t="shared" si="0"/>
        <v>Teamster Drivers / Animal Wranglers</v>
      </c>
      <c r="P46" t="str">
        <f t="shared" si="1"/>
        <v>46 Teamster Drivers / Animal Wranglers</v>
      </c>
    </row>
    <row r="47" spans="1:16" x14ac:dyDescent="0.2">
      <c r="A47" s="1013">
        <v>47</v>
      </c>
      <c r="B47" s="1014"/>
      <c r="C47" s="265" t="s">
        <v>374</v>
      </c>
      <c r="D47" s="265"/>
      <c r="E47" s="265"/>
      <c r="F47" s="265"/>
      <c r="G47" s="265"/>
      <c r="H47" s="265"/>
      <c r="I47" s="265"/>
      <c r="J47" s="265"/>
      <c r="K47" s="265"/>
      <c r="L47" t="str">
        <f t="shared" si="0"/>
        <v>Production Supervisor</v>
      </c>
      <c r="P47" t="str">
        <f t="shared" si="1"/>
        <v>47 Production Supervisor</v>
      </c>
    </row>
    <row r="48" spans="1:16" x14ac:dyDescent="0.2">
      <c r="A48" s="1013">
        <v>48</v>
      </c>
      <c r="B48" s="1014"/>
      <c r="C48" s="264" t="s">
        <v>13</v>
      </c>
      <c r="D48" s="264"/>
      <c r="E48" s="264"/>
      <c r="F48" s="264"/>
      <c r="G48" s="264"/>
      <c r="H48" s="264"/>
      <c r="I48" s="264"/>
      <c r="J48" s="264"/>
      <c r="K48" s="264"/>
      <c r="L48" t="str">
        <f t="shared" si="0"/>
        <v>Production Coordinator</v>
      </c>
      <c r="P48" t="str">
        <f t="shared" si="1"/>
        <v>48 Production Coordinator</v>
      </c>
    </row>
    <row r="49" spans="1:16" x14ac:dyDescent="0.2">
      <c r="A49" s="1013">
        <v>49</v>
      </c>
      <c r="B49" s="1014"/>
      <c r="C49" s="264" t="s">
        <v>352</v>
      </c>
      <c r="D49" s="264"/>
      <c r="E49" s="264"/>
      <c r="F49" s="264"/>
      <c r="G49" s="264"/>
      <c r="H49" s="264"/>
      <c r="I49" s="264"/>
      <c r="J49" s="264"/>
      <c r="K49" s="264"/>
      <c r="L49" t="str">
        <f t="shared" si="0"/>
        <v>Production Assistant</v>
      </c>
      <c r="P49" t="str">
        <f t="shared" si="1"/>
        <v>49 Production Assistant</v>
      </c>
    </row>
    <row r="50" spans="1:16" x14ac:dyDescent="0.2">
      <c r="A50" s="1015">
        <v>101</v>
      </c>
      <c r="B50" s="1016"/>
      <c r="C50" s="264" t="s">
        <v>11</v>
      </c>
      <c r="D50" s="264"/>
      <c r="E50" s="264"/>
      <c r="F50" s="264"/>
      <c r="G50" s="264"/>
      <c r="H50" s="264"/>
      <c r="I50" s="264"/>
      <c r="J50" s="264"/>
      <c r="K50" s="264"/>
      <c r="L50" t="str">
        <f>C50</f>
        <v>Craft Service</v>
      </c>
      <c r="P50" t="str">
        <f t="shared" si="1"/>
        <v>101 Craft Service</v>
      </c>
    </row>
    <row r="51" spans="1:16" x14ac:dyDescent="0.2">
      <c r="A51" s="1015">
        <v>102</v>
      </c>
      <c r="B51" s="1016"/>
      <c r="C51" s="264" t="s">
        <v>15</v>
      </c>
      <c r="D51" s="264"/>
      <c r="E51" s="264"/>
      <c r="F51" s="264"/>
      <c r="G51" s="264"/>
      <c r="H51" s="264"/>
      <c r="I51" s="264"/>
      <c r="J51" s="264"/>
      <c r="K51" s="264"/>
      <c r="L51" t="str">
        <f t="shared" ref="L51:L114" si="2">C51</f>
        <v>Per Diems</v>
      </c>
      <c r="P51" t="str">
        <f t="shared" si="1"/>
        <v>102 Per Diems</v>
      </c>
    </row>
    <row r="52" spans="1:16" x14ac:dyDescent="0.2">
      <c r="A52" s="1015">
        <v>103</v>
      </c>
      <c r="B52" s="1016"/>
      <c r="C52" s="264" t="s">
        <v>112</v>
      </c>
      <c r="D52" s="264"/>
      <c r="E52" s="264"/>
      <c r="F52" s="264"/>
      <c r="G52" s="264"/>
      <c r="H52" s="264"/>
      <c r="I52" s="264"/>
      <c r="J52" s="264"/>
      <c r="K52" s="264"/>
      <c r="L52" t="str">
        <f t="shared" si="2"/>
        <v>Hotels</v>
      </c>
      <c r="P52" t="str">
        <f t="shared" si="1"/>
        <v>103 Hotels</v>
      </c>
    </row>
    <row r="53" spans="1:16" x14ac:dyDescent="0.2">
      <c r="A53" s="1015">
        <v>104</v>
      </c>
      <c r="B53" s="1016"/>
      <c r="C53" s="264" t="s">
        <v>16</v>
      </c>
      <c r="D53" s="264"/>
      <c r="E53" s="264"/>
      <c r="F53" s="264"/>
      <c r="G53" s="264"/>
      <c r="H53" s="264"/>
      <c r="I53" s="264"/>
      <c r="J53" s="264"/>
      <c r="K53" s="264"/>
      <c r="L53" t="str">
        <f t="shared" si="2"/>
        <v>Scouting Expenses</v>
      </c>
      <c r="P53" t="str">
        <f t="shared" si="1"/>
        <v>104 Scouting Expenses</v>
      </c>
    </row>
    <row r="54" spans="1:16" x14ac:dyDescent="0.2">
      <c r="A54" s="1015">
        <v>105</v>
      </c>
      <c r="B54" s="1016"/>
      <c r="C54" s="264" t="s">
        <v>99</v>
      </c>
      <c r="D54" s="264"/>
      <c r="E54" s="264"/>
      <c r="F54" s="264"/>
      <c r="G54" s="264"/>
      <c r="H54" s="264"/>
      <c r="I54" s="264"/>
      <c r="J54" s="264"/>
      <c r="K54" s="264"/>
      <c r="L54" t="str">
        <f t="shared" si="2"/>
        <v>Deliveries &amp; Taxi</v>
      </c>
      <c r="P54" t="str">
        <f t="shared" si="1"/>
        <v>105 Deliveries &amp; Taxi</v>
      </c>
    </row>
    <row r="55" spans="1:16" x14ac:dyDescent="0.2">
      <c r="A55" s="1015">
        <v>106</v>
      </c>
      <c r="B55" s="1016"/>
      <c r="C55" s="264" t="s">
        <v>98</v>
      </c>
      <c r="D55" s="264"/>
      <c r="E55" s="264"/>
      <c r="F55" s="264"/>
      <c r="G55" s="264"/>
      <c r="H55" s="264"/>
      <c r="I55" s="264"/>
      <c r="J55" s="264"/>
      <c r="K55" s="264"/>
      <c r="L55" t="str">
        <f t="shared" si="2"/>
        <v>Car Rental</v>
      </c>
      <c r="P55" t="str">
        <f t="shared" si="1"/>
        <v>106 Car Rental</v>
      </c>
    </row>
    <row r="56" spans="1:16" x14ac:dyDescent="0.2">
      <c r="A56" s="1015">
        <v>107</v>
      </c>
      <c r="B56" s="1016"/>
      <c r="C56" s="264" t="s">
        <v>18</v>
      </c>
      <c r="D56" s="264"/>
      <c r="E56" s="264"/>
      <c r="F56" s="264"/>
      <c r="G56" s="264"/>
      <c r="H56" s="264"/>
      <c r="I56" s="264"/>
      <c r="J56" s="264"/>
      <c r="K56" s="264"/>
      <c r="L56" t="str">
        <f t="shared" si="2"/>
        <v>Trucking</v>
      </c>
      <c r="P56" t="str">
        <f t="shared" si="1"/>
        <v>107 Trucking</v>
      </c>
    </row>
    <row r="57" spans="1:16" x14ac:dyDescent="0.2">
      <c r="A57" s="1015">
        <v>108</v>
      </c>
      <c r="B57" s="1016"/>
      <c r="C57" s="264" t="s">
        <v>20</v>
      </c>
      <c r="D57" s="264"/>
      <c r="J57" s="264"/>
      <c r="K57" s="264"/>
      <c r="L57" t="str">
        <f t="shared" si="2"/>
        <v>Casting Director</v>
      </c>
      <c r="P57" t="str">
        <f t="shared" si="1"/>
        <v>108 Casting Director</v>
      </c>
    </row>
    <row r="58" spans="1:16" x14ac:dyDescent="0.2">
      <c r="A58" s="1015">
        <v>109</v>
      </c>
      <c r="B58" s="1016"/>
      <c r="C58" s="264" t="s">
        <v>21</v>
      </c>
      <c r="D58" s="264"/>
      <c r="J58" s="264"/>
      <c r="K58" s="264"/>
      <c r="L58" t="str">
        <f t="shared" si="2"/>
        <v>Casting Facility</v>
      </c>
      <c r="P58" t="str">
        <f t="shared" si="1"/>
        <v>109 Casting Facility</v>
      </c>
    </row>
    <row r="59" spans="1:16" x14ac:dyDescent="0.2">
      <c r="A59" s="1015">
        <v>110</v>
      </c>
      <c r="B59" s="1016"/>
      <c r="C59" s="264" t="s">
        <v>100</v>
      </c>
      <c r="D59" s="264"/>
      <c r="E59" s="264"/>
      <c r="F59" s="264"/>
      <c r="G59" s="264"/>
      <c r="H59" s="264"/>
      <c r="I59" s="264"/>
      <c r="J59" s="264"/>
      <c r="K59" s="264"/>
      <c r="L59" t="str">
        <f t="shared" si="2"/>
        <v>Home Econ Supplies</v>
      </c>
      <c r="P59" t="str">
        <f t="shared" si="1"/>
        <v>110 Home Econ Supplies</v>
      </c>
    </row>
    <row r="60" spans="1:16" x14ac:dyDescent="0.2">
      <c r="A60" s="1015">
        <v>111</v>
      </c>
      <c r="B60" s="1016"/>
      <c r="C60" s="264" t="s">
        <v>19</v>
      </c>
      <c r="D60" s="264"/>
      <c r="E60" s="264"/>
      <c r="F60" s="264"/>
      <c r="G60" s="264"/>
      <c r="H60" s="264"/>
      <c r="I60" s="264"/>
      <c r="J60" s="264"/>
      <c r="K60" s="264"/>
      <c r="L60" t="str">
        <f t="shared" si="2"/>
        <v>Telephone &amp; Cable</v>
      </c>
      <c r="P60" t="str">
        <f t="shared" si="1"/>
        <v>111 Telephone &amp; Cable</v>
      </c>
    </row>
    <row r="61" spans="1:16" x14ac:dyDescent="0.2">
      <c r="A61" s="1015">
        <v>112</v>
      </c>
      <c r="B61" s="1016"/>
      <c r="C61" s="264" t="s">
        <v>22</v>
      </c>
      <c r="D61" s="264"/>
      <c r="E61" s="264"/>
      <c r="F61" s="264"/>
      <c r="G61" s="264"/>
      <c r="H61" s="264"/>
      <c r="I61" s="264"/>
      <c r="J61" s="264"/>
      <c r="K61" s="264"/>
      <c r="L61" t="str">
        <f t="shared" si="2"/>
        <v>Working Meals</v>
      </c>
      <c r="P61" t="str">
        <f t="shared" si="1"/>
        <v>112 Working Meals</v>
      </c>
    </row>
    <row r="62" spans="1:16" x14ac:dyDescent="0.2">
      <c r="A62" s="1015">
        <v>113</v>
      </c>
      <c r="B62" s="1016"/>
      <c r="C62" s="264" t="s">
        <v>17</v>
      </c>
      <c r="D62" s="264"/>
      <c r="E62" s="264"/>
      <c r="F62" s="264"/>
      <c r="G62" s="264"/>
      <c r="H62" s="264"/>
      <c r="I62" s="264"/>
      <c r="J62" s="264"/>
      <c r="K62" s="264"/>
      <c r="L62" t="str">
        <f t="shared" si="2"/>
        <v>Messengers</v>
      </c>
      <c r="P62" t="str">
        <f t="shared" si="1"/>
        <v>113 Messengers</v>
      </c>
    </row>
    <row r="63" spans="1:16" x14ac:dyDescent="0.2">
      <c r="A63" s="1015">
        <v>114</v>
      </c>
      <c r="B63" s="1016"/>
      <c r="C63" s="264" t="s">
        <v>23</v>
      </c>
      <c r="D63" s="264"/>
      <c r="E63" s="264"/>
      <c r="F63" s="264"/>
      <c r="G63" s="264"/>
      <c r="H63" s="264"/>
      <c r="I63" s="264"/>
      <c r="J63" s="264"/>
      <c r="K63" s="264"/>
      <c r="L63" t="str">
        <f t="shared" si="2"/>
        <v>Location Fees</v>
      </c>
      <c r="P63" t="str">
        <f t="shared" si="1"/>
        <v>114 Location Fees</v>
      </c>
    </row>
    <row r="64" spans="1:16" x14ac:dyDescent="0.2">
      <c r="A64" s="1015">
        <v>115</v>
      </c>
      <c r="B64" s="1016"/>
      <c r="C64" s="264" t="s">
        <v>24</v>
      </c>
      <c r="D64" s="264"/>
      <c r="E64" s="264"/>
      <c r="F64" s="264"/>
      <c r="G64" s="264"/>
      <c r="H64" s="264"/>
      <c r="I64" s="264"/>
      <c r="J64" s="264"/>
      <c r="K64" s="264"/>
      <c r="L64" t="str">
        <f t="shared" si="2"/>
        <v>Permits</v>
      </c>
      <c r="P64" t="str">
        <f t="shared" si="1"/>
        <v>115 Permits</v>
      </c>
    </row>
    <row r="65" spans="1:16" x14ac:dyDescent="0.2">
      <c r="A65" s="1015">
        <v>116</v>
      </c>
      <c r="B65" s="1016"/>
      <c r="C65" s="264" t="s">
        <v>114</v>
      </c>
      <c r="D65" s="264"/>
      <c r="E65" s="264"/>
      <c r="F65" s="264"/>
      <c r="G65" s="264"/>
      <c r="H65" s="264"/>
      <c r="I65" s="264"/>
      <c r="J65" s="264"/>
      <c r="K65" s="264"/>
      <c r="L65" t="str">
        <f t="shared" si="2"/>
        <v>Lane Closures</v>
      </c>
      <c r="P65" t="str">
        <f t="shared" si="1"/>
        <v>116 Lane Closures</v>
      </c>
    </row>
    <row r="66" spans="1:16" x14ac:dyDescent="0.2">
      <c r="A66" s="1015">
        <v>117</v>
      </c>
      <c r="B66" s="1016"/>
      <c r="C66" s="264" t="s">
        <v>34</v>
      </c>
      <c r="D66" s="264"/>
      <c r="E66" s="264"/>
      <c r="F66" s="264"/>
      <c r="G66" s="264"/>
      <c r="H66" s="264"/>
      <c r="I66" s="264"/>
      <c r="J66" s="264"/>
      <c r="K66" s="264"/>
      <c r="L66" t="str">
        <f t="shared" si="2"/>
        <v>Set Security</v>
      </c>
      <c r="P66" t="str">
        <f t="shared" ref="P66:P129" si="3">A66&amp;" "&amp;C66</f>
        <v>117 Set Security</v>
      </c>
    </row>
    <row r="67" spans="1:16" x14ac:dyDescent="0.2">
      <c r="A67" s="1015">
        <v>118</v>
      </c>
      <c r="B67" s="1016"/>
      <c r="C67" s="264" t="s">
        <v>25</v>
      </c>
      <c r="D67" s="264"/>
      <c r="E67" s="264"/>
      <c r="F67" s="264"/>
      <c r="G67" s="264"/>
      <c r="H67" s="264"/>
      <c r="I67" s="264"/>
      <c r="J67" s="264"/>
      <c r="K67" s="264"/>
      <c r="L67" t="str">
        <f t="shared" si="2"/>
        <v>Cargo Van</v>
      </c>
      <c r="P67" t="str">
        <f t="shared" si="3"/>
        <v>118 Cargo Van</v>
      </c>
    </row>
    <row r="68" spans="1:16" x14ac:dyDescent="0.2">
      <c r="A68" s="1015">
        <v>119</v>
      </c>
      <c r="B68" s="1016"/>
      <c r="C68" s="264" t="s">
        <v>27</v>
      </c>
      <c r="D68" s="264"/>
      <c r="E68" s="264"/>
      <c r="F68" s="264"/>
      <c r="G68" s="264"/>
      <c r="H68" s="264"/>
      <c r="I68" s="264"/>
      <c r="J68" s="264"/>
      <c r="K68" s="264"/>
      <c r="L68" t="str">
        <f t="shared" si="2"/>
        <v>Production Trucking</v>
      </c>
      <c r="P68" t="str">
        <f t="shared" si="3"/>
        <v>119 Production Trucking</v>
      </c>
    </row>
    <row r="69" spans="1:16" x14ac:dyDescent="0.2">
      <c r="A69" s="1015">
        <v>120</v>
      </c>
      <c r="B69" s="1016"/>
      <c r="C69" s="264" t="s">
        <v>28</v>
      </c>
      <c r="D69" s="264"/>
      <c r="E69" s="264"/>
      <c r="F69" s="264"/>
      <c r="G69" s="264"/>
      <c r="H69" s="264"/>
      <c r="I69" s="264"/>
      <c r="J69" s="264"/>
      <c r="K69" s="264"/>
      <c r="L69" t="str">
        <f t="shared" si="2"/>
        <v>Camera Truck</v>
      </c>
      <c r="P69" t="str">
        <f t="shared" si="3"/>
        <v>120 Camera Truck</v>
      </c>
    </row>
    <row r="70" spans="1:16" x14ac:dyDescent="0.2">
      <c r="A70" s="1015">
        <v>121</v>
      </c>
      <c r="B70" s="1016"/>
      <c r="C70" s="264" t="s">
        <v>101</v>
      </c>
      <c r="D70" s="264"/>
      <c r="E70" s="264"/>
      <c r="F70" s="264"/>
      <c r="G70" s="264"/>
      <c r="H70" s="264"/>
      <c r="I70" s="264"/>
      <c r="J70" s="264"/>
      <c r="K70" s="264"/>
      <c r="L70" t="str">
        <f t="shared" si="2"/>
        <v>Car Rentals</v>
      </c>
      <c r="P70" t="str">
        <f t="shared" si="3"/>
        <v>121 Car Rentals</v>
      </c>
    </row>
    <row r="71" spans="1:16" x14ac:dyDescent="0.2">
      <c r="A71" s="1015">
        <v>122</v>
      </c>
      <c r="B71" s="1016"/>
      <c r="C71" s="264" t="s">
        <v>102</v>
      </c>
      <c r="D71" s="264"/>
      <c r="E71" s="264"/>
      <c r="F71" s="264"/>
      <c r="G71" s="264"/>
      <c r="H71" s="264"/>
      <c r="I71" s="264"/>
      <c r="J71" s="264"/>
      <c r="K71" s="264"/>
      <c r="L71" t="str">
        <f t="shared" si="2"/>
        <v>Bus Rentals</v>
      </c>
      <c r="P71" t="str">
        <f t="shared" si="3"/>
        <v>122 Bus Rentals</v>
      </c>
    </row>
    <row r="72" spans="1:16" x14ac:dyDescent="0.2">
      <c r="A72" s="1015">
        <v>123</v>
      </c>
      <c r="B72" s="1016"/>
      <c r="C72" s="264" t="s">
        <v>115</v>
      </c>
      <c r="D72" s="264"/>
      <c r="E72" s="264"/>
      <c r="F72" s="264"/>
      <c r="G72" s="264"/>
      <c r="H72" s="264"/>
      <c r="I72" s="264"/>
      <c r="J72" s="264"/>
      <c r="K72" s="264"/>
      <c r="L72" t="str">
        <f t="shared" si="2"/>
        <v>Limousines (Celebrities)</v>
      </c>
      <c r="P72" t="str">
        <f t="shared" si="3"/>
        <v>123 Limousines (Celebrities)</v>
      </c>
    </row>
    <row r="73" spans="1:16" x14ac:dyDescent="0.2">
      <c r="A73" s="1015">
        <v>124</v>
      </c>
      <c r="B73" s="1016"/>
      <c r="C73" s="264" t="s">
        <v>26</v>
      </c>
      <c r="D73" s="264"/>
      <c r="E73" s="264"/>
      <c r="F73" s="264"/>
      <c r="G73" s="264"/>
      <c r="H73" s="264"/>
      <c r="I73" s="264"/>
      <c r="J73" s="264"/>
      <c r="K73" s="264"/>
      <c r="L73" t="str">
        <f t="shared" si="2"/>
        <v>Dressing Room Vehicles</v>
      </c>
      <c r="P73" t="str">
        <f t="shared" si="3"/>
        <v>124 Dressing Room Vehicles</v>
      </c>
    </row>
    <row r="74" spans="1:16" x14ac:dyDescent="0.2">
      <c r="A74" s="1015">
        <v>125</v>
      </c>
      <c r="B74" s="1016"/>
      <c r="C74" s="264" t="s">
        <v>232</v>
      </c>
      <c r="D74" s="264"/>
      <c r="E74" s="264"/>
      <c r="F74" s="264"/>
      <c r="G74" s="264"/>
      <c r="H74" s="264"/>
      <c r="I74" s="264"/>
      <c r="J74" s="264"/>
      <c r="K74" s="264"/>
      <c r="L74" t="str">
        <f t="shared" si="2"/>
        <v>Talent Trailer / Honeywagon</v>
      </c>
      <c r="P74" t="str">
        <f t="shared" si="3"/>
        <v>125 Talent Trailer / Honeywagon</v>
      </c>
    </row>
    <row r="75" spans="1:16" x14ac:dyDescent="0.2">
      <c r="A75" s="1015">
        <v>126</v>
      </c>
      <c r="B75" s="1016"/>
      <c r="C75" s="264" t="s">
        <v>104</v>
      </c>
      <c r="D75" s="264"/>
      <c r="E75" s="264"/>
      <c r="F75" s="264"/>
      <c r="G75" s="264"/>
      <c r="H75" s="264"/>
      <c r="I75" s="264"/>
      <c r="J75" s="264"/>
      <c r="K75" s="264"/>
      <c r="L75" t="str">
        <f t="shared" si="2"/>
        <v>Other Vehicles</v>
      </c>
      <c r="P75" t="str">
        <f t="shared" si="3"/>
        <v>126 Other Vehicles</v>
      </c>
    </row>
    <row r="76" spans="1:16" x14ac:dyDescent="0.2">
      <c r="A76" s="1015">
        <v>127</v>
      </c>
      <c r="B76" s="1016"/>
      <c r="C76" s="264" t="s">
        <v>103</v>
      </c>
      <c r="D76" s="264"/>
      <c r="E76" s="264"/>
      <c r="F76" s="264"/>
      <c r="G76" s="264"/>
      <c r="H76" s="264"/>
      <c r="I76" s="264"/>
      <c r="J76" s="264"/>
      <c r="K76" s="264"/>
      <c r="L76" t="str">
        <f t="shared" si="2"/>
        <v>Parking/Tolls/Gas</v>
      </c>
      <c r="P76" t="str">
        <f t="shared" si="3"/>
        <v>127 Parking/Tolls/Gas</v>
      </c>
    </row>
    <row r="77" spans="1:16" x14ac:dyDescent="0.2">
      <c r="A77" s="1015">
        <v>128</v>
      </c>
      <c r="B77" s="1016"/>
      <c r="C77" s="264" t="s">
        <v>29</v>
      </c>
      <c r="D77" s="264"/>
      <c r="E77" s="264"/>
      <c r="F77" s="264"/>
      <c r="G77" s="264"/>
      <c r="H77" s="264"/>
      <c r="I77" s="264"/>
      <c r="J77" s="264"/>
      <c r="K77" s="264"/>
      <c r="L77" t="str">
        <f t="shared" si="2"/>
        <v>Excess Bags/Homeland Security</v>
      </c>
      <c r="P77" t="str">
        <f t="shared" si="3"/>
        <v>128 Excess Bags/Homeland Security</v>
      </c>
    </row>
    <row r="78" spans="1:16" x14ac:dyDescent="0.2">
      <c r="A78" s="1015">
        <v>129</v>
      </c>
      <c r="B78" s="1016"/>
      <c r="C78" s="264" t="s">
        <v>14</v>
      </c>
      <c r="D78" s="264"/>
      <c r="E78" s="264"/>
      <c r="F78" s="264"/>
      <c r="G78" s="264"/>
      <c r="H78" s="264"/>
      <c r="I78" s="264"/>
      <c r="J78" s="264"/>
      <c r="K78" s="264"/>
      <c r="L78" t="str">
        <f t="shared" si="2"/>
        <v>Air Fares</v>
      </c>
      <c r="P78" t="str">
        <f t="shared" si="3"/>
        <v>129 Air Fares</v>
      </c>
    </row>
    <row r="79" spans="1:16" x14ac:dyDescent="0.2">
      <c r="A79" s="1015">
        <v>130</v>
      </c>
      <c r="B79" s="1016"/>
      <c r="C79" s="264" t="s">
        <v>112</v>
      </c>
      <c r="D79" s="264"/>
      <c r="E79" s="264"/>
      <c r="F79" s="264"/>
      <c r="G79" s="264"/>
      <c r="H79" s="264"/>
      <c r="I79" s="264"/>
      <c r="J79" s="264"/>
      <c r="K79" s="264"/>
      <c r="L79" t="str">
        <f t="shared" si="2"/>
        <v>Hotels</v>
      </c>
      <c r="P79" t="str">
        <f t="shared" si="3"/>
        <v>130 Hotels</v>
      </c>
    </row>
    <row r="80" spans="1:16" x14ac:dyDescent="0.2">
      <c r="A80" s="1015">
        <v>131</v>
      </c>
      <c r="B80" s="1016"/>
      <c r="C80" s="264" t="s">
        <v>15</v>
      </c>
      <c r="D80" s="264"/>
      <c r="E80" s="264"/>
      <c r="F80" s="264"/>
      <c r="G80" s="264"/>
      <c r="H80" s="264"/>
      <c r="I80" s="264"/>
      <c r="J80" s="264"/>
      <c r="K80" s="264"/>
      <c r="L80" t="str">
        <f t="shared" si="2"/>
        <v>Per Diems</v>
      </c>
      <c r="P80" t="str">
        <f t="shared" si="3"/>
        <v>131 Per Diems</v>
      </c>
    </row>
    <row r="81" spans="1:16" x14ac:dyDescent="0.2">
      <c r="A81" s="1015">
        <v>132</v>
      </c>
      <c r="B81" s="1016"/>
      <c r="C81" s="264" t="s">
        <v>30</v>
      </c>
      <c r="D81" s="264"/>
      <c r="E81" s="264"/>
      <c r="F81" s="264"/>
      <c r="G81" s="264"/>
      <c r="H81" s="264"/>
      <c r="I81" s="264"/>
      <c r="J81" s="264"/>
      <c r="K81" s="264"/>
      <c r="L81" t="str">
        <f t="shared" si="2"/>
        <v>Talent Meals</v>
      </c>
      <c r="P81" t="str">
        <f t="shared" si="3"/>
        <v>132 Talent Meals</v>
      </c>
    </row>
    <row r="82" spans="1:16" x14ac:dyDescent="0.2">
      <c r="A82" s="1015">
        <v>133</v>
      </c>
      <c r="B82" s="1016"/>
      <c r="C82" s="264" t="s">
        <v>31</v>
      </c>
      <c r="D82" s="264"/>
      <c r="E82" s="264"/>
      <c r="F82" s="264"/>
      <c r="G82" s="264"/>
      <c r="H82" s="264"/>
      <c r="I82" s="264"/>
      <c r="J82" s="264"/>
      <c r="K82" s="264"/>
      <c r="L82" t="str">
        <f t="shared" si="2"/>
        <v>Breakfast</v>
      </c>
      <c r="P82" t="str">
        <f t="shared" si="3"/>
        <v>133 Breakfast</v>
      </c>
    </row>
    <row r="83" spans="1:16" x14ac:dyDescent="0.2">
      <c r="A83" s="1015">
        <v>134</v>
      </c>
      <c r="B83" s="1016"/>
      <c r="C83" s="264" t="s">
        <v>32</v>
      </c>
      <c r="D83" s="264"/>
      <c r="E83" s="264"/>
      <c r="F83" s="264"/>
      <c r="G83" s="264"/>
      <c r="H83" s="264"/>
      <c r="I83" s="264"/>
      <c r="J83" s="264"/>
      <c r="K83" s="264"/>
      <c r="L83" t="str">
        <f t="shared" si="2"/>
        <v>Lunch</v>
      </c>
      <c r="P83" t="str">
        <f t="shared" si="3"/>
        <v>134 Lunch</v>
      </c>
    </row>
    <row r="84" spans="1:16" x14ac:dyDescent="0.2">
      <c r="A84" s="1015">
        <v>135</v>
      </c>
      <c r="B84" s="1016"/>
      <c r="C84" s="264" t="s">
        <v>33</v>
      </c>
      <c r="D84" s="264"/>
      <c r="E84" s="264"/>
      <c r="F84" s="264"/>
      <c r="G84" s="264"/>
      <c r="H84" s="264"/>
      <c r="I84" s="264"/>
      <c r="J84" s="264"/>
      <c r="K84" s="264"/>
      <c r="L84" t="str">
        <f t="shared" si="2"/>
        <v>Dinner</v>
      </c>
      <c r="P84" t="str">
        <f t="shared" si="3"/>
        <v>135 Dinner</v>
      </c>
    </row>
    <row r="85" spans="1:16" x14ac:dyDescent="0.2">
      <c r="A85" s="1015">
        <v>136</v>
      </c>
      <c r="B85" s="1016"/>
      <c r="C85" s="264" t="s">
        <v>231</v>
      </c>
      <c r="D85" s="264"/>
      <c r="E85" s="264"/>
      <c r="F85" s="264"/>
      <c r="G85" s="264"/>
      <c r="H85" s="264"/>
      <c r="I85" s="264"/>
      <c r="J85" s="264"/>
      <c r="K85" s="264"/>
      <c r="L85" t="str">
        <f t="shared" si="2"/>
        <v>Cabs/ Ubers/ Other Transportation</v>
      </c>
      <c r="P85" t="str">
        <f t="shared" si="3"/>
        <v>136 Cabs/ Ubers/ Other Transportation</v>
      </c>
    </row>
    <row r="86" spans="1:16" x14ac:dyDescent="0.2">
      <c r="A86" s="1015">
        <v>137</v>
      </c>
      <c r="B86" s="1016"/>
      <c r="C86" s="264" t="s">
        <v>35</v>
      </c>
      <c r="D86" s="264"/>
      <c r="E86" s="264"/>
      <c r="F86" s="264"/>
      <c r="G86" s="264"/>
      <c r="H86" s="264"/>
      <c r="I86" s="264"/>
      <c r="J86" s="264"/>
      <c r="K86" s="264"/>
      <c r="L86" t="str">
        <f t="shared" si="2"/>
        <v>Kit Rental</v>
      </c>
      <c r="P86" t="str">
        <f t="shared" si="3"/>
        <v>137 Kit Rental</v>
      </c>
    </row>
    <row r="87" spans="1:16" x14ac:dyDescent="0.2">
      <c r="A87" s="1015">
        <v>138</v>
      </c>
      <c r="B87" s="1016"/>
      <c r="C87" s="264" t="s">
        <v>105</v>
      </c>
      <c r="D87" s="264"/>
      <c r="E87" s="264"/>
      <c r="F87" s="264"/>
      <c r="G87" s="264"/>
      <c r="H87" s="264"/>
      <c r="I87" s="264"/>
      <c r="J87" s="264"/>
      <c r="K87" s="264"/>
      <c r="L87" t="str">
        <f t="shared" si="2"/>
        <v>Art Work</v>
      </c>
      <c r="P87" t="str">
        <f t="shared" si="3"/>
        <v>138 Art Work</v>
      </c>
    </row>
    <row r="88" spans="1:16" x14ac:dyDescent="0.2">
      <c r="A88" s="1015">
        <v>139</v>
      </c>
      <c r="B88" s="1016"/>
      <c r="C88" s="264" t="s">
        <v>226</v>
      </c>
      <c r="D88" s="264"/>
      <c r="E88" s="264"/>
      <c r="F88" s="264"/>
      <c r="G88" s="264"/>
      <c r="H88" s="264"/>
      <c r="I88" s="264"/>
      <c r="J88" s="264"/>
      <c r="K88" s="264"/>
      <c r="L88" t="str">
        <f t="shared" si="2"/>
        <v>Sustainable Practices</v>
      </c>
      <c r="P88" t="str">
        <f t="shared" si="3"/>
        <v>139 Sustainable Practices</v>
      </c>
    </row>
    <row r="89" spans="1:16" x14ac:dyDescent="0.2">
      <c r="A89" s="1015">
        <v>140</v>
      </c>
      <c r="B89" s="1016"/>
      <c r="C89" s="264" t="s">
        <v>106</v>
      </c>
      <c r="D89" s="264"/>
      <c r="E89" s="264"/>
      <c r="F89" s="264"/>
      <c r="G89" s="264"/>
      <c r="H89" s="264"/>
      <c r="I89" s="264"/>
      <c r="J89" s="264"/>
      <c r="K89" s="264"/>
      <c r="L89" t="str">
        <f t="shared" si="2"/>
        <v>Prop Rental</v>
      </c>
      <c r="P89" t="str">
        <f t="shared" si="3"/>
        <v>140 Prop Rental</v>
      </c>
    </row>
    <row r="90" spans="1:16" x14ac:dyDescent="0.2">
      <c r="A90" s="1015">
        <v>141</v>
      </c>
      <c r="B90" s="1016"/>
      <c r="C90" s="264" t="s">
        <v>107</v>
      </c>
      <c r="D90" s="264"/>
      <c r="E90" s="264"/>
      <c r="F90" s="264"/>
      <c r="G90" s="264"/>
      <c r="H90" s="264"/>
      <c r="I90" s="264"/>
      <c r="J90" s="264"/>
      <c r="K90" s="264"/>
      <c r="L90" t="str">
        <f t="shared" si="2"/>
        <v>Prop Purchase</v>
      </c>
      <c r="P90" t="str">
        <f t="shared" si="3"/>
        <v>141 Prop Purchase</v>
      </c>
    </row>
    <row r="91" spans="1:16" x14ac:dyDescent="0.2">
      <c r="A91" s="1015">
        <v>142</v>
      </c>
      <c r="B91" s="1016"/>
      <c r="C91" s="264" t="s">
        <v>120</v>
      </c>
      <c r="D91" s="264"/>
      <c r="E91" s="264"/>
      <c r="F91" s="264"/>
      <c r="G91" s="264"/>
      <c r="H91" s="264"/>
      <c r="I91" s="264"/>
      <c r="J91" s="264"/>
      <c r="K91" s="264"/>
      <c r="L91" t="str">
        <f t="shared" si="2"/>
        <v>Prop Fabrication</v>
      </c>
      <c r="P91" t="str">
        <f t="shared" si="3"/>
        <v>142 Prop Fabrication</v>
      </c>
    </row>
    <row r="92" spans="1:16" x14ac:dyDescent="0.2">
      <c r="A92" s="1015">
        <v>143</v>
      </c>
      <c r="B92" s="1016"/>
      <c r="C92" s="264" t="s">
        <v>108</v>
      </c>
      <c r="D92" s="264"/>
      <c r="E92" s="264"/>
      <c r="F92" s="264"/>
      <c r="G92" s="264"/>
      <c r="H92" s="264"/>
      <c r="I92" s="264"/>
      <c r="J92" s="264"/>
      <c r="K92" s="264"/>
      <c r="L92" t="str">
        <f t="shared" si="2"/>
        <v>Wardrobe Rental</v>
      </c>
      <c r="P92" t="str">
        <f t="shared" si="3"/>
        <v>143 Wardrobe Rental</v>
      </c>
    </row>
    <row r="93" spans="1:16" x14ac:dyDescent="0.2">
      <c r="A93" s="1015">
        <v>144</v>
      </c>
      <c r="B93" s="1016"/>
      <c r="C93" s="264" t="s">
        <v>109</v>
      </c>
      <c r="D93" s="264"/>
      <c r="E93" s="264"/>
      <c r="F93" s="264"/>
      <c r="G93" s="264"/>
      <c r="H93" s="264"/>
      <c r="I93" s="264"/>
      <c r="J93" s="264"/>
      <c r="K93" s="264"/>
      <c r="L93" t="str">
        <f t="shared" si="2"/>
        <v>Wardrobe Purchase</v>
      </c>
      <c r="P93" t="str">
        <f t="shared" si="3"/>
        <v>144 Wardrobe Purchase</v>
      </c>
    </row>
    <row r="94" spans="1:16" x14ac:dyDescent="0.2">
      <c r="A94" s="1015">
        <v>145</v>
      </c>
      <c r="B94" s="1016"/>
      <c r="C94" s="264" t="s">
        <v>121</v>
      </c>
      <c r="D94" s="264"/>
      <c r="E94" s="264"/>
      <c r="F94" s="264"/>
      <c r="G94" s="264"/>
      <c r="H94" s="264"/>
      <c r="I94" s="264"/>
      <c r="J94" s="264"/>
      <c r="K94" s="264"/>
      <c r="L94" t="str">
        <f t="shared" si="2"/>
        <v>Costumes</v>
      </c>
      <c r="P94" t="str">
        <f t="shared" si="3"/>
        <v>145 Costumes</v>
      </c>
    </row>
    <row r="95" spans="1:16" x14ac:dyDescent="0.2">
      <c r="A95" s="1015">
        <v>146</v>
      </c>
      <c r="B95" s="1016"/>
      <c r="C95" s="264" t="s">
        <v>36</v>
      </c>
      <c r="D95" s="264"/>
      <c r="E95" s="264"/>
      <c r="F95" s="264"/>
      <c r="G95" s="264"/>
      <c r="H95" s="264"/>
      <c r="I95" s="264"/>
      <c r="J95" s="264"/>
      <c r="K95" s="264"/>
      <c r="L95" t="str">
        <f t="shared" si="2"/>
        <v>Picture Vehicles</v>
      </c>
      <c r="P95" t="str">
        <f t="shared" si="3"/>
        <v>146 Picture Vehicles</v>
      </c>
    </row>
    <row r="96" spans="1:16" x14ac:dyDescent="0.2">
      <c r="A96" s="1015">
        <v>147</v>
      </c>
      <c r="B96" s="1016"/>
      <c r="C96" s="264" t="s">
        <v>225</v>
      </c>
      <c r="D96" s="264"/>
      <c r="E96" s="264"/>
      <c r="F96" s="264"/>
      <c r="G96" s="264"/>
      <c r="H96" s="264"/>
      <c r="I96" s="264"/>
      <c r="J96" s="264"/>
      <c r="K96" s="264"/>
      <c r="L96" t="str">
        <f t="shared" si="2"/>
        <v>Animals &amp; Handlers</v>
      </c>
      <c r="P96" t="str">
        <f t="shared" si="3"/>
        <v>147 Animals &amp; Handlers</v>
      </c>
    </row>
    <row r="97" spans="1:16" x14ac:dyDescent="0.2">
      <c r="A97" s="1015">
        <v>148</v>
      </c>
      <c r="B97" s="1016"/>
      <c r="C97" s="264" t="s">
        <v>361</v>
      </c>
      <c r="D97" s="264"/>
      <c r="E97" s="264"/>
      <c r="F97" s="264"/>
      <c r="G97" s="264"/>
      <c r="H97" s="264"/>
      <c r="I97" s="264"/>
      <c r="J97" s="264"/>
      <c r="K97" s="264"/>
      <c r="L97" t="str">
        <f t="shared" si="2"/>
        <v>Theatrical Makeup</v>
      </c>
      <c r="P97" t="str">
        <f t="shared" si="3"/>
        <v>148 Theatrical Makeup</v>
      </c>
    </row>
    <row r="98" spans="1:16" x14ac:dyDescent="0.2">
      <c r="A98" s="1015">
        <v>149</v>
      </c>
      <c r="B98" s="1016"/>
      <c r="C98" s="264" t="s">
        <v>230</v>
      </c>
      <c r="D98" s="264"/>
      <c r="E98" s="264"/>
      <c r="F98" s="264"/>
      <c r="G98" s="264"/>
      <c r="H98" s="264"/>
      <c r="I98" s="264"/>
      <c r="J98" s="264"/>
      <c r="K98" s="264"/>
      <c r="L98" t="str">
        <f t="shared" si="2"/>
        <v xml:space="preserve">Product Prep / Color Correct </v>
      </c>
      <c r="P98" t="str">
        <f t="shared" si="3"/>
        <v xml:space="preserve">149 Product Prep / Color Correct </v>
      </c>
    </row>
    <row r="99" spans="1:16" x14ac:dyDescent="0.2">
      <c r="A99" s="1015">
        <v>150</v>
      </c>
      <c r="B99" s="1016"/>
      <c r="C99" s="264" t="s">
        <v>58</v>
      </c>
      <c r="D99" s="264"/>
      <c r="E99" s="264"/>
      <c r="F99" s="264"/>
      <c r="G99" s="264"/>
      <c r="H99" s="264"/>
      <c r="I99" s="264"/>
      <c r="J99" s="264"/>
      <c r="K99" s="264"/>
      <c r="L99" t="str">
        <f t="shared" si="2"/>
        <v>Greens</v>
      </c>
      <c r="P99" t="str">
        <f t="shared" si="3"/>
        <v>150 Greens</v>
      </c>
    </row>
    <row r="100" spans="1:16" x14ac:dyDescent="0.2">
      <c r="A100" s="1017">
        <v>151</v>
      </c>
      <c r="B100" s="1018"/>
      <c r="C100" s="264" t="s">
        <v>37</v>
      </c>
      <c r="D100" s="264"/>
      <c r="E100" s="264"/>
      <c r="F100" s="264"/>
      <c r="G100" s="264"/>
      <c r="H100" s="264"/>
      <c r="I100" s="264"/>
      <c r="J100" s="264"/>
      <c r="K100" s="264"/>
      <c r="L100" t="str">
        <f t="shared" si="2"/>
        <v xml:space="preserve">Rental For Build Days </v>
      </c>
      <c r="P100" t="str">
        <f t="shared" si="3"/>
        <v xml:space="preserve">151 Rental For Build Days </v>
      </c>
    </row>
    <row r="101" spans="1:16" x14ac:dyDescent="0.2">
      <c r="A101" s="1017">
        <v>152</v>
      </c>
      <c r="B101" s="1018"/>
      <c r="C101" s="264" t="s">
        <v>38</v>
      </c>
      <c r="D101" s="264"/>
      <c r="E101" s="264"/>
      <c r="F101" s="264"/>
      <c r="G101" s="264"/>
      <c r="H101" s="264"/>
      <c r="I101" s="264"/>
      <c r="J101" s="264"/>
      <c r="K101" s="264"/>
      <c r="L101" t="str">
        <f t="shared" si="2"/>
        <v>Build OT Hours</v>
      </c>
      <c r="P101" t="str">
        <f t="shared" si="3"/>
        <v>152 Build OT Hours</v>
      </c>
    </row>
    <row r="102" spans="1:16" x14ac:dyDescent="0.2">
      <c r="A102" s="1017">
        <v>153</v>
      </c>
      <c r="B102" s="1018"/>
      <c r="C102" s="264" t="s">
        <v>39</v>
      </c>
      <c r="D102" s="264"/>
      <c r="E102" s="264"/>
      <c r="F102" s="264"/>
      <c r="G102" s="264"/>
      <c r="H102" s="264"/>
      <c r="I102" s="264"/>
      <c r="J102" s="264"/>
      <c r="K102" s="264"/>
      <c r="L102" t="str">
        <f t="shared" si="2"/>
        <v>Rental for Pre-Lite Days</v>
      </c>
      <c r="P102" t="str">
        <f t="shared" si="3"/>
        <v>153 Rental for Pre-Lite Days</v>
      </c>
    </row>
    <row r="103" spans="1:16" x14ac:dyDescent="0.2">
      <c r="A103" s="1017">
        <v>154</v>
      </c>
      <c r="B103" s="1018"/>
      <c r="C103" s="264" t="s">
        <v>40</v>
      </c>
      <c r="D103" s="264"/>
      <c r="E103" s="264"/>
      <c r="F103" s="264"/>
      <c r="G103" s="264"/>
      <c r="H103" s="264"/>
      <c r="I103" s="264"/>
      <c r="J103" s="264"/>
      <c r="K103" s="264"/>
      <c r="L103" t="str">
        <f t="shared" si="2"/>
        <v>Pre-Lite OT Hours</v>
      </c>
      <c r="P103" t="str">
        <f t="shared" si="3"/>
        <v>154 Pre-Lite OT Hours</v>
      </c>
    </row>
    <row r="104" spans="1:16" x14ac:dyDescent="0.2">
      <c r="A104" s="1017">
        <v>155</v>
      </c>
      <c r="B104" s="1018"/>
      <c r="C104" s="264" t="s">
        <v>41</v>
      </c>
      <c r="D104" s="264"/>
      <c r="E104" s="264"/>
      <c r="F104" s="264"/>
      <c r="G104" s="264"/>
      <c r="H104" s="264"/>
      <c r="I104" s="264"/>
      <c r="J104" s="264"/>
      <c r="K104" s="264"/>
      <c r="L104" t="str">
        <f t="shared" si="2"/>
        <v>Rental for Shoot Days</v>
      </c>
      <c r="P104" t="str">
        <f t="shared" si="3"/>
        <v>155 Rental for Shoot Days</v>
      </c>
    </row>
    <row r="105" spans="1:16" x14ac:dyDescent="0.2">
      <c r="A105" s="1017">
        <v>156</v>
      </c>
      <c r="B105" s="1018"/>
      <c r="C105" s="264" t="s">
        <v>42</v>
      </c>
      <c r="D105" s="264"/>
      <c r="E105" s="264"/>
      <c r="F105" s="264"/>
      <c r="G105" s="264"/>
      <c r="H105" s="264"/>
      <c r="I105" s="264"/>
      <c r="J105" s="264"/>
      <c r="K105" s="264"/>
      <c r="L105" t="str">
        <f t="shared" si="2"/>
        <v>Shoot OT Hours</v>
      </c>
      <c r="P105" t="str">
        <f t="shared" si="3"/>
        <v>156 Shoot OT Hours</v>
      </c>
    </row>
    <row r="106" spans="1:16" x14ac:dyDescent="0.2">
      <c r="A106" s="1017">
        <v>157</v>
      </c>
      <c r="B106" s="1018"/>
      <c r="C106" s="264" t="s">
        <v>43</v>
      </c>
      <c r="D106" s="264"/>
      <c r="E106" s="264"/>
      <c r="F106" s="264"/>
      <c r="G106" s="264"/>
      <c r="H106" s="264"/>
      <c r="I106" s="264"/>
      <c r="J106" s="264"/>
      <c r="K106" s="264"/>
      <c r="L106" t="str">
        <f t="shared" si="2"/>
        <v>Rental for Strike Days</v>
      </c>
      <c r="P106" t="str">
        <f t="shared" si="3"/>
        <v>157 Rental for Strike Days</v>
      </c>
    </row>
    <row r="107" spans="1:16" x14ac:dyDescent="0.2">
      <c r="A107" s="1017">
        <v>158</v>
      </c>
      <c r="B107" s="1018"/>
      <c r="C107" s="264" t="s">
        <v>44</v>
      </c>
      <c r="D107" s="264"/>
      <c r="E107" s="264"/>
      <c r="F107" s="264"/>
      <c r="G107" s="264"/>
      <c r="H107" s="264"/>
      <c r="I107" s="264"/>
      <c r="J107" s="264"/>
      <c r="K107" s="264"/>
      <c r="L107" t="str">
        <f t="shared" si="2"/>
        <v>Strike OT Hours</v>
      </c>
      <c r="P107" t="str">
        <f t="shared" si="3"/>
        <v>158 Strike OT Hours</v>
      </c>
    </row>
    <row r="108" spans="1:16" x14ac:dyDescent="0.2">
      <c r="A108" s="1017">
        <v>159</v>
      </c>
      <c r="B108" s="1018"/>
      <c r="C108" s="264" t="s">
        <v>45</v>
      </c>
      <c r="D108" s="264"/>
      <c r="E108" s="264"/>
      <c r="F108" s="264"/>
      <c r="G108" s="264"/>
      <c r="H108" s="264"/>
      <c r="I108" s="264"/>
      <c r="J108" s="264"/>
      <c r="K108" s="264"/>
      <c r="L108" t="str">
        <f t="shared" si="2"/>
        <v>Generator and Operator</v>
      </c>
      <c r="P108" t="str">
        <f t="shared" si="3"/>
        <v>159 Generator and Operator</v>
      </c>
    </row>
    <row r="109" spans="1:16" x14ac:dyDescent="0.2">
      <c r="A109" s="1017">
        <v>160</v>
      </c>
      <c r="B109" s="1018"/>
      <c r="C109" s="264" t="s">
        <v>321</v>
      </c>
      <c r="D109" s="264"/>
      <c r="E109" s="264"/>
      <c r="F109" s="264"/>
      <c r="G109" s="264"/>
      <c r="H109" s="264"/>
      <c r="I109" s="264"/>
      <c r="J109" s="264"/>
      <c r="K109" s="264"/>
      <c r="L109" t="str">
        <f t="shared" si="2"/>
        <v>Stage Manager/Studio Security</v>
      </c>
      <c r="P109" t="str">
        <f t="shared" si="3"/>
        <v>160 Stage Manager/Studio Security</v>
      </c>
    </row>
    <row r="110" spans="1:16" x14ac:dyDescent="0.2">
      <c r="A110" s="1017">
        <v>161</v>
      </c>
      <c r="B110" s="1018"/>
      <c r="C110" s="264" t="s">
        <v>46</v>
      </c>
      <c r="D110" s="264"/>
      <c r="E110" s="264"/>
      <c r="F110" s="264"/>
      <c r="G110" s="264"/>
      <c r="H110" s="264"/>
      <c r="I110" s="264"/>
      <c r="J110" s="264"/>
      <c r="K110" s="264"/>
      <c r="L110" t="str">
        <f t="shared" si="2"/>
        <v>Power Charges</v>
      </c>
      <c r="P110" t="str">
        <f t="shared" si="3"/>
        <v>161 Power Charges</v>
      </c>
    </row>
    <row r="111" spans="1:16" x14ac:dyDescent="0.2">
      <c r="A111" s="1017">
        <v>162</v>
      </c>
      <c r="B111" s="1018"/>
      <c r="C111" s="264" t="s">
        <v>47</v>
      </c>
      <c r="D111" s="264"/>
      <c r="E111" s="264"/>
      <c r="F111" s="264"/>
      <c r="G111" s="264"/>
      <c r="H111" s="264"/>
      <c r="I111" s="264"/>
      <c r="J111" s="264"/>
      <c r="K111" s="264"/>
      <c r="L111" t="str">
        <f t="shared" si="2"/>
        <v>Misc Studio Charges</v>
      </c>
      <c r="P111" t="str">
        <f t="shared" si="3"/>
        <v>162 Misc Studio Charges</v>
      </c>
    </row>
    <row r="112" spans="1:16" x14ac:dyDescent="0.2">
      <c r="A112" s="1017">
        <v>163</v>
      </c>
      <c r="B112" s="1018"/>
      <c r="C112" s="264" t="s">
        <v>322</v>
      </c>
      <c r="D112" s="264"/>
      <c r="E112" s="264"/>
      <c r="F112" s="264"/>
      <c r="G112" s="264"/>
      <c r="H112" s="264"/>
      <c r="I112" s="264"/>
      <c r="J112" s="264"/>
      <c r="K112" s="264"/>
      <c r="L112" t="str">
        <f t="shared" si="2"/>
        <v>Meals for Crew &amp; Talent</v>
      </c>
      <c r="P112" t="str">
        <f t="shared" si="3"/>
        <v>163 Meals for Crew &amp; Talent</v>
      </c>
    </row>
    <row r="113" spans="1:16" x14ac:dyDescent="0.2">
      <c r="A113" s="1017">
        <v>164</v>
      </c>
      <c r="B113" s="1018"/>
      <c r="C113" s="264" t="s">
        <v>323</v>
      </c>
      <c r="D113" s="264"/>
      <c r="E113" s="264"/>
      <c r="F113" s="264"/>
      <c r="G113" s="264"/>
      <c r="H113" s="264"/>
      <c r="I113" s="264"/>
      <c r="J113" s="264"/>
      <c r="K113" s="264"/>
      <c r="L113" t="str">
        <f t="shared" si="2"/>
        <v>Air Conditioning</v>
      </c>
      <c r="P113" t="str">
        <f t="shared" si="3"/>
        <v>164 Air Conditioning</v>
      </c>
    </row>
    <row r="114" spans="1:16" x14ac:dyDescent="0.2">
      <c r="A114" s="1017">
        <v>165</v>
      </c>
      <c r="B114" s="1018"/>
      <c r="C114" s="264" t="s">
        <v>324</v>
      </c>
      <c r="D114" s="264"/>
      <c r="E114" s="264"/>
      <c r="F114" s="264"/>
      <c r="G114" s="264"/>
      <c r="H114" s="264"/>
      <c r="I114" s="264"/>
      <c r="J114" s="264"/>
      <c r="K114" s="264"/>
      <c r="L114" t="str">
        <f t="shared" si="2"/>
        <v>Crew Parking</v>
      </c>
      <c r="P114" t="str">
        <f t="shared" si="3"/>
        <v>165 Crew Parking</v>
      </c>
    </row>
    <row r="115" spans="1:16" x14ac:dyDescent="0.2">
      <c r="A115" s="1017">
        <v>166</v>
      </c>
      <c r="B115" s="1018"/>
      <c r="C115" s="264" t="s">
        <v>48</v>
      </c>
      <c r="D115" s="264"/>
      <c r="E115" s="264"/>
      <c r="F115" s="264"/>
      <c r="G115" s="264"/>
      <c r="H115" s="264"/>
      <c r="I115" s="264"/>
      <c r="J115" s="264"/>
      <c r="K115" s="264"/>
      <c r="L115" t="str">
        <f t="shared" ref="L115:L178" si="4">C115</f>
        <v>Condor/Scissor Lift</v>
      </c>
      <c r="P115" t="str">
        <f t="shared" si="3"/>
        <v>166 Condor/Scissor Lift</v>
      </c>
    </row>
    <row r="116" spans="1:16" x14ac:dyDescent="0.2">
      <c r="A116" s="1017">
        <v>167</v>
      </c>
      <c r="B116" s="1018"/>
      <c r="C116" s="264" t="s">
        <v>325</v>
      </c>
      <c r="D116" s="264"/>
      <c r="E116" s="264"/>
      <c r="F116" s="264"/>
      <c r="G116" s="264"/>
      <c r="H116" s="264"/>
      <c r="I116" s="264"/>
      <c r="J116" s="264"/>
      <c r="K116" s="264"/>
      <c r="L116" t="str">
        <f t="shared" si="4"/>
        <v>Steeldeck</v>
      </c>
      <c r="P116" t="str">
        <f t="shared" si="3"/>
        <v>167 Steeldeck</v>
      </c>
    </row>
    <row r="117" spans="1:16" x14ac:dyDescent="0.2">
      <c r="A117" s="1017">
        <v>168</v>
      </c>
      <c r="B117" s="1018"/>
      <c r="C117" s="265" t="s">
        <v>377</v>
      </c>
      <c r="D117" s="265"/>
      <c r="E117" s="265"/>
      <c r="F117" s="265"/>
      <c r="G117" s="265"/>
      <c r="H117" s="265"/>
      <c r="I117" s="265"/>
      <c r="J117" s="265"/>
      <c r="K117" s="265"/>
      <c r="L117" t="str">
        <f t="shared" si="4"/>
        <v>Production Designer/Art Director</v>
      </c>
      <c r="P117" t="str">
        <f t="shared" si="3"/>
        <v>168 Production Designer/Art Director</v>
      </c>
    </row>
    <row r="118" spans="1:16" x14ac:dyDescent="0.2">
      <c r="A118" s="1017">
        <v>170</v>
      </c>
      <c r="B118" s="1018"/>
      <c r="C118" s="264" t="s">
        <v>49</v>
      </c>
      <c r="D118" s="264"/>
      <c r="E118" s="264"/>
      <c r="F118" s="264"/>
      <c r="G118" s="264"/>
      <c r="H118" s="264"/>
      <c r="I118" s="264"/>
      <c r="J118" s="264"/>
      <c r="K118" s="264"/>
      <c r="L118" t="str">
        <f t="shared" si="4"/>
        <v>Set Decorator</v>
      </c>
      <c r="P118" t="str">
        <f t="shared" si="3"/>
        <v>170 Set Decorator</v>
      </c>
    </row>
    <row r="119" spans="1:16" x14ac:dyDescent="0.2">
      <c r="A119" s="1017">
        <v>171</v>
      </c>
      <c r="B119" s="1018"/>
      <c r="C119" s="264" t="s">
        <v>50</v>
      </c>
      <c r="D119" s="264"/>
      <c r="E119" s="264"/>
      <c r="F119" s="264"/>
      <c r="G119" s="264"/>
      <c r="H119" s="264"/>
      <c r="I119" s="264"/>
      <c r="J119" s="264"/>
      <c r="K119" s="264"/>
      <c r="L119" t="str">
        <f t="shared" si="4"/>
        <v>Art Dept Coordinator</v>
      </c>
      <c r="P119" t="str">
        <f t="shared" si="3"/>
        <v>171 Art Dept Coordinator</v>
      </c>
    </row>
    <row r="120" spans="1:16" x14ac:dyDescent="0.2">
      <c r="A120" s="1017">
        <v>172</v>
      </c>
      <c r="B120" s="1018"/>
      <c r="C120" s="264" t="s">
        <v>51</v>
      </c>
      <c r="D120" s="264"/>
      <c r="E120" s="264"/>
      <c r="F120" s="264"/>
      <c r="G120" s="264"/>
      <c r="H120" s="264"/>
      <c r="I120" s="264"/>
      <c r="J120" s="264"/>
      <c r="K120" s="264"/>
      <c r="L120" t="str">
        <f t="shared" si="4"/>
        <v>Prop Master</v>
      </c>
      <c r="P120" t="str">
        <f t="shared" si="3"/>
        <v>172 Prop Master</v>
      </c>
    </row>
    <row r="121" spans="1:16" x14ac:dyDescent="0.2">
      <c r="A121" s="1017">
        <v>173</v>
      </c>
      <c r="B121" s="1018"/>
      <c r="C121" s="264" t="s">
        <v>3</v>
      </c>
      <c r="D121" s="264"/>
      <c r="E121" s="264"/>
      <c r="F121" s="264"/>
      <c r="G121" s="264"/>
      <c r="H121" s="264"/>
      <c r="I121" s="264"/>
      <c r="J121" s="264"/>
      <c r="K121" s="264"/>
      <c r="L121" t="str">
        <f t="shared" si="4"/>
        <v>Asst Props</v>
      </c>
      <c r="P121" t="str">
        <f t="shared" si="3"/>
        <v>173 Asst Props</v>
      </c>
    </row>
    <row r="122" spans="1:16" x14ac:dyDescent="0.2">
      <c r="A122" s="1017">
        <v>174</v>
      </c>
      <c r="B122" s="1018"/>
      <c r="C122" s="264" t="s">
        <v>52</v>
      </c>
      <c r="D122" s="264"/>
      <c r="E122" s="264"/>
      <c r="F122" s="264"/>
      <c r="G122" s="264"/>
      <c r="H122" s="264"/>
      <c r="I122" s="264"/>
      <c r="J122" s="264"/>
      <c r="K122" s="264"/>
      <c r="L122" t="str">
        <f t="shared" si="4"/>
        <v>Swing</v>
      </c>
      <c r="P122" t="str">
        <f t="shared" si="3"/>
        <v>174 Swing</v>
      </c>
    </row>
    <row r="123" spans="1:16" x14ac:dyDescent="0.2">
      <c r="A123" s="1017">
        <v>175</v>
      </c>
      <c r="B123" s="1018"/>
      <c r="C123" s="264" t="s">
        <v>53</v>
      </c>
      <c r="D123" s="264"/>
      <c r="E123" s="264"/>
      <c r="F123" s="264"/>
      <c r="G123" s="264"/>
      <c r="H123" s="264"/>
      <c r="I123" s="264"/>
      <c r="J123" s="264"/>
      <c r="K123" s="264"/>
      <c r="L123" t="str">
        <f t="shared" si="4"/>
        <v>Leadman</v>
      </c>
      <c r="P123" t="str">
        <f t="shared" si="3"/>
        <v>175 Leadman</v>
      </c>
    </row>
    <row r="124" spans="1:16" x14ac:dyDescent="0.2">
      <c r="A124" s="1017">
        <v>176</v>
      </c>
      <c r="B124" s="1018"/>
      <c r="C124" s="264" t="s">
        <v>54</v>
      </c>
      <c r="D124" s="264"/>
      <c r="E124" s="264"/>
      <c r="F124" s="264"/>
      <c r="G124" s="264"/>
      <c r="H124" s="264"/>
      <c r="I124" s="264"/>
      <c r="J124" s="264"/>
      <c r="K124" s="264"/>
      <c r="L124" t="str">
        <f t="shared" si="4"/>
        <v>Set Dresser</v>
      </c>
      <c r="P124" t="str">
        <f t="shared" si="3"/>
        <v>176 Set Dresser</v>
      </c>
    </row>
    <row r="125" spans="1:16" x14ac:dyDescent="0.2">
      <c r="A125" s="1017">
        <v>177</v>
      </c>
      <c r="B125" s="1018"/>
      <c r="C125" s="264" t="s">
        <v>110</v>
      </c>
      <c r="D125" s="264"/>
      <c r="E125" s="264"/>
      <c r="F125" s="264"/>
      <c r="G125" s="264"/>
      <c r="H125" s="264"/>
      <c r="I125" s="264"/>
      <c r="J125" s="264"/>
      <c r="K125" s="264"/>
      <c r="L125" t="str">
        <f t="shared" si="4"/>
        <v>Scenics</v>
      </c>
      <c r="P125" t="str">
        <f t="shared" si="3"/>
        <v>177 Scenics</v>
      </c>
    </row>
    <row r="126" spans="1:16" x14ac:dyDescent="0.2">
      <c r="A126" s="1017">
        <v>178</v>
      </c>
      <c r="B126" s="1018"/>
      <c r="C126" s="264" t="s">
        <v>123</v>
      </c>
      <c r="D126" s="264"/>
      <c r="E126" s="264"/>
      <c r="F126" s="264"/>
      <c r="G126" s="264"/>
      <c r="H126" s="264"/>
      <c r="I126" s="264"/>
      <c r="J126" s="264"/>
      <c r="K126" s="264"/>
      <c r="L126" t="str">
        <f t="shared" si="4"/>
        <v>Grips / Riggers</v>
      </c>
      <c r="P126" t="str">
        <f t="shared" si="3"/>
        <v>178 Grips / Riggers</v>
      </c>
    </row>
    <row r="127" spans="1:16" x14ac:dyDescent="0.2">
      <c r="A127" s="1017">
        <v>179</v>
      </c>
      <c r="B127" s="1018"/>
      <c r="C127" s="264" t="s">
        <v>414</v>
      </c>
      <c r="D127" s="264"/>
      <c r="E127" s="264"/>
      <c r="F127" s="264"/>
      <c r="G127" s="264"/>
      <c r="H127" s="264"/>
      <c r="I127" s="264"/>
      <c r="J127" s="264"/>
      <c r="K127" s="264"/>
      <c r="L127" t="str">
        <f t="shared" si="4"/>
        <v>Art PA's</v>
      </c>
      <c r="P127" t="str">
        <f t="shared" si="3"/>
        <v>179 Art PA's</v>
      </c>
    </row>
    <row r="128" spans="1:16" x14ac:dyDescent="0.2">
      <c r="A128" s="1017">
        <v>181</v>
      </c>
      <c r="B128" s="1018"/>
      <c r="C128" s="264" t="s">
        <v>55</v>
      </c>
      <c r="D128" s="264"/>
      <c r="E128" s="264"/>
      <c r="F128" s="264"/>
      <c r="G128" s="264"/>
      <c r="H128" s="264"/>
      <c r="I128" s="264"/>
      <c r="J128" s="264"/>
      <c r="K128" s="264"/>
      <c r="L128" t="str">
        <f t="shared" si="4"/>
        <v>Set Dressing Rentals</v>
      </c>
      <c r="P128" t="str">
        <f t="shared" si="3"/>
        <v>181 Set Dressing Rentals</v>
      </c>
    </row>
    <row r="129" spans="1:16" x14ac:dyDescent="0.2">
      <c r="A129" s="1017">
        <v>182</v>
      </c>
      <c r="B129" s="1018"/>
      <c r="C129" s="264" t="s">
        <v>56</v>
      </c>
      <c r="D129" s="264"/>
      <c r="E129" s="264"/>
      <c r="F129" s="264"/>
      <c r="G129" s="264"/>
      <c r="H129" s="264"/>
      <c r="I129" s="264"/>
      <c r="J129" s="264"/>
      <c r="K129" s="264"/>
      <c r="L129" t="str">
        <f t="shared" si="4"/>
        <v>Set Dressing Purchases</v>
      </c>
      <c r="P129" t="str">
        <f t="shared" si="3"/>
        <v>182 Set Dressing Purchases</v>
      </c>
    </row>
    <row r="130" spans="1:16" x14ac:dyDescent="0.2">
      <c r="A130" s="1017">
        <v>183</v>
      </c>
      <c r="B130" s="1018"/>
      <c r="C130" s="264" t="s">
        <v>60</v>
      </c>
      <c r="D130" s="264"/>
      <c r="E130" s="264"/>
      <c r="F130" s="264"/>
      <c r="G130" s="264"/>
      <c r="H130" s="264"/>
      <c r="I130" s="264"/>
      <c r="J130" s="264"/>
      <c r="K130" s="264"/>
      <c r="L130" t="str">
        <f t="shared" si="4"/>
        <v>Art Dept Prod Supplies</v>
      </c>
      <c r="P130" t="str">
        <f t="shared" ref="P130:P186" si="5">A130&amp;" "&amp;C130</f>
        <v>183 Art Dept Prod Supplies</v>
      </c>
    </row>
    <row r="131" spans="1:16" x14ac:dyDescent="0.2">
      <c r="A131" s="1017">
        <v>184</v>
      </c>
      <c r="B131" s="1018"/>
      <c r="C131" s="264" t="s">
        <v>62</v>
      </c>
      <c r="D131" s="264"/>
      <c r="E131" s="264"/>
      <c r="F131" s="264"/>
      <c r="G131" s="264"/>
      <c r="H131" s="264"/>
      <c r="I131" s="264"/>
      <c r="J131" s="264"/>
      <c r="K131" s="264"/>
      <c r="L131" t="str">
        <f t="shared" si="4"/>
        <v>Art Dept Kit Rental</v>
      </c>
      <c r="P131" t="str">
        <f t="shared" si="5"/>
        <v>184 Art Dept Kit Rental</v>
      </c>
    </row>
    <row r="132" spans="1:16" x14ac:dyDescent="0.2">
      <c r="A132" s="1017">
        <v>185</v>
      </c>
      <c r="B132" s="1018"/>
      <c r="C132" s="264" t="s">
        <v>124</v>
      </c>
      <c r="D132" s="264"/>
      <c r="E132" s="264"/>
      <c r="F132" s="264"/>
      <c r="G132" s="264"/>
      <c r="H132" s="264"/>
      <c r="I132" s="264"/>
      <c r="J132" s="264"/>
      <c r="K132" s="264"/>
      <c r="L132" t="str">
        <f t="shared" si="4"/>
        <v>Special Effects Rental</v>
      </c>
      <c r="P132" t="str">
        <f t="shared" si="5"/>
        <v>185 Special Effects Rental</v>
      </c>
    </row>
    <row r="133" spans="1:16" x14ac:dyDescent="0.2">
      <c r="A133" s="1017">
        <v>186</v>
      </c>
      <c r="B133" s="1018"/>
      <c r="C133" s="264" t="s">
        <v>63</v>
      </c>
      <c r="D133" s="264"/>
      <c r="E133" s="264"/>
      <c r="F133" s="264"/>
      <c r="G133" s="264"/>
      <c r="H133" s="264"/>
      <c r="I133" s="264"/>
      <c r="J133" s="264"/>
      <c r="K133" s="264"/>
      <c r="L133" t="str">
        <f t="shared" si="4"/>
        <v>Art Dept Trucking</v>
      </c>
      <c r="P133" t="str">
        <f t="shared" si="5"/>
        <v>186 Art Dept Trucking</v>
      </c>
    </row>
    <row r="134" spans="1:16" x14ac:dyDescent="0.2">
      <c r="A134" s="1017">
        <v>187</v>
      </c>
      <c r="B134" s="1018"/>
      <c r="C134" s="264" t="s">
        <v>59</v>
      </c>
      <c r="D134" s="264"/>
      <c r="E134" s="264"/>
      <c r="F134" s="264"/>
      <c r="G134" s="264"/>
      <c r="H134" s="264"/>
      <c r="I134" s="264"/>
      <c r="J134" s="264"/>
      <c r="K134" s="264"/>
      <c r="L134" t="str">
        <f t="shared" si="4"/>
        <v>Outside Construction</v>
      </c>
      <c r="P134" t="str">
        <f t="shared" si="5"/>
        <v>187 Outside Construction</v>
      </c>
    </row>
    <row r="135" spans="1:16" x14ac:dyDescent="0.2">
      <c r="A135" s="1017">
        <v>188</v>
      </c>
      <c r="B135" s="1018"/>
      <c r="C135" s="264" t="s">
        <v>57</v>
      </c>
      <c r="D135" s="264"/>
      <c r="E135" s="264"/>
      <c r="F135" s="264"/>
      <c r="G135" s="264"/>
      <c r="H135" s="264"/>
      <c r="I135" s="264"/>
      <c r="J135" s="264"/>
      <c r="K135" s="264"/>
      <c r="L135" t="str">
        <f t="shared" si="4"/>
        <v>Car Prep</v>
      </c>
      <c r="P135" t="str">
        <f t="shared" si="5"/>
        <v>188 Car Prep</v>
      </c>
    </row>
    <row r="136" spans="1:16" x14ac:dyDescent="0.2">
      <c r="A136" s="1017">
        <v>189</v>
      </c>
      <c r="B136" s="1018"/>
      <c r="C136" s="264" t="s">
        <v>227</v>
      </c>
      <c r="D136" s="264"/>
      <c r="E136" s="264"/>
      <c r="F136" s="264"/>
      <c r="G136" s="264"/>
      <c r="H136" s="264"/>
      <c r="I136" s="264"/>
      <c r="J136" s="264"/>
      <c r="K136" s="264"/>
      <c r="L136" t="str">
        <f t="shared" si="4"/>
        <v>Art Dept Meals</v>
      </c>
      <c r="P136" t="str">
        <f t="shared" si="5"/>
        <v>189 Art Dept Meals</v>
      </c>
    </row>
    <row r="137" spans="1:16" x14ac:dyDescent="0.2">
      <c r="A137" s="1017">
        <v>190</v>
      </c>
      <c r="B137" s="1018"/>
      <c r="C137" s="264" t="s">
        <v>61</v>
      </c>
      <c r="D137" s="264"/>
      <c r="E137" s="264"/>
      <c r="F137" s="264"/>
      <c r="G137" s="264"/>
      <c r="H137" s="264"/>
      <c r="I137" s="264"/>
      <c r="J137" s="264"/>
      <c r="K137" s="264"/>
      <c r="L137" t="str">
        <f t="shared" si="4"/>
        <v>Messengers/Deliveries</v>
      </c>
      <c r="P137" t="str">
        <f t="shared" si="5"/>
        <v>190 Messengers/Deliveries</v>
      </c>
    </row>
    <row r="138" spans="1:16" x14ac:dyDescent="0.2">
      <c r="A138" s="1015">
        <v>193</v>
      </c>
      <c r="B138" s="1016"/>
      <c r="C138" s="264" t="s">
        <v>64</v>
      </c>
      <c r="D138" s="264"/>
      <c r="E138" s="264"/>
      <c r="F138" s="264"/>
      <c r="G138" s="264"/>
      <c r="H138" s="264"/>
      <c r="I138" s="264"/>
      <c r="J138" s="264"/>
      <c r="K138" s="264"/>
      <c r="L138" t="str">
        <f t="shared" si="4"/>
        <v>Camera Rental</v>
      </c>
      <c r="P138" t="str">
        <f t="shared" si="5"/>
        <v>193 Camera Rental</v>
      </c>
    </row>
    <row r="139" spans="1:16" x14ac:dyDescent="0.2">
      <c r="A139" s="1015">
        <v>194</v>
      </c>
      <c r="B139" s="1016"/>
      <c r="C139" s="264" t="s">
        <v>65</v>
      </c>
      <c r="D139" s="264"/>
      <c r="E139" s="264"/>
      <c r="F139" s="264"/>
      <c r="G139" s="264"/>
      <c r="H139" s="264"/>
      <c r="I139" s="264"/>
      <c r="J139" s="264"/>
      <c r="K139" s="264"/>
      <c r="L139" t="str">
        <f t="shared" si="4"/>
        <v>Sound Rental</v>
      </c>
      <c r="P139" t="str">
        <f t="shared" si="5"/>
        <v>194 Sound Rental</v>
      </c>
    </row>
    <row r="140" spans="1:16" x14ac:dyDescent="0.2">
      <c r="A140" s="1015">
        <v>195</v>
      </c>
      <c r="B140" s="1016"/>
      <c r="C140" s="264" t="s">
        <v>66</v>
      </c>
      <c r="D140" s="264"/>
      <c r="E140" s="264"/>
      <c r="F140" s="264"/>
      <c r="G140" s="264"/>
      <c r="H140" s="264"/>
      <c r="I140" s="264"/>
      <c r="J140" s="264"/>
      <c r="K140" s="264"/>
      <c r="L140" t="str">
        <f t="shared" si="4"/>
        <v>Lighting Rental</v>
      </c>
      <c r="P140" t="str">
        <f t="shared" si="5"/>
        <v>195 Lighting Rental</v>
      </c>
    </row>
    <row r="141" spans="1:16" x14ac:dyDescent="0.2">
      <c r="A141" s="1015">
        <v>196</v>
      </c>
      <c r="B141" s="1016"/>
      <c r="C141" s="264" t="s">
        <v>67</v>
      </c>
      <c r="D141" s="264"/>
      <c r="E141" s="264"/>
      <c r="F141" s="264"/>
      <c r="G141" s="264"/>
      <c r="H141" s="264"/>
      <c r="I141" s="264"/>
      <c r="J141" s="264"/>
      <c r="K141" s="264"/>
      <c r="L141" t="str">
        <f t="shared" si="4"/>
        <v>Grip Rental</v>
      </c>
      <c r="P141" t="str">
        <f t="shared" si="5"/>
        <v>196 Grip Rental</v>
      </c>
    </row>
    <row r="142" spans="1:16" x14ac:dyDescent="0.2">
      <c r="A142" s="1015">
        <v>197</v>
      </c>
      <c r="B142" s="1016"/>
      <c r="C142" s="264" t="s">
        <v>68</v>
      </c>
      <c r="D142" s="264"/>
      <c r="E142" s="264"/>
      <c r="F142" s="264"/>
      <c r="G142" s="264"/>
      <c r="H142" s="264"/>
      <c r="I142" s="264"/>
      <c r="J142" s="264"/>
      <c r="K142" s="264"/>
      <c r="L142" t="str">
        <f t="shared" si="4"/>
        <v>Generator Rental</v>
      </c>
      <c r="P142" t="str">
        <f t="shared" si="5"/>
        <v>197 Generator Rental</v>
      </c>
    </row>
    <row r="143" spans="1:16" x14ac:dyDescent="0.2">
      <c r="A143" s="1015">
        <v>198</v>
      </c>
      <c r="B143" s="1016"/>
      <c r="C143" s="264" t="s">
        <v>69</v>
      </c>
      <c r="D143" s="264"/>
      <c r="E143" s="264"/>
      <c r="F143" s="264"/>
      <c r="G143" s="264"/>
      <c r="H143" s="264"/>
      <c r="I143" s="264"/>
      <c r="J143" s="264"/>
      <c r="K143" s="264"/>
      <c r="L143" t="str">
        <f t="shared" si="4"/>
        <v>Crane Rental</v>
      </c>
      <c r="P143" t="str">
        <f t="shared" si="5"/>
        <v>198 Crane Rental</v>
      </c>
    </row>
    <row r="144" spans="1:16" x14ac:dyDescent="0.2">
      <c r="A144" s="1015">
        <v>199</v>
      </c>
      <c r="B144" s="1016"/>
      <c r="C144" s="264" t="s">
        <v>70</v>
      </c>
      <c r="D144" s="264"/>
      <c r="E144" s="264"/>
      <c r="F144" s="264"/>
      <c r="G144" s="264"/>
      <c r="H144" s="264"/>
      <c r="I144" s="264"/>
      <c r="J144" s="264"/>
      <c r="K144" s="264"/>
      <c r="L144" t="str">
        <f t="shared" si="4"/>
        <v>VTR Rental</v>
      </c>
      <c r="P144" t="str">
        <f t="shared" si="5"/>
        <v>199 VTR Rental</v>
      </c>
    </row>
    <row r="145" spans="1:16" x14ac:dyDescent="0.2">
      <c r="A145" s="1015">
        <v>200</v>
      </c>
      <c r="B145" s="1016"/>
      <c r="C145" s="264" t="s">
        <v>71</v>
      </c>
      <c r="D145" s="264"/>
      <c r="E145" s="264"/>
      <c r="F145" s="264"/>
      <c r="G145" s="264"/>
      <c r="H145" s="264"/>
      <c r="I145" s="264"/>
      <c r="J145" s="264"/>
      <c r="K145" s="264"/>
      <c r="L145" t="str">
        <f t="shared" si="4"/>
        <v>Walkie Talkie Rental</v>
      </c>
      <c r="P145" t="str">
        <f t="shared" si="5"/>
        <v>200 Walkie Talkie Rental</v>
      </c>
    </row>
    <row r="146" spans="1:16" x14ac:dyDescent="0.2">
      <c r="A146" s="1015">
        <v>201</v>
      </c>
      <c r="B146" s="1016"/>
      <c r="C146" s="264" t="s">
        <v>72</v>
      </c>
      <c r="D146" s="264"/>
      <c r="E146" s="264"/>
      <c r="F146" s="264"/>
      <c r="G146" s="264"/>
      <c r="H146" s="264"/>
      <c r="I146" s="264"/>
      <c r="J146" s="264"/>
      <c r="K146" s="264"/>
      <c r="L146" t="str">
        <f t="shared" si="4"/>
        <v>Dolly Rental</v>
      </c>
      <c r="P146" t="str">
        <f t="shared" si="5"/>
        <v>201 Dolly Rental</v>
      </c>
    </row>
    <row r="147" spans="1:16" x14ac:dyDescent="0.2">
      <c r="A147" s="1015">
        <v>202</v>
      </c>
      <c r="B147" s="1016"/>
      <c r="C147" s="264" t="s">
        <v>316</v>
      </c>
      <c r="D147" s="264"/>
      <c r="E147" s="264"/>
      <c r="F147" s="264"/>
      <c r="G147" s="264"/>
      <c r="H147" s="264"/>
      <c r="I147" s="264"/>
      <c r="J147" s="264"/>
      <c r="K147" s="264"/>
      <c r="L147" t="str">
        <f t="shared" si="4"/>
        <v>SteadiCam</v>
      </c>
      <c r="P147" t="str">
        <f t="shared" si="5"/>
        <v>202 SteadiCam</v>
      </c>
    </row>
    <row r="148" spans="1:16" x14ac:dyDescent="0.2">
      <c r="A148" s="1015">
        <v>203</v>
      </c>
      <c r="B148" s="1016"/>
      <c r="C148" s="264" t="s">
        <v>317</v>
      </c>
      <c r="D148" s="264"/>
      <c r="E148" s="264"/>
      <c r="F148" s="264"/>
      <c r="G148" s="264"/>
      <c r="H148" s="264"/>
      <c r="I148" s="264"/>
      <c r="J148" s="264"/>
      <c r="K148" s="264"/>
      <c r="L148" t="str">
        <f t="shared" si="4"/>
        <v>Helicopter</v>
      </c>
      <c r="P148" t="str">
        <f t="shared" si="5"/>
        <v>203 Helicopter</v>
      </c>
    </row>
    <row r="149" spans="1:16" x14ac:dyDescent="0.2">
      <c r="A149" s="1015">
        <v>204</v>
      </c>
      <c r="B149" s="1016"/>
      <c r="C149" s="264" t="s">
        <v>73</v>
      </c>
      <c r="D149" s="264"/>
      <c r="E149" s="264"/>
      <c r="F149" s="264"/>
      <c r="G149" s="264"/>
      <c r="H149" s="264"/>
      <c r="I149" s="264"/>
      <c r="J149" s="264"/>
      <c r="K149" s="264"/>
      <c r="L149" t="str">
        <f t="shared" si="4"/>
        <v>Production Supplies</v>
      </c>
      <c r="P149" t="str">
        <f t="shared" si="5"/>
        <v>204 Production Supplies</v>
      </c>
    </row>
    <row r="150" spans="1:16" x14ac:dyDescent="0.2">
      <c r="A150" s="1015">
        <v>205</v>
      </c>
      <c r="B150" s="1016"/>
      <c r="C150" s="264" t="s">
        <v>48</v>
      </c>
      <c r="D150" s="264"/>
      <c r="E150" s="264"/>
      <c r="F150" s="264"/>
      <c r="G150" s="264"/>
      <c r="H150" s="264"/>
      <c r="I150" s="264"/>
      <c r="J150" s="264"/>
      <c r="K150" s="264"/>
      <c r="L150" t="str">
        <f t="shared" si="4"/>
        <v>Condor/Scissor Lift</v>
      </c>
      <c r="P150" t="str">
        <f t="shared" si="5"/>
        <v>205 Condor/Scissor Lift</v>
      </c>
    </row>
    <row r="151" spans="1:16" x14ac:dyDescent="0.2">
      <c r="A151" s="1015">
        <v>206</v>
      </c>
      <c r="B151" s="1016"/>
      <c r="C151" s="264" t="s">
        <v>318</v>
      </c>
      <c r="D151" s="264"/>
      <c r="E151" s="264"/>
      <c r="F151" s="264"/>
      <c r="G151" s="264"/>
      <c r="H151" s="264"/>
      <c r="I151" s="264"/>
      <c r="J151" s="264"/>
      <c r="K151" s="264"/>
      <c r="L151" t="str">
        <f t="shared" si="4"/>
        <v>Crane Head</v>
      </c>
      <c r="P151" t="str">
        <f t="shared" si="5"/>
        <v>206 Crane Head</v>
      </c>
    </row>
    <row r="152" spans="1:16" x14ac:dyDescent="0.2">
      <c r="A152" s="1015">
        <v>207</v>
      </c>
      <c r="B152" s="1016"/>
      <c r="C152" s="264" t="s">
        <v>319</v>
      </c>
      <c r="D152" s="264"/>
      <c r="E152" s="264"/>
      <c r="F152" s="264"/>
      <c r="G152" s="264"/>
      <c r="H152" s="264"/>
      <c r="I152" s="264"/>
      <c r="J152" s="264"/>
      <c r="K152" s="264"/>
      <c r="L152" t="str">
        <f t="shared" si="4"/>
        <v>Camera Car</v>
      </c>
      <c r="P152" t="str">
        <f t="shared" si="5"/>
        <v>207 Camera Car</v>
      </c>
    </row>
    <row r="153" spans="1:16" x14ac:dyDescent="0.2">
      <c r="A153" s="1015">
        <v>208</v>
      </c>
      <c r="B153" s="1016"/>
      <c r="C153" s="264" t="s">
        <v>74</v>
      </c>
      <c r="D153" s="264"/>
      <c r="E153" s="264"/>
      <c r="F153" s="264"/>
      <c r="G153" s="264"/>
      <c r="H153" s="264"/>
      <c r="I153" s="264"/>
      <c r="J153" s="264"/>
      <c r="K153" s="264"/>
      <c r="L153" t="str">
        <f t="shared" si="4"/>
        <v>Expendables</v>
      </c>
      <c r="P153" t="str">
        <f t="shared" si="5"/>
        <v>208 Expendables</v>
      </c>
    </row>
    <row r="154" spans="1:16" x14ac:dyDescent="0.2">
      <c r="A154" s="1015">
        <v>209</v>
      </c>
      <c r="B154" s="1016"/>
      <c r="C154" s="264" t="s">
        <v>75</v>
      </c>
      <c r="D154" s="264"/>
      <c r="E154" s="264"/>
      <c r="F154" s="264"/>
      <c r="G154" s="264"/>
      <c r="H154" s="264"/>
      <c r="I154" s="264"/>
      <c r="J154" s="264"/>
      <c r="K154" s="264"/>
      <c r="L154" t="str">
        <f t="shared" si="4"/>
        <v>Lenses</v>
      </c>
      <c r="P154" t="str">
        <f t="shared" si="5"/>
        <v>209 Lenses</v>
      </c>
    </row>
    <row r="155" spans="1:16" x14ac:dyDescent="0.2">
      <c r="A155" s="1015">
        <v>210</v>
      </c>
      <c r="B155" s="1016"/>
      <c r="C155" s="264" t="s">
        <v>320</v>
      </c>
      <c r="D155" s="264"/>
      <c r="E155" s="264"/>
      <c r="F155" s="264"/>
      <c r="G155" s="264"/>
      <c r="H155" s="264"/>
      <c r="I155" s="264"/>
      <c r="J155" s="264"/>
      <c r="K155" s="264"/>
      <c r="L155" t="str">
        <f t="shared" si="4"/>
        <v>Cinedrives</v>
      </c>
      <c r="P155" t="str">
        <f t="shared" si="5"/>
        <v>210 Cinedrives</v>
      </c>
    </row>
    <row r="156" spans="1:16" x14ac:dyDescent="0.2">
      <c r="A156" s="1015">
        <v>211</v>
      </c>
      <c r="B156" s="1016"/>
      <c r="C156" s="264" t="s">
        <v>426</v>
      </c>
      <c r="D156" s="264"/>
      <c r="E156" s="264"/>
      <c r="F156" s="264"/>
      <c r="G156" s="264"/>
      <c r="H156" s="264"/>
      <c r="I156" s="264"/>
      <c r="J156" s="264"/>
      <c r="K156" s="264"/>
      <c r="L156" t="str">
        <f t="shared" si="4"/>
        <v>Media / Drives</v>
      </c>
      <c r="P156" t="str">
        <f t="shared" si="5"/>
        <v>211 Media / Drives</v>
      </c>
    </row>
    <row r="157" spans="1:16" x14ac:dyDescent="0.2">
      <c r="A157" s="1015">
        <v>212</v>
      </c>
      <c r="B157" s="1016"/>
      <c r="C157" s="264" t="s">
        <v>76</v>
      </c>
      <c r="D157" s="264"/>
      <c r="E157" s="264"/>
      <c r="F157" s="264"/>
      <c r="G157" s="264"/>
      <c r="H157" s="264"/>
      <c r="I157" s="264"/>
      <c r="J157" s="264"/>
      <c r="K157" s="264"/>
      <c r="L157" t="str">
        <f t="shared" si="4"/>
        <v>Film</v>
      </c>
      <c r="P157" t="str">
        <f t="shared" si="5"/>
        <v>212 Film</v>
      </c>
    </row>
    <row r="158" spans="1:16" x14ac:dyDescent="0.2">
      <c r="A158" s="1015">
        <v>213</v>
      </c>
      <c r="B158" s="1016"/>
      <c r="C158" s="264" t="s">
        <v>125</v>
      </c>
      <c r="D158" s="264"/>
      <c r="E158" s="264"/>
      <c r="F158" s="264"/>
      <c r="G158" s="264"/>
      <c r="H158" s="264"/>
      <c r="I158" s="264"/>
      <c r="J158" s="264"/>
      <c r="K158" s="264"/>
      <c r="L158" t="str">
        <f t="shared" si="4"/>
        <v>Transcode / Transfer</v>
      </c>
      <c r="P158" t="str">
        <f t="shared" si="5"/>
        <v>213 Transcode / Transfer</v>
      </c>
    </row>
    <row r="159" spans="1:16" x14ac:dyDescent="0.2">
      <c r="A159" s="1015">
        <v>214</v>
      </c>
      <c r="B159" s="1016"/>
      <c r="C159" s="264" t="s">
        <v>126</v>
      </c>
      <c r="D159" s="264"/>
      <c r="E159" s="264"/>
      <c r="F159" s="264"/>
      <c r="G159" s="264"/>
      <c r="H159" s="264"/>
      <c r="I159" s="264"/>
      <c r="J159" s="264"/>
      <c r="K159" s="264"/>
      <c r="L159" t="str">
        <f t="shared" si="4"/>
        <v>Process</v>
      </c>
      <c r="P159" t="str">
        <f t="shared" si="5"/>
        <v>214 Process</v>
      </c>
    </row>
    <row r="160" spans="1:16" x14ac:dyDescent="0.2">
      <c r="A160" s="1015">
        <v>215</v>
      </c>
      <c r="B160" s="1016"/>
      <c r="C160" s="264" t="s">
        <v>228</v>
      </c>
      <c r="D160" s="264"/>
      <c r="E160" s="264"/>
      <c r="F160" s="264"/>
      <c r="G160" s="264"/>
      <c r="H160" s="264"/>
      <c r="I160" s="264"/>
      <c r="J160" s="264"/>
      <c r="K160" s="264"/>
      <c r="L160" t="str">
        <f t="shared" si="4"/>
        <v xml:space="preserve">Dailies </v>
      </c>
      <c r="P160" t="str">
        <f t="shared" si="5"/>
        <v xml:space="preserve">215 Dailies </v>
      </c>
    </row>
    <row r="161" spans="1:16" x14ac:dyDescent="0.2">
      <c r="A161" s="1015">
        <v>217</v>
      </c>
      <c r="B161" s="1016"/>
      <c r="C161" s="264" t="s">
        <v>77</v>
      </c>
      <c r="D161" s="264"/>
      <c r="E161" s="264"/>
      <c r="F161" s="264"/>
      <c r="G161" s="264"/>
      <c r="H161" s="264"/>
      <c r="I161" s="264"/>
      <c r="J161" s="264"/>
      <c r="K161" s="264"/>
      <c r="L161" t="str">
        <f t="shared" si="4"/>
        <v xml:space="preserve">Petty Cash </v>
      </c>
      <c r="P161" t="str">
        <f t="shared" si="5"/>
        <v xml:space="preserve">217 Petty Cash </v>
      </c>
    </row>
    <row r="162" spans="1:16" x14ac:dyDescent="0.2">
      <c r="A162" s="1015">
        <v>218</v>
      </c>
      <c r="B162" s="1016"/>
      <c r="C162" s="264" t="s">
        <v>78</v>
      </c>
      <c r="D162" s="264"/>
      <c r="E162" s="264"/>
      <c r="F162" s="264"/>
      <c r="G162" s="264"/>
      <c r="H162" s="264"/>
      <c r="I162" s="264"/>
      <c r="J162" s="264"/>
      <c r="K162" s="264"/>
      <c r="L162" t="str">
        <f t="shared" si="4"/>
        <v>Air Shipping and Carriers</v>
      </c>
      <c r="P162" t="str">
        <f t="shared" si="5"/>
        <v>218 Air Shipping and Carriers</v>
      </c>
    </row>
    <row r="163" spans="1:16" x14ac:dyDescent="0.2">
      <c r="A163" s="1015">
        <v>219</v>
      </c>
      <c r="B163" s="1016"/>
      <c r="C163" s="264" t="s">
        <v>79</v>
      </c>
      <c r="D163" s="264"/>
      <c r="E163" s="264"/>
      <c r="F163" s="264"/>
      <c r="G163" s="264"/>
      <c r="H163" s="264"/>
      <c r="I163" s="264"/>
      <c r="J163" s="264"/>
      <c r="K163" s="264"/>
      <c r="L163" t="str">
        <f t="shared" si="4"/>
        <v>Phones and Cables</v>
      </c>
      <c r="P163" t="str">
        <f t="shared" si="5"/>
        <v>219 Phones and Cables</v>
      </c>
    </row>
    <row r="164" spans="1:16" x14ac:dyDescent="0.2">
      <c r="A164" s="1015">
        <v>220</v>
      </c>
      <c r="B164" s="1016"/>
      <c r="C164" s="264" t="s">
        <v>80</v>
      </c>
      <c r="D164" s="264"/>
      <c r="E164" s="264"/>
      <c r="F164" s="264"/>
      <c r="G164" s="264"/>
      <c r="H164" s="264"/>
      <c r="I164" s="264"/>
      <c r="J164" s="264"/>
      <c r="K164" s="264"/>
      <c r="L164" t="str">
        <f t="shared" si="4"/>
        <v>Cash Under $15 Each</v>
      </c>
      <c r="P164" t="str">
        <f t="shared" si="5"/>
        <v>220 Cash Under $15 Each</v>
      </c>
    </row>
    <row r="165" spans="1:16" x14ac:dyDescent="0.2">
      <c r="A165" s="1015">
        <v>221</v>
      </c>
      <c r="B165" s="1016"/>
      <c r="C165" s="264" t="s">
        <v>81</v>
      </c>
      <c r="D165" s="264"/>
      <c r="E165" s="264"/>
      <c r="F165" s="264"/>
      <c r="G165" s="264"/>
      <c r="H165" s="264"/>
      <c r="I165" s="264"/>
      <c r="J165" s="264"/>
      <c r="K165" s="264"/>
      <c r="L165" t="str">
        <f t="shared" si="4"/>
        <v xml:space="preserve">External Billing Costs                                               </v>
      </c>
      <c r="P165" t="str">
        <f t="shared" si="5"/>
        <v xml:space="preserve">221 External Billing Costs                                               </v>
      </c>
    </row>
    <row r="166" spans="1:16" x14ac:dyDescent="0.2">
      <c r="A166" s="1015">
        <v>222</v>
      </c>
      <c r="B166" s="1016"/>
      <c r="C166" s="264" t="s">
        <v>82</v>
      </c>
      <c r="D166" s="264"/>
      <c r="E166" s="264"/>
      <c r="F166" s="264"/>
      <c r="G166" s="264"/>
      <c r="H166" s="264"/>
      <c r="I166" s="264"/>
      <c r="J166" s="264"/>
      <c r="K166" s="264"/>
      <c r="L166" t="str">
        <f t="shared" si="4"/>
        <v>Special Insurance</v>
      </c>
      <c r="P166" t="str">
        <f t="shared" si="5"/>
        <v>222 Special Insurance</v>
      </c>
    </row>
    <row r="167" spans="1:16" x14ac:dyDescent="0.2">
      <c r="A167" s="1015">
        <v>223</v>
      </c>
      <c r="B167" s="1016"/>
      <c r="C167" s="264" t="s">
        <v>83</v>
      </c>
      <c r="D167" s="264"/>
      <c r="E167" s="264"/>
      <c r="F167" s="264"/>
      <c r="G167" s="264"/>
      <c r="H167" s="264"/>
      <c r="I167" s="264"/>
      <c r="J167" s="264"/>
      <c r="K167" s="264"/>
      <c r="L167" t="str">
        <f t="shared" si="4"/>
        <v>Cell Phones</v>
      </c>
      <c r="P167" t="str">
        <f t="shared" si="5"/>
        <v>223 Cell Phones</v>
      </c>
    </row>
    <row r="168" spans="1:16" x14ac:dyDescent="0.2">
      <c r="A168" s="1015">
        <v>224</v>
      </c>
      <c r="B168" s="1016"/>
      <c r="C168" s="264" t="s">
        <v>364</v>
      </c>
      <c r="D168" s="264"/>
      <c r="E168" s="264"/>
      <c r="F168" s="264"/>
      <c r="G168" s="264"/>
      <c r="H168" s="264"/>
      <c r="I168" s="264"/>
      <c r="J168" s="264"/>
      <c r="K168" s="264"/>
      <c r="L168" t="str">
        <f t="shared" si="4"/>
        <v>Foreign Production Service Co</v>
      </c>
      <c r="P168" t="str">
        <f t="shared" si="5"/>
        <v>224 Foreign Production Service Co</v>
      </c>
    </row>
    <row r="169" spans="1:16" x14ac:dyDescent="0.2">
      <c r="A169" s="1015">
        <v>227</v>
      </c>
      <c r="B169" s="1016"/>
      <c r="C169" s="264" t="s">
        <v>85</v>
      </c>
      <c r="D169" s="264"/>
      <c r="E169" s="264"/>
      <c r="F169" s="264"/>
      <c r="G169" s="264"/>
      <c r="H169" s="264"/>
      <c r="I169" s="264"/>
      <c r="J169" s="264"/>
      <c r="K169" s="264"/>
      <c r="L169" t="str">
        <f t="shared" si="4"/>
        <v>Director Prep</v>
      </c>
      <c r="P169" t="str">
        <f t="shared" si="5"/>
        <v>227 Director Prep</v>
      </c>
    </row>
    <row r="170" spans="1:16" x14ac:dyDescent="0.2">
      <c r="A170" s="1015">
        <v>228</v>
      </c>
      <c r="B170" s="1016"/>
      <c r="C170" s="264" t="s">
        <v>86</v>
      </c>
      <c r="D170" s="264"/>
      <c r="E170" s="264"/>
      <c r="F170" s="264"/>
      <c r="G170" s="264"/>
      <c r="H170" s="264"/>
      <c r="I170" s="264"/>
      <c r="J170" s="264"/>
      <c r="K170" s="264"/>
      <c r="L170" t="str">
        <f t="shared" si="4"/>
        <v>Director Travel</v>
      </c>
      <c r="P170" t="str">
        <f t="shared" si="5"/>
        <v>228 Director Travel</v>
      </c>
    </row>
    <row r="171" spans="1:16" x14ac:dyDescent="0.2">
      <c r="A171" s="1015">
        <v>229</v>
      </c>
      <c r="B171" s="1016"/>
      <c r="C171" s="264" t="s">
        <v>87</v>
      </c>
      <c r="D171" s="264"/>
      <c r="E171" s="264"/>
      <c r="F171" s="264"/>
      <c r="G171" s="264"/>
      <c r="H171" s="264"/>
      <c r="I171" s="264"/>
      <c r="J171" s="264"/>
      <c r="K171" s="264"/>
      <c r="L171" t="str">
        <f t="shared" si="4"/>
        <v>Director Shoot</v>
      </c>
      <c r="P171" t="str">
        <f t="shared" si="5"/>
        <v>229 Director Shoot</v>
      </c>
    </row>
    <row r="172" spans="1:16" x14ac:dyDescent="0.2">
      <c r="A172" s="1015">
        <v>230</v>
      </c>
      <c r="B172" s="1016"/>
      <c r="C172" s="264" t="s">
        <v>88</v>
      </c>
      <c r="D172" s="264"/>
      <c r="E172" s="264"/>
      <c r="F172" s="264"/>
      <c r="G172" s="264"/>
      <c r="H172" s="264"/>
      <c r="I172" s="264"/>
      <c r="J172" s="264"/>
      <c r="K172" s="264"/>
      <c r="L172" t="str">
        <f t="shared" si="4"/>
        <v>Director Post</v>
      </c>
      <c r="P172" t="str">
        <f t="shared" si="5"/>
        <v>230 Director Post</v>
      </c>
    </row>
    <row r="173" spans="1:16" x14ac:dyDescent="0.2">
      <c r="A173" s="1015">
        <v>231</v>
      </c>
      <c r="B173" s="1016"/>
      <c r="C173" s="264" t="s">
        <v>89</v>
      </c>
      <c r="D173" s="264"/>
      <c r="E173" s="264"/>
      <c r="F173" s="264"/>
      <c r="G173" s="264"/>
      <c r="H173" s="264"/>
      <c r="I173" s="264"/>
      <c r="J173" s="264"/>
      <c r="K173" s="264"/>
      <c r="L173" t="str">
        <f t="shared" si="4"/>
        <v>Fringes</v>
      </c>
      <c r="P173" t="str">
        <f t="shared" si="5"/>
        <v>231 Fringes</v>
      </c>
    </row>
    <row r="174" spans="1:16" x14ac:dyDescent="0.2">
      <c r="A174" s="1017">
        <v>234</v>
      </c>
      <c r="B174" s="1018"/>
      <c r="C174" s="264" t="s">
        <v>308</v>
      </c>
      <c r="D174" s="264"/>
      <c r="E174" s="264"/>
      <c r="F174" s="264"/>
      <c r="G174" s="264"/>
      <c r="H174" s="264"/>
      <c r="I174" s="264"/>
      <c r="J174" s="264"/>
      <c r="K174" s="264"/>
      <c r="L174" t="str">
        <f t="shared" si="4"/>
        <v>O/C Principals</v>
      </c>
      <c r="P174" t="str">
        <f t="shared" si="5"/>
        <v>234 O/C Principals</v>
      </c>
    </row>
    <row r="175" spans="1:16" x14ac:dyDescent="0.2">
      <c r="A175" s="1017">
        <v>247</v>
      </c>
      <c r="B175" s="1018"/>
      <c r="C175" s="264" t="s">
        <v>311</v>
      </c>
      <c r="D175" s="264"/>
      <c r="E175" s="264"/>
      <c r="F175" s="264"/>
      <c r="G175" s="264"/>
      <c r="H175" s="264"/>
      <c r="I175" s="264"/>
      <c r="J175" s="264"/>
      <c r="K175" s="264"/>
      <c r="L175" t="str">
        <f t="shared" si="4"/>
        <v>General Extras</v>
      </c>
      <c r="P175" t="str">
        <f t="shared" si="5"/>
        <v>247 General Extras</v>
      </c>
    </row>
    <row r="176" spans="1:16" x14ac:dyDescent="0.2">
      <c r="A176" s="1017">
        <v>255</v>
      </c>
      <c r="B176" s="1018"/>
      <c r="C176" s="264" t="s">
        <v>312</v>
      </c>
      <c r="D176" s="264"/>
      <c r="E176" s="264"/>
      <c r="F176" s="264"/>
      <c r="G176" s="264"/>
      <c r="H176" s="264"/>
      <c r="I176" s="264"/>
      <c r="J176" s="264"/>
      <c r="K176" s="264"/>
      <c r="L176" t="str">
        <f t="shared" si="4"/>
        <v>Hand Models</v>
      </c>
      <c r="P176" t="str">
        <f t="shared" si="5"/>
        <v>255 Hand Models</v>
      </c>
    </row>
    <row r="177" spans="1:16" x14ac:dyDescent="0.2">
      <c r="A177" s="1017">
        <v>258</v>
      </c>
      <c r="B177" s="1018"/>
      <c r="C177" s="264" t="s">
        <v>313</v>
      </c>
      <c r="D177" s="264"/>
      <c r="E177" s="264"/>
      <c r="F177" s="264"/>
      <c r="G177" s="264"/>
      <c r="H177" s="264"/>
      <c r="I177" s="264"/>
      <c r="J177" s="264"/>
      <c r="K177" s="264"/>
      <c r="L177" t="str">
        <f t="shared" si="4"/>
        <v>Voice Over</v>
      </c>
      <c r="P177" t="str">
        <f t="shared" si="5"/>
        <v>258 Voice Over</v>
      </c>
    </row>
    <row r="178" spans="1:16" x14ac:dyDescent="0.2">
      <c r="A178" s="1017">
        <v>259</v>
      </c>
      <c r="B178" s="1018"/>
      <c r="C178" s="264" t="s">
        <v>314</v>
      </c>
      <c r="D178" s="264"/>
      <c r="E178" s="264"/>
      <c r="F178" s="264"/>
      <c r="G178" s="264"/>
      <c r="H178" s="264"/>
      <c r="I178" s="264"/>
      <c r="J178" s="264"/>
      <c r="K178" s="264"/>
      <c r="L178" t="str">
        <f t="shared" si="4"/>
        <v>Fitting Fees</v>
      </c>
      <c r="P178" t="str">
        <f t="shared" si="5"/>
        <v>259 Fitting Fees</v>
      </c>
    </row>
    <row r="179" spans="1:16" x14ac:dyDescent="0.2">
      <c r="A179" s="1017">
        <v>262</v>
      </c>
      <c r="B179" s="1018"/>
      <c r="C179" s="264" t="s">
        <v>315</v>
      </c>
      <c r="D179" s="264"/>
      <c r="E179" s="264"/>
      <c r="F179" s="264"/>
      <c r="G179" s="264"/>
      <c r="H179" s="264"/>
      <c r="I179" s="264"/>
      <c r="J179" s="264"/>
      <c r="K179" s="264"/>
      <c r="L179" t="str">
        <f t="shared" ref="L179:L186" si="6">C179</f>
        <v>Audition Fees</v>
      </c>
      <c r="P179" t="str">
        <f t="shared" si="5"/>
        <v>262 Audition Fees</v>
      </c>
    </row>
    <row r="180" spans="1:16" x14ac:dyDescent="0.2">
      <c r="A180" s="1017">
        <v>266</v>
      </c>
      <c r="B180" s="1018"/>
      <c r="C180" s="264" t="s">
        <v>305</v>
      </c>
      <c r="D180" s="264"/>
      <c r="E180" s="264"/>
      <c r="F180" s="264"/>
      <c r="G180" s="264"/>
      <c r="H180" s="264"/>
      <c r="I180" s="264"/>
      <c r="J180" s="264"/>
      <c r="K180" s="264"/>
      <c r="L180" t="str">
        <f t="shared" si="6"/>
        <v>Talent Agency Fees</v>
      </c>
      <c r="P180" t="str">
        <f t="shared" si="5"/>
        <v>266 Talent Agency Fees</v>
      </c>
    </row>
    <row r="181" spans="1:16" x14ac:dyDescent="0.2">
      <c r="A181" s="1017">
        <v>267</v>
      </c>
      <c r="B181" s="1018"/>
      <c r="C181" s="264" t="s">
        <v>306</v>
      </c>
      <c r="D181" s="264"/>
      <c r="E181" s="264"/>
      <c r="F181" s="264"/>
      <c r="G181" s="264"/>
      <c r="H181" s="264"/>
      <c r="I181" s="264"/>
      <c r="J181" s="264"/>
      <c r="K181" s="264"/>
      <c r="L181" t="str">
        <f t="shared" si="6"/>
        <v>Talent Payroll Service</v>
      </c>
      <c r="P181" t="str">
        <f t="shared" si="5"/>
        <v>267 Talent Payroll Service</v>
      </c>
    </row>
    <row r="182" spans="1:16" x14ac:dyDescent="0.2">
      <c r="A182" s="1017">
        <v>268</v>
      </c>
      <c r="B182" s="1018"/>
      <c r="C182" s="264" t="s">
        <v>307</v>
      </c>
      <c r="D182" s="264"/>
      <c r="E182" s="264"/>
      <c r="F182" s="264"/>
      <c r="G182" s="264"/>
      <c r="H182" s="264"/>
      <c r="I182" s="264"/>
      <c r="J182" s="264"/>
      <c r="K182" s="264"/>
      <c r="L182" t="str">
        <f t="shared" si="6"/>
        <v>Talent Wardrobe Allowance</v>
      </c>
      <c r="P182" t="str">
        <f t="shared" si="5"/>
        <v>268 Talent Wardrobe Allowance</v>
      </c>
    </row>
    <row r="183" spans="1:16" x14ac:dyDescent="0.2">
      <c r="A183" s="1017">
        <v>271</v>
      </c>
      <c r="B183" s="1018"/>
      <c r="C183" s="263" t="s">
        <v>90</v>
      </c>
      <c r="D183" s="263"/>
      <c r="E183" s="263"/>
      <c r="F183" s="263"/>
      <c r="G183" s="263"/>
      <c r="H183" s="263"/>
      <c r="I183" s="263"/>
      <c r="J183" s="263"/>
      <c r="K183" s="263"/>
      <c r="L183" t="str">
        <f t="shared" si="6"/>
        <v>Talent Air Fares</v>
      </c>
      <c r="P183" t="str">
        <f t="shared" si="5"/>
        <v>271 Talent Air Fares</v>
      </c>
    </row>
    <row r="184" spans="1:16" x14ac:dyDescent="0.2">
      <c r="A184" s="1017">
        <v>272</v>
      </c>
      <c r="B184" s="1018"/>
      <c r="C184" s="263" t="s">
        <v>91</v>
      </c>
      <c r="D184" s="263"/>
      <c r="E184" s="263"/>
      <c r="F184" s="263"/>
      <c r="G184" s="263"/>
      <c r="H184" s="263"/>
      <c r="I184" s="263"/>
      <c r="J184" s="263"/>
      <c r="K184" s="263"/>
      <c r="L184" t="str">
        <f t="shared" si="6"/>
        <v>Talent Per Diem</v>
      </c>
      <c r="P184" t="str">
        <f t="shared" si="5"/>
        <v>272 Talent Per Diem</v>
      </c>
    </row>
    <row r="185" spans="1:16" x14ac:dyDescent="0.2">
      <c r="A185" s="1017">
        <v>273</v>
      </c>
      <c r="B185" s="1018"/>
      <c r="C185" s="263" t="s">
        <v>229</v>
      </c>
      <c r="D185" s="263"/>
      <c r="E185" s="263"/>
      <c r="F185" s="263"/>
      <c r="G185" s="263"/>
      <c r="H185" s="263"/>
      <c r="I185" s="263"/>
      <c r="J185" s="263"/>
      <c r="K185" s="263"/>
      <c r="L185" t="str">
        <f t="shared" si="6"/>
        <v>Talent Gd Transportation</v>
      </c>
      <c r="P185" t="str">
        <f t="shared" si="5"/>
        <v>273 Talent Gd Transportation</v>
      </c>
    </row>
    <row r="186" spans="1:16" x14ac:dyDescent="0.2">
      <c r="C186" t="s">
        <v>111</v>
      </c>
      <c r="L186" t="str">
        <f t="shared" si="6"/>
        <v>Travel</v>
      </c>
      <c r="P186" t="str">
        <f t="shared" si="5"/>
        <v xml:space="preserve"> Travel</v>
      </c>
    </row>
    <row r="187" spans="1:16" x14ac:dyDescent="0.2">
      <c r="P187" t="s">
        <v>544</v>
      </c>
    </row>
    <row r="188" spans="1:16" x14ac:dyDescent="0.2">
      <c r="P188" t="s">
        <v>546</v>
      </c>
    </row>
    <row r="189" spans="1:16" x14ac:dyDescent="0.2">
      <c r="P189" t="s">
        <v>548</v>
      </c>
    </row>
    <row r="190" spans="1:16" x14ac:dyDescent="0.2">
      <c r="P190" t="s">
        <v>550</v>
      </c>
    </row>
    <row r="191" spans="1:16" x14ac:dyDescent="0.2">
      <c r="P191" t="s">
        <v>552</v>
      </c>
    </row>
    <row r="192" spans="1:16" x14ac:dyDescent="0.2">
      <c r="P192" t="s">
        <v>554</v>
      </c>
    </row>
    <row r="193" spans="16:16" x14ac:dyDescent="0.2">
      <c r="P193" t="s">
        <v>556</v>
      </c>
    </row>
    <row r="194" spans="16:16" x14ac:dyDescent="0.2">
      <c r="P194" t="s">
        <v>558</v>
      </c>
    </row>
    <row r="195" spans="16:16" x14ac:dyDescent="0.2">
      <c r="P195" t="s">
        <v>560</v>
      </c>
    </row>
    <row r="196" spans="16:16" x14ac:dyDescent="0.2">
      <c r="P196" t="s">
        <v>562</v>
      </c>
    </row>
    <row r="197" spans="16:16" x14ac:dyDescent="0.2">
      <c r="P197" t="s">
        <v>563</v>
      </c>
    </row>
    <row r="198" spans="16:16" x14ac:dyDescent="0.2">
      <c r="P198" t="s">
        <v>564</v>
      </c>
    </row>
    <row r="199" spans="16:16" x14ac:dyDescent="0.2">
      <c r="P199" t="s">
        <v>566</v>
      </c>
    </row>
    <row r="200" spans="16:16" x14ac:dyDescent="0.2">
      <c r="P200" t="s">
        <v>567</v>
      </c>
    </row>
    <row r="201" spans="16:16" x14ac:dyDescent="0.2">
      <c r="P201" t="s">
        <v>569</v>
      </c>
    </row>
    <row r="202" spans="16:16" x14ac:dyDescent="0.2">
      <c r="P202" t="s">
        <v>571</v>
      </c>
    </row>
    <row r="203" spans="16:16" x14ac:dyDescent="0.2">
      <c r="P203" t="s">
        <v>572</v>
      </c>
    </row>
    <row r="204" spans="16:16" x14ac:dyDescent="0.2">
      <c r="P204" t="s">
        <v>573</v>
      </c>
    </row>
    <row r="205" spans="16:16" x14ac:dyDescent="0.2">
      <c r="P205" t="s">
        <v>575</v>
      </c>
    </row>
    <row r="206" spans="16:16" x14ac:dyDescent="0.2">
      <c r="P206" t="s">
        <v>576</v>
      </c>
    </row>
    <row r="207" spans="16:16" x14ac:dyDescent="0.2">
      <c r="P207" t="s">
        <v>577</v>
      </c>
    </row>
    <row r="208" spans="16:16" x14ac:dyDescent="0.2">
      <c r="P208" t="s">
        <v>578</v>
      </c>
    </row>
    <row r="209" spans="16:16" x14ac:dyDescent="0.2">
      <c r="P209" t="s">
        <v>580</v>
      </c>
    </row>
    <row r="210" spans="16:16" x14ac:dyDescent="0.2">
      <c r="P210" t="s">
        <v>581</v>
      </c>
    </row>
    <row r="211" spans="16:16" x14ac:dyDescent="0.2">
      <c r="P211" t="s">
        <v>582</v>
      </c>
    </row>
    <row r="212" spans="16:16" x14ac:dyDescent="0.2">
      <c r="P212" t="s">
        <v>583</v>
      </c>
    </row>
    <row r="213" spans="16:16" x14ac:dyDescent="0.2">
      <c r="P213" t="s">
        <v>584</v>
      </c>
    </row>
    <row r="214" spans="16:16" x14ac:dyDescent="0.2">
      <c r="P214" t="s">
        <v>585</v>
      </c>
    </row>
    <row r="215" spans="16:16" x14ac:dyDescent="0.2">
      <c r="P215" t="s">
        <v>586</v>
      </c>
    </row>
    <row r="216" spans="16:16" x14ac:dyDescent="0.2">
      <c r="P216" t="s">
        <v>587</v>
      </c>
    </row>
    <row r="217" spans="16:16" x14ac:dyDescent="0.2">
      <c r="P217" t="s">
        <v>588</v>
      </c>
    </row>
    <row r="218" spans="16:16" x14ac:dyDescent="0.2">
      <c r="P218" t="s">
        <v>589</v>
      </c>
    </row>
    <row r="219" spans="16:16" x14ac:dyDescent="0.2">
      <c r="P219" t="s">
        <v>591</v>
      </c>
    </row>
    <row r="220" spans="16:16" x14ac:dyDescent="0.2">
      <c r="P220" t="s">
        <v>592</v>
      </c>
    </row>
    <row r="221" spans="16:16" x14ac:dyDescent="0.2">
      <c r="P221" t="s">
        <v>657</v>
      </c>
    </row>
    <row r="222" spans="16:16" x14ac:dyDescent="0.2">
      <c r="P222" t="s">
        <v>594</v>
      </c>
    </row>
    <row r="223" spans="16:16" x14ac:dyDescent="0.2">
      <c r="P223" t="s">
        <v>595</v>
      </c>
    </row>
    <row r="224" spans="16:16" x14ac:dyDescent="0.2">
      <c r="P224" t="s">
        <v>597</v>
      </c>
    </row>
    <row r="225" spans="16:16" x14ac:dyDescent="0.2">
      <c r="P225" t="s">
        <v>598</v>
      </c>
    </row>
    <row r="226" spans="16:16" x14ac:dyDescent="0.2">
      <c r="P226" t="s">
        <v>600</v>
      </c>
    </row>
    <row r="227" spans="16:16" x14ac:dyDescent="0.2">
      <c r="P227" t="s">
        <v>602</v>
      </c>
    </row>
    <row r="228" spans="16:16" x14ac:dyDescent="0.2">
      <c r="P228" t="s">
        <v>604</v>
      </c>
    </row>
    <row r="229" spans="16:16" x14ac:dyDescent="0.2">
      <c r="P229" t="s">
        <v>606</v>
      </c>
    </row>
    <row r="230" spans="16:16" x14ac:dyDescent="0.2">
      <c r="P230" t="s">
        <v>607</v>
      </c>
    </row>
    <row r="231" spans="16:16" x14ac:dyDescent="0.2">
      <c r="P231" t="s">
        <v>609</v>
      </c>
    </row>
    <row r="232" spans="16:16" x14ac:dyDescent="0.2">
      <c r="P232" t="s">
        <v>610</v>
      </c>
    </row>
    <row r="233" spans="16:16" x14ac:dyDescent="0.2">
      <c r="P233" t="s">
        <v>611</v>
      </c>
    </row>
    <row r="234" spans="16:16" x14ac:dyDescent="0.2">
      <c r="P234" t="s">
        <v>612</v>
      </c>
    </row>
    <row r="235" spans="16:16" x14ac:dyDescent="0.2">
      <c r="P235" t="s">
        <v>614</v>
      </c>
    </row>
    <row r="236" spans="16:16" x14ac:dyDescent="0.2">
      <c r="P236" t="s">
        <v>616</v>
      </c>
    </row>
    <row r="237" spans="16:16" x14ac:dyDescent="0.2">
      <c r="P237" t="s">
        <v>617</v>
      </c>
    </row>
    <row r="238" spans="16:16" x14ac:dyDescent="0.2">
      <c r="P238" t="s">
        <v>619</v>
      </c>
    </row>
    <row r="239" spans="16:16" x14ac:dyDescent="0.2">
      <c r="P239" t="s">
        <v>666</v>
      </c>
    </row>
    <row r="240" spans="16:16" x14ac:dyDescent="0.2">
      <c r="P240" t="s">
        <v>620</v>
      </c>
    </row>
    <row r="241" spans="16:16" x14ac:dyDescent="0.2">
      <c r="P241" t="s">
        <v>621</v>
      </c>
    </row>
    <row r="242" spans="16:16" x14ac:dyDescent="0.2">
      <c r="P242" t="s">
        <v>623</v>
      </c>
    </row>
    <row r="243" spans="16:16" x14ac:dyDescent="0.2">
      <c r="P243" t="s">
        <v>624</v>
      </c>
    </row>
    <row r="244" spans="16:16" x14ac:dyDescent="0.2">
      <c r="P244" t="s">
        <v>625</v>
      </c>
    </row>
    <row r="245" spans="16:16" x14ac:dyDescent="0.2">
      <c r="P245" t="s">
        <v>626</v>
      </c>
    </row>
    <row r="246" spans="16:16" x14ac:dyDescent="0.2">
      <c r="P246" t="s">
        <v>628</v>
      </c>
    </row>
    <row r="247" spans="16:16" x14ac:dyDescent="0.2">
      <c r="P247" t="s">
        <v>630</v>
      </c>
    </row>
    <row r="248" spans="16:16" x14ac:dyDescent="0.2">
      <c r="P248" t="s">
        <v>632</v>
      </c>
    </row>
    <row r="249" spans="16:16" x14ac:dyDescent="0.2">
      <c r="P249" t="s">
        <v>634</v>
      </c>
    </row>
    <row r="250" spans="16:16" x14ac:dyDescent="0.2">
      <c r="P250" t="s">
        <v>635</v>
      </c>
    </row>
    <row r="251" spans="16:16" x14ac:dyDescent="0.2">
      <c r="P251" t="s">
        <v>637</v>
      </c>
    </row>
    <row r="252" spans="16:16" x14ac:dyDescent="0.2">
      <c r="P252" t="s">
        <v>639</v>
      </c>
    </row>
    <row r="253" spans="16:16" x14ac:dyDescent="0.2">
      <c r="P253" t="s">
        <v>641</v>
      </c>
    </row>
    <row r="254" spans="16:16" x14ac:dyDescent="0.2">
      <c r="P254" t="s">
        <v>642</v>
      </c>
    </row>
    <row r="255" spans="16:16" x14ac:dyDescent="0.2">
      <c r="P255" t="s">
        <v>643</v>
      </c>
    </row>
    <row r="256" spans="16:16" x14ac:dyDescent="0.2">
      <c r="P256" t="s">
        <v>644</v>
      </c>
    </row>
    <row r="257" spans="16:16" x14ac:dyDescent="0.2">
      <c r="P257" t="s">
        <v>645</v>
      </c>
    </row>
    <row r="258" spans="16:16" x14ac:dyDescent="0.2">
      <c r="P258" t="s">
        <v>658</v>
      </c>
    </row>
    <row r="259" spans="16:16" x14ac:dyDescent="0.2">
      <c r="P259" t="s">
        <v>659</v>
      </c>
    </row>
    <row r="260" spans="16:16" x14ac:dyDescent="0.2">
      <c r="P260" t="s">
        <v>660</v>
      </c>
    </row>
    <row r="261" spans="16:16" x14ac:dyDescent="0.2">
      <c r="P261" t="s">
        <v>661</v>
      </c>
    </row>
    <row r="262" spans="16:16" x14ac:dyDescent="0.2">
      <c r="P262" t="s">
        <v>662</v>
      </c>
    </row>
    <row r="263" spans="16:16" x14ac:dyDescent="0.2">
      <c r="P263" t="s">
        <v>663</v>
      </c>
    </row>
    <row r="264" spans="16:16" x14ac:dyDescent="0.2">
      <c r="P264" t="s">
        <v>664</v>
      </c>
    </row>
    <row r="265" spans="16:16" x14ac:dyDescent="0.2">
      <c r="P265" t="s">
        <v>665</v>
      </c>
    </row>
    <row r="266" spans="16:16" x14ac:dyDescent="0.2">
      <c r="P266" t="s">
        <v>647</v>
      </c>
    </row>
    <row r="267" spans="16:16" x14ac:dyDescent="0.2">
      <c r="P267" t="s">
        <v>648</v>
      </c>
    </row>
    <row r="268" spans="16:16" x14ac:dyDescent="0.2">
      <c r="P268" t="s">
        <v>649</v>
      </c>
    </row>
    <row r="269" spans="16:16" x14ac:dyDescent="0.2">
      <c r="P269" t="s">
        <v>650</v>
      </c>
    </row>
    <row r="270" spans="16:16" x14ac:dyDescent="0.2">
      <c r="P270" t="s">
        <v>651</v>
      </c>
    </row>
    <row r="271" spans="16:16" x14ac:dyDescent="0.2">
      <c r="P271" t="s">
        <v>652</v>
      </c>
    </row>
    <row r="272" spans="16:16" x14ac:dyDescent="0.2">
      <c r="P272" t="s">
        <v>653</v>
      </c>
    </row>
    <row r="273" spans="16:16" x14ac:dyDescent="0.2">
      <c r="P273" t="s">
        <v>654</v>
      </c>
    </row>
  </sheetData>
  <mergeCells count="185">
    <mergeCell ref="A184:B184"/>
    <mergeCell ref="A185:B185"/>
    <mergeCell ref="A183:B183"/>
    <mergeCell ref="A180:B180"/>
    <mergeCell ref="A181:B181"/>
    <mergeCell ref="A182:B182"/>
    <mergeCell ref="A179:B179"/>
    <mergeCell ref="A177:B177"/>
    <mergeCell ref="A178:B178"/>
    <mergeCell ref="A176:B176"/>
    <mergeCell ref="A175:B175"/>
    <mergeCell ref="A174:B174"/>
    <mergeCell ref="A172:B172"/>
    <mergeCell ref="A173:B173"/>
    <mergeCell ref="A169:B169"/>
    <mergeCell ref="A170:B170"/>
    <mergeCell ref="A171:B171"/>
    <mergeCell ref="A168:B168"/>
    <mergeCell ref="A165:B165"/>
    <mergeCell ref="A166:B166"/>
    <mergeCell ref="A167:B167"/>
    <mergeCell ref="A162:B162"/>
    <mergeCell ref="A163:B163"/>
    <mergeCell ref="A164:B164"/>
    <mergeCell ref="A160:B160"/>
    <mergeCell ref="A161:B161"/>
    <mergeCell ref="A157:B157"/>
    <mergeCell ref="A158:B158"/>
    <mergeCell ref="A159:B159"/>
    <mergeCell ref="A154:B154"/>
    <mergeCell ref="A155:B155"/>
    <mergeCell ref="A156:B156"/>
    <mergeCell ref="A151:B151"/>
    <mergeCell ref="A152:B152"/>
    <mergeCell ref="A153:B153"/>
    <mergeCell ref="A148:B148"/>
    <mergeCell ref="A149:B149"/>
    <mergeCell ref="A150:B150"/>
    <mergeCell ref="A145:B145"/>
    <mergeCell ref="A146:B146"/>
    <mergeCell ref="A147:B147"/>
    <mergeCell ref="A142:B142"/>
    <mergeCell ref="A143:B143"/>
    <mergeCell ref="A144:B144"/>
    <mergeCell ref="A139:B139"/>
    <mergeCell ref="A140:B140"/>
    <mergeCell ref="A141:B141"/>
    <mergeCell ref="A138:B138"/>
    <mergeCell ref="A134:B134"/>
    <mergeCell ref="A135:B135"/>
    <mergeCell ref="A136:B136"/>
    <mergeCell ref="A128:B128"/>
    <mergeCell ref="A129:B129"/>
    <mergeCell ref="A130:B130"/>
    <mergeCell ref="A137:B137"/>
    <mergeCell ref="A132:B132"/>
    <mergeCell ref="A133:B133"/>
    <mergeCell ref="A131:B131"/>
    <mergeCell ref="A127:B127"/>
    <mergeCell ref="A124:B124"/>
    <mergeCell ref="A125:B125"/>
    <mergeCell ref="A126:B126"/>
    <mergeCell ref="A121:B121"/>
    <mergeCell ref="A122:B122"/>
    <mergeCell ref="A123:B123"/>
    <mergeCell ref="A118:B118"/>
    <mergeCell ref="A119:B119"/>
    <mergeCell ref="A120:B120"/>
    <mergeCell ref="A116:B116"/>
    <mergeCell ref="A117:B117"/>
    <mergeCell ref="A113:B113"/>
    <mergeCell ref="A114:B114"/>
    <mergeCell ref="A115:B115"/>
    <mergeCell ref="A110:B110"/>
    <mergeCell ref="A111:B111"/>
    <mergeCell ref="A112:B112"/>
    <mergeCell ref="A107:B107"/>
    <mergeCell ref="A108:B108"/>
    <mergeCell ref="A109:B109"/>
    <mergeCell ref="A104:B104"/>
    <mergeCell ref="A105:B105"/>
    <mergeCell ref="A106:B106"/>
    <mergeCell ref="A101:B101"/>
    <mergeCell ref="A102:B102"/>
    <mergeCell ref="A103:B103"/>
    <mergeCell ref="A98:B98"/>
    <mergeCell ref="A99:B99"/>
    <mergeCell ref="A100:B100"/>
    <mergeCell ref="A95:B95"/>
    <mergeCell ref="A96:B96"/>
    <mergeCell ref="A97:B97"/>
    <mergeCell ref="A92:B92"/>
    <mergeCell ref="A93:B93"/>
    <mergeCell ref="A94:B94"/>
    <mergeCell ref="A89:B89"/>
    <mergeCell ref="A90:B90"/>
    <mergeCell ref="A91:B91"/>
    <mergeCell ref="A86:B86"/>
    <mergeCell ref="A87:B87"/>
    <mergeCell ref="A88:B88"/>
    <mergeCell ref="A83:B83"/>
    <mergeCell ref="A84:B84"/>
    <mergeCell ref="A85:B85"/>
    <mergeCell ref="A80:B80"/>
    <mergeCell ref="A81:B81"/>
    <mergeCell ref="A82:B82"/>
    <mergeCell ref="A77:B77"/>
    <mergeCell ref="A78:B78"/>
    <mergeCell ref="A79:B79"/>
    <mergeCell ref="A74:B74"/>
    <mergeCell ref="A75:B75"/>
    <mergeCell ref="A76:B76"/>
    <mergeCell ref="A71:B71"/>
    <mergeCell ref="A72:B72"/>
    <mergeCell ref="A73:B73"/>
    <mergeCell ref="A68:B68"/>
    <mergeCell ref="A69:B69"/>
    <mergeCell ref="A70:B70"/>
    <mergeCell ref="A65:B65"/>
    <mergeCell ref="A66:B66"/>
    <mergeCell ref="A67:B67"/>
    <mergeCell ref="A62:B62"/>
    <mergeCell ref="A63:B63"/>
    <mergeCell ref="A64:B64"/>
    <mergeCell ref="A59:B59"/>
    <mergeCell ref="A60:B60"/>
    <mergeCell ref="A61:B61"/>
    <mergeCell ref="A55:B55"/>
    <mergeCell ref="A56:B56"/>
    <mergeCell ref="A57:B57"/>
    <mergeCell ref="A58:B58"/>
    <mergeCell ref="A52:B52"/>
    <mergeCell ref="A53:B53"/>
    <mergeCell ref="A54:B54"/>
    <mergeCell ref="A50:B50"/>
    <mergeCell ref="A51:B51"/>
    <mergeCell ref="A49:B49"/>
    <mergeCell ref="A46:B46"/>
    <mergeCell ref="A47:B47"/>
    <mergeCell ref="A48:B48"/>
    <mergeCell ref="A43:B43"/>
    <mergeCell ref="A44:B44"/>
    <mergeCell ref="A45:B45"/>
    <mergeCell ref="A40:B40"/>
    <mergeCell ref="A41:B41"/>
    <mergeCell ref="A42:B42"/>
    <mergeCell ref="A37:B37"/>
    <mergeCell ref="A38:B38"/>
    <mergeCell ref="A39:B39"/>
    <mergeCell ref="A34:B34"/>
    <mergeCell ref="A35:B35"/>
    <mergeCell ref="A36:B36"/>
    <mergeCell ref="A31:B31"/>
    <mergeCell ref="A32:B32"/>
    <mergeCell ref="A33:B33"/>
    <mergeCell ref="A28:B28"/>
    <mergeCell ref="A29:B29"/>
    <mergeCell ref="A30:B30"/>
    <mergeCell ref="A25:B25"/>
    <mergeCell ref="A26:B26"/>
    <mergeCell ref="A27:B27"/>
    <mergeCell ref="A22:B22"/>
    <mergeCell ref="A23:B23"/>
    <mergeCell ref="A24:B24"/>
    <mergeCell ref="A19:B19"/>
    <mergeCell ref="A20:B20"/>
    <mergeCell ref="A21:B21"/>
    <mergeCell ref="A16:B16"/>
    <mergeCell ref="A17:B17"/>
    <mergeCell ref="A18:B18"/>
    <mergeCell ref="A4:B4"/>
    <mergeCell ref="A5:B5"/>
    <mergeCell ref="A6:B6"/>
    <mergeCell ref="A1:B1"/>
    <mergeCell ref="A2:B2"/>
    <mergeCell ref="A3:B3"/>
    <mergeCell ref="A13:B13"/>
    <mergeCell ref="A14:B14"/>
    <mergeCell ref="A15:B15"/>
    <mergeCell ref="A10:B10"/>
    <mergeCell ref="A11:B11"/>
    <mergeCell ref="A12:B12"/>
    <mergeCell ref="A7:B7"/>
    <mergeCell ref="A8:B8"/>
    <mergeCell ref="A9:B9"/>
  </mergeCell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615E0E-01C8-4D23-A457-2C33B62B263C}">
  <sheetPr codeName="Sheet16"/>
  <dimension ref="C2:AS11"/>
  <sheetViews>
    <sheetView view="pageBreakPreview" zoomScale="60" zoomScaleNormal="100" workbookViewId="0">
      <selection activeCell="AO99" sqref="AO99"/>
    </sheetView>
  </sheetViews>
  <sheetFormatPr baseColWidth="10" defaultColWidth="8.83203125" defaultRowHeight="16" x14ac:dyDescent="0.2"/>
  <cols>
    <col min="1" max="34" width="4.6640625" customWidth="1"/>
    <col min="35" max="35" width="1.5" customWidth="1"/>
    <col min="36" max="46" width="4.6640625" customWidth="1"/>
  </cols>
  <sheetData>
    <row r="2" spans="3:45" s="115" customFormat="1" ht="15" customHeight="1" x14ac:dyDescent="0.2">
      <c r="C2" s="978">
        <v>10000</v>
      </c>
      <c r="D2" s="979"/>
      <c r="E2" s="704" t="s">
        <v>513</v>
      </c>
      <c r="F2" s="704"/>
      <c r="G2" s="704"/>
      <c r="H2" s="704"/>
      <c r="I2" s="704"/>
      <c r="J2" s="704"/>
      <c r="K2" s="704"/>
      <c r="L2" s="704"/>
      <c r="M2" s="704"/>
      <c r="N2" s="704"/>
      <c r="O2" s="704"/>
      <c r="P2" s="704"/>
      <c r="Q2" s="704"/>
      <c r="R2" s="704"/>
      <c r="S2" s="704"/>
      <c r="T2" s="704"/>
      <c r="U2" s="704"/>
      <c r="V2" s="704"/>
      <c r="W2" s="704"/>
      <c r="X2" s="704"/>
      <c r="Y2" s="704"/>
      <c r="Z2" s="256" t="s">
        <v>533</v>
      </c>
    </row>
    <row r="3" spans="3:45" s="110" customFormat="1" ht="15" hidden="1" customHeight="1" x14ac:dyDescent="0.15">
      <c r="C3" s="980"/>
      <c r="D3" s="981"/>
      <c r="E3" s="989" t="s">
        <v>514</v>
      </c>
      <c r="F3" s="989"/>
      <c r="G3" s="989"/>
      <c r="H3" s="989"/>
      <c r="I3" s="989"/>
      <c r="J3" s="989"/>
      <c r="K3" s="989"/>
      <c r="L3" s="989"/>
      <c r="M3" s="989"/>
      <c r="N3" s="989"/>
      <c r="O3" s="989"/>
      <c r="P3" s="989"/>
      <c r="Q3" s="989"/>
      <c r="R3" s="989"/>
      <c r="S3" s="989"/>
      <c r="T3" s="989"/>
      <c r="U3" s="989"/>
      <c r="V3" s="989"/>
      <c r="W3" s="989"/>
      <c r="X3" s="989"/>
      <c r="Y3" s="989"/>
      <c r="Z3" s="990"/>
    </row>
    <row r="4" spans="3:45" s="110" customFormat="1" ht="15" hidden="1" customHeight="1" x14ac:dyDescent="0.15">
      <c r="C4" s="980"/>
      <c r="D4" s="981"/>
      <c r="E4" s="989"/>
      <c r="F4" s="989"/>
      <c r="G4" s="989"/>
      <c r="H4" s="989"/>
      <c r="I4" s="989"/>
      <c r="J4" s="989"/>
      <c r="K4" s="989"/>
      <c r="L4" s="989"/>
      <c r="M4" s="989"/>
      <c r="N4" s="989"/>
      <c r="O4" s="989"/>
      <c r="P4" s="989"/>
      <c r="Q4" s="989"/>
      <c r="R4" s="989"/>
      <c r="S4" s="989"/>
      <c r="T4" s="989"/>
      <c r="U4" s="989"/>
      <c r="V4" s="989"/>
      <c r="W4" s="989"/>
      <c r="X4" s="989"/>
      <c r="Y4" s="989"/>
      <c r="Z4" s="990"/>
    </row>
    <row r="5" spans="3:45" s="110" customFormat="1" ht="15" hidden="1" customHeight="1" x14ac:dyDescent="0.15">
      <c r="C5" s="982"/>
      <c r="D5" s="983"/>
      <c r="E5" s="989"/>
      <c r="F5" s="989"/>
      <c r="G5" s="989"/>
      <c r="H5" s="989"/>
      <c r="I5" s="989"/>
      <c r="J5" s="989"/>
      <c r="K5" s="989"/>
      <c r="L5" s="989"/>
      <c r="M5" s="989"/>
      <c r="N5" s="989"/>
      <c r="O5" s="989"/>
      <c r="P5" s="989"/>
      <c r="Q5" s="989"/>
      <c r="R5" s="989"/>
      <c r="S5" s="989"/>
      <c r="T5" s="989"/>
      <c r="U5" s="989"/>
      <c r="V5" s="989"/>
      <c r="W5" s="989"/>
      <c r="X5" s="989"/>
      <c r="Y5" s="989"/>
      <c r="Z5" s="990"/>
    </row>
    <row r="6" spans="3:45" s="110" customFormat="1" ht="15" customHeight="1" x14ac:dyDescent="0.15">
      <c r="C6" s="137"/>
      <c r="D6" s="138"/>
      <c r="E6" s="233" t="s">
        <v>384</v>
      </c>
      <c r="F6" s="233"/>
      <c r="G6" s="233"/>
      <c r="H6" s="233"/>
      <c r="I6" s="233"/>
      <c r="J6" s="233"/>
      <c r="K6" s="233"/>
      <c r="L6" s="233"/>
      <c r="M6" s="233"/>
      <c r="N6" s="233"/>
      <c r="O6" s="139" t="s">
        <v>375</v>
      </c>
      <c r="P6" s="139"/>
      <c r="Q6" s="234"/>
      <c r="R6" s="140" t="s">
        <v>220</v>
      </c>
      <c r="S6" s="140"/>
      <c r="T6" s="234"/>
      <c r="U6" s="141" t="s">
        <v>400</v>
      </c>
      <c r="V6" s="234"/>
      <c r="W6" s="234"/>
      <c r="X6" s="142" t="s">
        <v>370</v>
      </c>
      <c r="Y6" s="142"/>
      <c r="Z6" s="143"/>
      <c r="AB6" s="723" t="s">
        <v>363</v>
      </c>
      <c r="AC6" s="724"/>
      <c r="AD6" s="725"/>
      <c r="AF6" s="723" t="s">
        <v>447</v>
      </c>
      <c r="AG6" s="724"/>
      <c r="AH6" s="725"/>
      <c r="AI6" s="257"/>
      <c r="AJ6" s="232" t="s">
        <v>524</v>
      </c>
      <c r="AK6" s="994" t="str">
        <f>"Add Line in Section "&amp;C2</f>
        <v>Add Line in Section 10000</v>
      </c>
      <c r="AL6" s="995"/>
      <c r="AM6" s="995"/>
      <c r="AN6" s="995"/>
      <c r="AO6" s="995"/>
      <c r="AP6" s="995"/>
      <c r="AQ6" s="995"/>
      <c r="AR6" s="995"/>
      <c r="AS6" s="996"/>
    </row>
    <row r="7" spans="3:45" s="51" customFormat="1" ht="15" customHeight="1" x14ac:dyDescent="0.15">
      <c r="C7" s="991">
        <v>1</v>
      </c>
      <c r="D7" s="992"/>
      <c r="E7" s="700"/>
      <c r="F7" s="700"/>
      <c r="G7" s="700"/>
      <c r="H7" s="700"/>
      <c r="I7" s="700"/>
      <c r="J7" s="700"/>
      <c r="K7" s="700"/>
      <c r="L7" s="700"/>
      <c r="M7" s="700"/>
      <c r="N7" s="309"/>
      <c r="O7" s="993" t="s">
        <v>116</v>
      </c>
      <c r="P7" s="993"/>
      <c r="Q7" s="310" t="s">
        <v>117</v>
      </c>
      <c r="R7" s="789"/>
      <c r="S7" s="789"/>
      <c r="T7" s="311" t="s">
        <v>143</v>
      </c>
      <c r="U7" s="311"/>
      <c r="V7" s="311"/>
      <c r="W7" s="311"/>
      <c r="X7" s="984">
        <f>N7*R7*(IF(ISNUMBER(U7),U7,IF(ISNUMBER(N7),1,0)))</f>
        <v>0</v>
      </c>
      <c r="Y7" s="984"/>
      <c r="Z7" s="985"/>
      <c r="AB7" s="986">
        <v>0</v>
      </c>
      <c r="AC7" s="984"/>
      <c r="AD7" s="985"/>
      <c r="AF7" s="986">
        <f>AB7-X7</f>
        <v>0</v>
      </c>
      <c r="AG7" s="984"/>
      <c r="AH7" s="985"/>
      <c r="AI7" s="348"/>
      <c r="AJ7" s="347" t="s">
        <v>525</v>
      </c>
      <c r="AK7" s="434" t="str">
        <f>"Remove Line "&amp;TEXT(C7,"00#")&amp;" "&amp;E7</f>
        <v xml:space="preserve">Remove Line 001 </v>
      </c>
      <c r="AL7" s="434"/>
      <c r="AM7" s="434"/>
      <c r="AN7" s="434"/>
      <c r="AO7" s="434"/>
      <c r="AP7" s="434"/>
      <c r="AQ7" s="434"/>
      <c r="AR7" s="434"/>
      <c r="AS7" s="600"/>
    </row>
    <row r="8" spans="3:45" s="51" customFormat="1" ht="15" customHeight="1" x14ac:dyDescent="0.15">
      <c r="C8" s="991">
        <v>2</v>
      </c>
      <c r="D8" s="992"/>
      <c r="E8" s="700"/>
      <c r="F8" s="700"/>
      <c r="G8" s="700"/>
      <c r="H8" s="700"/>
      <c r="I8" s="700"/>
      <c r="J8" s="700"/>
      <c r="K8" s="700"/>
      <c r="L8" s="700"/>
      <c r="M8" s="700"/>
      <c r="N8" s="309"/>
      <c r="O8" s="993" t="s">
        <v>116</v>
      </c>
      <c r="P8" s="993"/>
      <c r="Q8" s="310" t="s">
        <v>117</v>
      </c>
      <c r="R8" s="789"/>
      <c r="S8" s="789"/>
      <c r="T8" s="311" t="s">
        <v>143</v>
      </c>
      <c r="U8" s="311"/>
      <c r="V8" s="311"/>
      <c r="W8" s="311"/>
      <c r="X8" s="984">
        <f>N8*R8*(IF(ISNUMBER(U8),U8,IF(ISNUMBER(N8),1,0)))</f>
        <v>0</v>
      </c>
      <c r="Y8" s="984"/>
      <c r="Z8" s="985"/>
      <c r="AB8" s="986">
        <v>0</v>
      </c>
      <c r="AC8" s="984"/>
      <c r="AD8" s="985"/>
      <c r="AF8" s="986">
        <f>AB8-X8</f>
        <v>0</v>
      </c>
      <c r="AG8" s="984"/>
      <c r="AH8" s="985"/>
      <c r="AI8" s="348"/>
      <c r="AJ8" s="347" t="s">
        <v>525</v>
      </c>
      <c r="AK8" s="434" t="str">
        <f t="shared" ref="AK8:AK10" si="0">"Remove Line "&amp;TEXT(C8,"00#")&amp;" "&amp;E8</f>
        <v xml:space="preserve">Remove Line 002 </v>
      </c>
      <c r="AL8" s="434"/>
      <c r="AM8" s="434"/>
      <c r="AN8" s="434"/>
      <c r="AO8" s="434"/>
      <c r="AP8" s="434"/>
      <c r="AQ8" s="434"/>
      <c r="AR8" s="434"/>
      <c r="AS8" s="600"/>
    </row>
    <row r="9" spans="3:45" s="51" customFormat="1" ht="15" customHeight="1" x14ac:dyDescent="0.15">
      <c r="C9" s="991">
        <v>3</v>
      </c>
      <c r="D9" s="992"/>
      <c r="E9" s="700"/>
      <c r="F9" s="700"/>
      <c r="G9" s="700"/>
      <c r="H9" s="700"/>
      <c r="I9" s="700"/>
      <c r="J9" s="700"/>
      <c r="K9" s="700"/>
      <c r="L9" s="700"/>
      <c r="M9" s="700"/>
      <c r="N9" s="309"/>
      <c r="O9" s="993" t="s">
        <v>116</v>
      </c>
      <c r="P9" s="993"/>
      <c r="Q9" s="310" t="s">
        <v>117</v>
      </c>
      <c r="R9" s="789"/>
      <c r="S9" s="789"/>
      <c r="T9" s="311" t="s">
        <v>143</v>
      </c>
      <c r="U9" s="311"/>
      <c r="V9" s="311"/>
      <c r="W9" s="311"/>
      <c r="X9" s="984">
        <f>N9*R9*(IF(ISNUMBER(U9),U9,IF(ISNUMBER(N9),1,0)))</f>
        <v>0</v>
      </c>
      <c r="Y9" s="984"/>
      <c r="Z9" s="985"/>
      <c r="AB9" s="986">
        <v>0</v>
      </c>
      <c r="AC9" s="984"/>
      <c r="AD9" s="985"/>
      <c r="AF9" s="986">
        <f>AB9-X9</f>
        <v>0</v>
      </c>
      <c r="AG9" s="984"/>
      <c r="AH9" s="985"/>
      <c r="AI9" s="348"/>
      <c r="AJ9" s="347" t="s">
        <v>525</v>
      </c>
      <c r="AK9" s="434" t="str">
        <f t="shared" si="0"/>
        <v xml:space="preserve">Remove Line 003 </v>
      </c>
      <c r="AL9" s="434"/>
      <c r="AM9" s="434"/>
      <c r="AN9" s="434"/>
      <c r="AO9" s="434"/>
      <c r="AP9" s="434"/>
      <c r="AQ9" s="434"/>
      <c r="AR9" s="434"/>
      <c r="AS9" s="600"/>
    </row>
    <row r="10" spans="3:45" s="51" customFormat="1" ht="15" customHeight="1" x14ac:dyDescent="0.15">
      <c r="C10" s="991">
        <v>4</v>
      </c>
      <c r="D10" s="992"/>
      <c r="E10" s="700"/>
      <c r="F10" s="700"/>
      <c r="G10" s="700"/>
      <c r="H10" s="700"/>
      <c r="I10" s="700"/>
      <c r="J10" s="700"/>
      <c r="K10" s="700"/>
      <c r="L10" s="700"/>
      <c r="M10" s="700"/>
      <c r="N10" s="309"/>
      <c r="O10" s="993" t="s">
        <v>116</v>
      </c>
      <c r="P10" s="993"/>
      <c r="Q10" s="310" t="s">
        <v>117</v>
      </c>
      <c r="R10" s="789"/>
      <c r="S10" s="789"/>
      <c r="T10" s="311" t="s">
        <v>143</v>
      </c>
      <c r="U10" s="311"/>
      <c r="V10" s="311"/>
      <c r="W10" s="311"/>
      <c r="X10" s="984">
        <f>N10*R10*(IF(ISNUMBER(U10),U10,IF(ISNUMBER(N10),1,0)))</f>
        <v>0</v>
      </c>
      <c r="Y10" s="984"/>
      <c r="Z10" s="985"/>
      <c r="AB10" s="986">
        <v>0</v>
      </c>
      <c r="AC10" s="984"/>
      <c r="AD10" s="985"/>
      <c r="AF10" s="986">
        <f>AB10-X10</f>
        <v>0</v>
      </c>
      <c r="AG10" s="984"/>
      <c r="AH10" s="985"/>
      <c r="AI10" s="348"/>
      <c r="AJ10" s="347" t="s">
        <v>525</v>
      </c>
      <c r="AK10" s="434" t="str">
        <f t="shared" si="0"/>
        <v xml:space="preserve">Remove Line 004 </v>
      </c>
      <c r="AL10" s="434"/>
      <c r="AM10" s="434"/>
      <c r="AN10" s="434"/>
      <c r="AO10" s="434"/>
      <c r="AP10" s="434"/>
      <c r="AQ10" s="434"/>
      <c r="AR10" s="434"/>
      <c r="AS10" s="600"/>
    </row>
    <row r="11" spans="3:45" s="1" customFormat="1" ht="15" customHeight="1" x14ac:dyDescent="0.2">
      <c r="C11" s="395"/>
      <c r="D11" s="395"/>
      <c r="E11" s="396"/>
      <c r="F11" s="396"/>
      <c r="G11" s="396"/>
      <c r="H11" s="396"/>
      <c r="I11" s="396"/>
      <c r="J11" s="396"/>
      <c r="K11" s="396"/>
      <c r="L11" s="396"/>
      <c r="M11" s="396"/>
      <c r="N11" s="396"/>
      <c r="O11" s="1003" t="str">
        <f>"Total "&amp;E2</f>
        <v>Total Section Title</v>
      </c>
      <c r="P11" s="1003"/>
      <c r="Q11" s="1003"/>
      <c r="R11" s="1003"/>
      <c r="S11" s="1003"/>
      <c r="T11" s="1003"/>
      <c r="U11" s="1003"/>
      <c r="V11" s="1003"/>
      <c r="W11" s="1004"/>
      <c r="X11" s="1005"/>
      <c r="Y11" s="1006"/>
      <c r="Z11" s="1007"/>
      <c r="AB11" s="1005">
        <f ca="1">SUM(INDIRECT("AB"&amp;ROW(C7)&amp;":AB"&amp;ROW()-1))</f>
        <v>0</v>
      </c>
      <c r="AC11" s="1006"/>
      <c r="AD11" s="1007"/>
      <c r="AF11" s="1000">
        <f ca="1">AB11-X11</f>
        <v>0</v>
      </c>
      <c r="AG11" s="1001"/>
      <c r="AH11" s="1002"/>
      <c r="AI11" s="398"/>
    </row>
  </sheetData>
  <mergeCells count="42">
    <mergeCell ref="AK6:AS6"/>
    <mergeCell ref="AK7:AS7"/>
    <mergeCell ref="AK8:AS8"/>
    <mergeCell ref="AK9:AS9"/>
    <mergeCell ref="AK10:AS10"/>
    <mergeCell ref="X11:Z11"/>
    <mergeCell ref="C10:D10"/>
    <mergeCell ref="E10:M10"/>
    <mergeCell ref="O10:P10"/>
    <mergeCell ref="R10:S10"/>
    <mergeCell ref="X10:Z10"/>
    <mergeCell ref="O11:W11"/>
    <mergeCell ref="C8:D8"/>
    <mergeCell ref="E8:M8"/>
    <mergeCell ref="O8:P8"/>
    <mergeCell ref="R8:S8"/>
    <mergeCell ref="X8:Z8"/>
    <mergeCell ref="C9:D9"/>
    <mergeCell ref="E9:M9"/>
    <mergeCell ref="O9:P9"/>
    <mergeCell ref="R9:S9"/>
    <mergeCell ref="X9:Z9"/>
    <mergeCell ref="C2:D5"/>
    <mergeCell ref="E3:Z5"/>
    <mergeCell ref="C7:D7"/>
    <mergeCell ref="E7:M7"/>
    <mergeCell ref="O7:P7"/>
    <mergeCell ref="R7:S7"/>
    <mergeCell ref="X7:Z7"/>
    <mergeCell ref="E2:Y2"/>
    <mergeCell ref="AB6:AD6"/>
    <mergeCell ref="AF6:AH6"/>
    <mergeCell ref="AB7:AD7"/>
    <mergeCell ref="AF7:AH7"/>
    <mergeCell ref="AB11:AD11"/>
    <mergeCell ref="AF11:AH11"/>
    <mergeCell ref="AB8:AD8"/>
    <mergeCell ref="AF8:AH8"/>
    <mergeCell ref="AB9:AD9"/>
    <mergeCell ref="AF9:AH9"/>
    <mergeCell ref="AB10:AD10"/>
    <mergeCell ref="AF10:AH10"/>
  </mergeCells>
  <pageMargins left="0.7" right="0.7" top="0.75" bottom="0.75" header="0.3" footer="0.3"/>
  <pageSetup orientation="portrait" horizontalDpi="4294967293" verticalDpi="1200"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D05F14-9C71-4B3C-934D-95591681BA6C}">
  <sheetPr codeName="Sheet19">
    <pageSetUpPr fitToPage="1"/>
  </sheetPr>
  <dimension ref="C8:AS63"/>
  <sheetViews>
    <sheetView topLeftCell="A34" zoomScaleNormal="100" zoomScaleSheetLayoutView="50" workbookViewId="0">
      <selection activeCell="AR62" sqref="AR62:AS62"/>
    </sheetView>
  </sheetViews>
  <sheetFormatPr baseColWidth="10" defaultColWidth="9" defaultRowHeight="16" x14ac:dyDescent="0.2"/>
  <cols>
    <col min="1" max="52" width="4.6640625" customWidth="1"/>
  </cols>
  <sheetData>
    <row r="8" spans="3:34" ht="20" customHeight="1" x14ac:dyDescent="0.25">
      <c r="C8" s="28" t="s">
        <v>427</v>
      </c>
      <c r="D8" s="1034" t="s">
        <v>518</v>
      </c>
      <c r="E8" s="1034"/>
      <c r="F8" s="1034"/>
      <c r="G8" s="1034"/>
      <c r="H8" s="1034"/>
      <c r="I8" s="1034"/>
      <c r="J8" s="1034"/>
      <c r="K8" s="1034"/>
      <c r="L8" s="1034"/>
      <c r="M8" s="1034"/>
      <c r="N8" s="1034"/>
      <c r="O8" s="1034"/>
      <c r="P8" s="1034"/>
      <c r="Q8" s="1034"/>
      <c r="R8" s="1034"/>
      <c r="S8" s="1034"/>
      <c r="T8" s="1034"/>
      <c r="U8" s="1034"/>
      <c r="V8" s="1034"/>
      <c r="W8" s="1034"/>
      <c r="X8" s="1034"/>
      <c r="Y8" s="1034"/>
      <c r="Z8" s="1034"/>
      <c r="AB8" s="53"/>
      <c r="AC8" s="54"/>
      <c r="AD8" s="55"/>
      <c r="AF8" s="53"/>
      <c r="AG8" s="54"/>
      <c r="AH8" s="55"/>
    </row>
    <row r="9" spans="3:34" ht="16.25" customHeight="1" x14ac:dyDescent="0.2">
      <c r="C9" s="84"/>
      <c r="D9" s="1035" t="s">
        <v>384</v>
      </c>
      <c r="E9" s="1035"/>
      <c r="F9" s="1035"/>
      <c r="G9" s="1035"/>
      <c r="H9" s="1035"/>
      <c r="I9" s="1035"/>
      <c r="J9" s="1035"/>
      <c r="K9" s="1037" t="s">
        <v>375</v>
      </c>
      <c r="L9" s="1037"/>
      <c r="M9" s="1037"/>
      <c r="N9" s="1037"/>
      <c r="O9" s="1037"/>
      <c r="P9" s="83"/>
      <c r="Q9" s="1038" t="s">
        <v>220</v>
      </c>
      <c r="R9" s="1038"/>
      <c r="S9" s="85"/>
      <c r="T9" s="1038" t="s">
        <v>430</v>
      </c>
      <c r="U9" s="85"/>
      <c r="V9" s="85"/>
      <c r="W9" s="85"/>
      <c r="X9" s="1040" t="s">
        <v>370</v>
      </c>
      <c r="Y9" s="1040"/>
      <c r="Z9" s="1041"/>
      <c r="AB9" s="1019" t="s">
        <v>363</v>
      </c>
      <c r="AC9" s="1020"/>
      <c r="AD9" s="1021"/>
      <c r="AF9" s="1019" t="s">
        <v>447</v>
      </c>
      <c r="AG9" s="1020"/>
      <c r="AH9" s="1021"/>
    </row>
    <row r="10" spans="3:34" ht="16.25" customHeight="1" x14ac:dyDescent="0.2">
      <c r="C10" s="86"/>
      <c r="D10" s="1036"/>
      <c r="E10" s="1036"/>
      <c r="F10" s="1036"/>
      <c r="G10" s="1036"/>
      <c r="H10" s="1036"/>
      <c r="I10" s="1036"/>
      <c r="J10" s="1036"/>
      <c r="K10" s="1025" t="s">
        <v>428</v>
      </c>
      <c r="L10" s="1025"/>
      <c r="M10" s="1025"/>
      <c r="N10" s="1026" t="s">
        <v>429</v>
      </c>
      <c r="O10" s="1026"/>
      <c r="P10" s="87"/>
      <c r="Q10" s="1039"/>
      <c r="R10" s="1039"/>
      <c r="S10" s="87"/>
      <c r="T10" s="1039"/>
      <c r="U10" s="87"/>
      <c r="V10" s="87"/>
      <c r="W10" s="87"/>
      <c r="X10" s="1042"/>
      <c r="Y10" s="1042"/>
      <c r="Z10" s="1043"/>
      <c r="AB10" s="1022"/>
      <c r="AC10" s="1023"/>
      <c r="AD10" s="1024"/>
      <c r="AF10" s="1022"/>
      <c r="AG10" s="1023"/>
      <c r="AH10" s="1024"/>
    </row>
    <row r="11" spans="3:34" ht="20" customHeight="1" x14ac:dyDescent="0.2">
      <c r="C11" s="828">
        <v>0</v>
      </c>
      <c r="D11" s="829"/>
      <c r="E11" s="1027"/>
      <c r="F11" s="1027"/>
      <c r="G11" s="1027"/>
      <c r="H11" s="1027"/>
      <c r="I11" s="1027"/>
      <c r="J11" s="1027"/>
      <c r="K11" s="97"/>
      <c r="L11" s="97" t="s">
        <v>116</v>
      </c>
      <c r="M11" s="97"/>
      <c r="N11" s="98"/>
      <c r="O11" s="99" t="s">
        <v>116</v>
      </c>
      <c r="P11" s="100" t="s">
        <v>117</v>
      </c>
      <c r="Q11" s="1028"/>
      <c r="R11" s="1028"/>
      <c r="S11" s="101" t="s">
        <v>143</v>
      </c>
      <c r="T11" s="102"/>
      <c r="U11" s="103"/>
      <c r="V11" s="103"/>
      <c r="W11" s="1029">
        <f>((K11*Q11)+(N11*Q11))*(IF(ISNUMBER(T11),T11,1))</f>
        <v>0</v>
      </c>
      <c r="X11" s="1029"/>
      <c r="Y11" s="1029"/>
      <c r="Z11" s="1030"/>
      <c r="AB11" s="1031">
        <v>0</v>
      </c>
      <c r="AC11" s="1032"/>
      <c r="AD11" s="1033"/>
      <c r="AF11" s="1031">
        <f>AB11-W11</f>
        <v>0</v>
      </c>
      <c r="AG11" s="1032"/>
      <c r="AH11" s="1033"/>
    </row>
    <row r="12" spans="3:34" ht="20" customHeight="1" x14ac:dyDescent="0.2">
      <c r="C12" s="828">
        <f>C11+1</f>
        <v>1</v>
      </c>
      <c r="D12" s="829"/>
      <c r="E12" s="1027"/>
      <c r="F12" s="1027"/>
      <c r="G12" s="1027"/>
      <c r="H12" s="1027"/>
      <c r="I12" s="1027"/>
      <c r="J12" s="1027"/>
      <c r="K12" s="94"/>
      <c r="L12" s="94" t="s">
        <v>116</v>
      </c>
      <c r="M12" s="94"/>
      <c r="N12" s="57"/>
      <c r="O12" s="58" t="s">
        <v>116</v>
      </c>
      <c r="P12" s="59" t="s">
        <v>117</v>
      </c>
      <c r="Q12" s="1044"/>
      <c r="R12" s="1044"/>
      <c r="S12" s="67" t="s">
        <v>143</v>
      </c>
      <c r="T12" s="60"/>
      <c r="U12" s="88"/>
      <c r="V12" s="88"/>
      <c r="W12" s="1032">
        <f t="shared" ref="W12:W60" si="0">((K12*Q12)+(N12*Q12))*(IF(ISNUMBER(T12),T12,1))</f>
        <v>0</v>
      </c>
      <c r="X12" s="1032"/>
      <c r="Y12" s="1032"/>
      <c r="Z12" s="1033"/>
      <c r="AB12" s="1031">
        <v>0</v>
      </c>
      <c r="AC12" s="1032"/>
      <c r="AD12" s="1033"/>
      <c r="AF12" s="1031">
        <f t="shared" ref="AF12:AF60" si="1">AB12-W12</f>
        <v>0</v>
      </c>
      <c r="AG12" s="1032"/>
      <c r="AH12" s="1033"/>
    </row>
    <row r="13" spans="3:34" ht="20" customHeight="1" x14ac:dyDescent="0.2">
      <c r="C13" s="828">
        <f t="shared" ref="C13:C60" si="2">C12+1</f>
        <v>2</v>
      </c>
      <c r="D13" s="829"/>
      <c r="E13" s="1027"/>
      <c r="F13" s="1027"/>
      <c r="G13" s="1027"/>
      <c r="H13" s="1027"/>
      <c r="I13" s="1027"/>
      <c r="J13" s="1027"/>
      <c r="K13" s="94"/>
      <c r="L13" s="94" t="s">
        <v>116</v>
      </c>
      <c r="M13" s="94"/>
      <c r="N13" s="57"/>
      <c r="O13" s="58" t="s">
        <v>116</v>
      </c>
      <c r="P13" s="59" t="s">
        <v>117</v>
      </c>
      <c r="Q13" s="1044"/>
      <c r="R13" s="1044"/>
      <c r="S13" s="67" t="s">
        <v>143</v>
      </c>
      <c r="T13" s="60"/>
      <c r="U13" s="88"/>
      <c r="V13" s="88"/>
      <c r="W13" s="1032">
        <f t="shared" si="0"/>
        <v>0</v>
      </c>
      <c r="X13" s="1032"/>
      <c r="Y13" s="1032"/>
      <c r="Z13" s="1033"/>
      <c r="AB13" s="1031">
        <v>0</v>
      </c>
      <c r="AC13" s="1032"/>
      <c r="AD13" s="1033"/>
      <c r="AF13" s="1031">
        <f t="shared" si="1"/>
        <v>0</v>
      </c>
      <c r="AG13" s="1032"/>
      <c r="AH13" s="1033"/>
    </row>
    <row r="14" spans="3:34" ht="20" customHeight="1" x14ac:dyDescent="0.2">
      <c r="C14" s="828">
        <f t="shared" si="2"/>
        <v>3</v>
      </c>
      <c r="D14" s="829"/>
      <c r="E14" s="1027"/>
      <c r="F14" s="1027"/>
      <c r="G14" s="1027"/>
      <c r="H14" s="1027"/>
      <c r="I14" s="1027"/>
      <c r="J14" s="1027"/>
      <c r="K14" s="94"/>
      <c r="L14" s="94" t="s">
        <v>116</v>
      </c>
      <c r="M14" s="94"/>
      <c r="N14" s="57"/>
      <c r="O14" s="58" t="s">
        <v>116</v>
      </c>
      <c r="P14" s="59" t="s">
        <v>117</v>
      </c>
      <c r="Q14" s="1044"/>
      <c r="R14" s="1044"/>
      <c r="S14" s="67" t="s">
        <v>143</v>
      </c>
      <c r="T14" s="60"/>
      <c r="U14" s="88"/>
      <c r="V14" s="88"/>
      <c r="W14" s="1032">
        <f t="shared" si="0"/>
        <v>0</v>
      </c>
      <c r="X14" s="1032"/>
      <c r="Y14" s="1032"/>
      <c r="Z14" s="1033"/>
      <c r="AB14" s="1031">
        <v>0</v>
      </c>
      <c r="AC14" s="1032"/>
      <c r="AD14" s="1033"/>
      <c r="AF14" s="1031">
        <f t="shared" si="1"/>
        <v>0</v>
      </c>
      <c r="AG14" s="1032"/>
      <c r="AH14" s="1033"/>
    </row>
    <row r="15" spans="3:34" ht="20" customHeight="1" x14ac:dyDescent="0.2">
      <c r="C15" s="828">
        <f t="shared" si="2"/>
        <v>4</v>
      </c>
      <c r="D15" s="829"/>
      <c r="E15" s="1027"/>
      <c r="F15" s="1027"/>
      <c r="G15" s="1027"/>
      <c r="H15" s="1027"/>
      <c r="I15" s="1027"/>
      <c r="J15" s="1027"/>
      <c r="K15" s="94"/>
      <c r="L15" s="94" t="s">
        <v>116</v>
      </c>
      <c r="M15" s="94"/>
      <c r="N15" s="57"/>
      <c r="O15" s="58" t="s">
        <v>116</v>
      </c>
      <c r="P15" s="59" t="s">
        <v>117</v>
      </c>
      <c r="Q15" s="1044"/>
      <c r="R15" s="1044"/>
      <c r="S15" s="67" t="s">
        <v>143</v>
      </c>
      <c r="T15" s="60"/>
      <c r="U15" s="88"/>
      <c r="V15" s="88"/>
      <c r="W15" s="1032">
        <f t="shared" si="0"/>
        <v>0</v>
      </c>
      <c r="X15" s="1032"/>
      <c r="Y15" s="1032"/>
      <c r="Z15" s="1033"/>
      <c r="AB15" s="1031">
        <v>0</v>
      </c>
      <c r="AC15" s="1032"/>
      <c r="AD15" s="1033"/>
      <c r="AF15" s="1031">
        <f t="shared" si="1"/>
        <v>0</v>
      </c>
      <c r="AG15" s="1032"/>
      <c r="AH15" s="1033"/>
    </row>
    <row r="16" spans="3:34" ht="20" customHeight="1" x14ac:dyDescent="0.2">
      <c r="C16" s="828">
        <f t="shared" si="2"/>
        <v>5</v>
      </c>
      <c r="D16" s="829"/>
      <c r="E16" s="1027"/>
      <c r="F16" s="1027"/>
      <c r="G16" s="1027"/>
      <c r="H16" s="1027"/>
      <c r="I16" s="1027"/>
      <c r="J16" s="1027"/>
      <c r="K16" s="94"/>
      <c r="L16" s="94" t="s">
        <v>116</v>
      </c>
      <c r="M16" s="94"/>
      <c r="N16" s="57"/>
      <c r="O16" s="58" t="s">
        <v>116</v>
      </c>
      <c r="P16" s="59" t="s">
        <v>117</v>
      </c>
      <c r="Q16" s="1044"/>
      <c r="R16" s="1044"/>
      <c r="S16" s="67" t="s">
        <v>143</v>
      </c>
      <c r="T16" s="60"/>
      <c r="U16" s="88"/>
      <c r="V16" s="88"/>
      <c r="W16" s="1032">
        <f t="shared" si="0"/>
        <v>0</v>
      </c>
      <c r="X16" s="1032"/>
      <c r="Y16" s="1032"/>
      <c r="Z16" s="1033"/>
      <c r="AB16" s="1031">
        <v>0</v>
      </c>
      <c r="AC16" s="1032"/>
      <c r="AD16" s="1033"/>
      <c r="AF16" s="1031">
        <f t="shared" si="1"/>
        <v>0</v>
      </c>
      <c r="AG16" s="1032"/>
      <c r="AH16" s="1033"/>
    </row>
    <row r="17" spans="3:34" ht="20" customHeight="1" x14ac:dyDescent="0.2">
      <c r="C17" s="828">
        <f t="shared" si="2"/>
        <v>6</v>
      </c>
      <c r="D17" s="829"/>
      <c r="E17" s="1027"/>
      <c r="F17" s="1027"/>
      <c r="G17" s="1027"/>
      <c r="H17" s="1027"/>
      <c r="I17" s="1027"/>
      <c r="J17" s="1027"/>
      <c r="K17" s="94"/>
      <c r="L17" s="94" t="s">
        <v>116</v>
      </c>
      <c r="M17" s="94"/>
      <c r="N17" s="57"/>
      <c r="O17" s="58" t="s">
        <v>116</v>
      </c>
      <c r="P17" s="59" t="s">
        <v>117</v>
      </c>
      <c r="Q17" s="1044"/>
      <c r="R17" s="1044"/>
      <c r="S17" s="67" t="s">
        <v>143</v>
      </c>
      <c r="T17" s="60"/>
      <c r="U17" s="88"/>
      <c r="V17" s="88"/>
      <c r="W17" s="1032">
        <f t="shared" si="0"/>
        <v>0</v>
      </c>
      <c r="X17" s="1032"/>
      <c r="Y17" s="1032"/>
      <c r="Z17" s="1033"/>
      <c r="AB17" s="1031">
        <v>0</v>
      </c>
      <c r="AC17" s="1032"/>
      <c r="AD17" s="1033"/>
      <c r="AF17" s="1031">
        <f t="shared" si="1"/>
        <v>0</v>
      </c>
      <c r="AG17" s="1032"/>
      <c r="AH17" s="1033"/>
    </row>
    <row r="18" spans="3:34" ht="20" customHeight="1" x14ac:dyDescent="0.2">
      <c r="C18" s="828">
        <f t="shared" si="2"/>
        <v>7</v>
      </c>
      <c r="D18" s="829"/>
      <c r="E18" s="1027"/>
      <c r="F18" s="1027"/>
      <c r="G18" s="1027"/>
      <c r="H18" s="1027"/>
      <c r="I18" s="1027"/>
      <c r="J18" s="1027"/>
      <c r="K18" s="94"/>
      <c r="L18" s="94" t="s">
        <v>116</v>
      </c>
      <c r="M18" s="94"/>
      <c r="N18" s="57"/>
      <c r="O18" s="58" t="s">
        <v>116</v>
      </c>
      <c r="P18" s="59" t="s">
        <v>117</v>
      </c>
      <c r="Q18" s="1044"/>
      <c r="R18" s="1044"/>
      <c r="S18" s="67" t="s">
        <v>143</v>
      </c>
      <c r="T18" s="60"/>
      <c r="U18" s="88"/>
      <c r="V18" s="88"/>
      <c r="W18" s="1032">
        <f t="shared" si="0"/>
        <v>0</v>
      </c>
      <c r="X18" s="1032"/>
      <c r="Y18" s="1032"/>
      <c r="Z18" s="1033"/>
      <c r="AB18" s="1031">
        <v>0</v>
      </c>
      <c r="AC18" s="1032"/>
      <c r="AD18" s="1033"/>
      <c r="AF18" s="1031">
        <f t="shared" si="1"/>
        <v>0</v>
      </c>
      <c r="AG18" s="1032"/>
      <c r="AH18" s="1033"/>
    </row>
    <row r="19" spans="3:34" ht="20" customHeight="1" x14ac:dyDescent="0.2">
      <c r="C19" s="828">
        <f t="shared" si="2"/>
        <v>8</v>
      </c>
      <c r="D19" s="829"/>
      <c r="E19" s="1027"/>
      <c r="F19" s="1027"/>
      <c r="G19" s="1027"/>
      <c r="H19" s="1027"/>
      <c r="I19" s="1027"/>
      <c r="J19" s="1027"/>
      <c r="K19" s="94"/>
      <c r="L19" s="94" t="s">
        <v>116</v>
      </c>
      <c r="M19" s="94"/>
      <c r="N19" s="57"/>
      <c r="O19" s="58" t="s">
        <v>116</v>
      </c>
      <c r="P19" s="59" t="s">
        <v>117</v>
      </c>
      <c r="Q19" s="1044"/>
      <c r="R19" s="1044"/>
      <c r="S19" s="67" t="s">
        <v>143</v>
      </c>
      <c r="T19" s="60"/>
      <c r="U19" s="88"/>
      <c r="V19" s="88"/>
      <c r="W19" s="1032">
        <f t="shared" si="0"/>
        <v>0</v>
      </c>
      <c r="X19" s="1032"/>
      <c r="Y19" s="1032"/>
      <c r="Z19" s="1033"/>
      <c r="AB19" s="1031">
        <v>0</v>
      </c>
      <c r="AC19" s="1032"/>
      <c r="AD19" s="1033"/>
      <c r="AF19" s="1031">
        <f t="shared" si="1"/>
        <v>0</v>
      </c>
      <c r="AG19" s="1032"/>
      <c r="AH19" s="1033"/>
    </row>
    <row r="20" spans="3:34" ht="20" customHeight="1" x14ac:dyDescent="0.2">
      <c r="C20" s="828">
        <f t="shared" si="2"/>
        <v>9</v>
      </c>
      <c r="D20" s="829"/>
      <c r="E20" s="1027"/>
      <c r="F20" s="1027"/>
      <c r="G20" s="1027"/>
      <c r="H20" s="1027"/>
      <c r="I20" s="1027"/>
      <c r="J20" s="1027"/>
      <c r="K20" s="94"/>
      <c r="L20" s="94" t="s">
        <v>116</v>
      </c>
      <c r="M20" s="94"/>
      <c r="N20" s="57"/>
      <c r="O20" s="58" t="s">
        <v>116</v>
      </c>
      <c r="P20" s="59" t="s">
        <v>117</v>
      </c>
      <c r="Q20" s="1044"/>
      <c r="R20" s="1044"/>
      <c r="S20" s="67" t="s">
        <v>143</v>
      </c>
      <c r="T20" s="60"/>
      <c r="U20" s="88"/>
      <c r="V20" s="88"/>
      <c r="W20" s="1032">
        <f t="shared" si="0"/>
        <v>0</v>
      </c>
      <c r="X20" s="1032"/>
      <c r="Y20" s="1032"/>
      <c r="Z20" s="1033"/>
      <c r="AB20" s="1031">
        <v>0</v>
      </c>
      <c r="AC20" s="1032"/>
      <c r="AD20" s="1033"/>
      <c r="AF20" s="1031">
        <f t="shared" si="1"/>
        <v>0</v>
      </c>
      <c r="AG20" s="1032"/>
      <c r="AH20" s="1033"/>
    </row>
    <row r="21" spans="3:34" ht="20" customHeight="1" x14ac:dyDescent="0.2">
      <c r="C21" s="828">
        <f t="shared" si="2"/>
        <v>10</v>
      </c>
      <c r="D21" s="829"/>
      <c r="E21" s="1027"/>
      <c r="F21" s="1027"/>
      <c r="G21" s="1027"/>
      <c r="H21" s="1027"/>
      <c r="I21" s="1027"/>
      <c r="J21" s="1027"/>
      <c r="K21" s="94"/>
      <c r="L21" s="94" t="s">
        <v>116</v>
      </c>
      <c r="M21" s="94"/>
      <c r="N21" s="57"/>
      <c r="O21" s="58" t="s">
        <v>116</v>
      </c>
      <c r="P21" s="59" t="s">
        <v>117</v>
      </c>
      <c r="Q21" s="1044"/>
      <c r="R21" s="1044"/>
      <c r="S21" s="67" t="s">
        <v>143</v>
      </c>
      <c r="T21" s="60"/>
      <c r="U21" s="88"/>
      <c r="V21" s="88"/>
      <c r="W21" s="1032">
        <f t="shared" si="0"/>
        <v>0</v>
      </c>
      <c r="X21" s="1032"/>
      <c r="Y21" s="1032"/>
      <c r="Z21" s="1033"/>
      <c r="AB21" s="1031">
        <v>0</v>
      </c>
      <c r="AC21" s="1032"/>
      <c r="AD21" s="1033"/>
      <c r="AF21" s="1031">
        <f t="shared" si="1"/>
        <v>0</v>
      </c>
      <c r="AG21" s="1032"/>
      <c r="AH21" s="1033"/>
    </row>
    <row r="22" spans="3:34" ht="20" customHeight="1" x14ac:dyDescent="0.2">
      <c r="C22" s="828">
        <f t="shared" si="2"/>
        <v>11</v>
      </c>
      <c r="D22" s="829"/>
      <c r="E22" s="1027"/>
      <c r="F22" s="1027"/>
      <c r="G22" s="1027"/>
      <c r="H22" s="1027"/>
      <c r="I22" s="1027"/>
      <c r="J22" s="1027"/>
      <c r="K22" s="94"/>
      <c r="L22" s="94" t="s">
        <v>116</v>
      </c>
      <c r="M22" s="94"/>
      <c r="N22" s="57"/>
      <c r="O22" s="58" t="s">
        <v>116</v>
      </c>
      <c r="P22" s="59" t="s">
        <v>117</v>
      </c>
      <c r="Q22" s="1044"/>
      <c r="R22" s="1044"/>
      <c r="S22" s="67" t="s">
        <v>143</v>
      </c>
      <c r="T22" s="60"/>
      <c r="U22" s="88"/>
      <c r="V22" s="88"/>
      <c r="W22" s="1032">
        <f t="shared" si="0"/>
        <v>0</v>
      </c>
      <c r="X22" s="1032"/>
      <c r="Y22" s="1032"/>
      <c r="Z22" s="1033"/>
      <c r="AB22" s="1031">
        <v>0</v>
      </c>
      <c r="AC22" s="1032"/>
      <c r="AD22" s="1033"/>
      <c r="AF22" s="1031">
        <f t="shared" si="1"/>
        <v>0</v>
      </c>
      <c r="AG22" s="1032"/>
      <c r="AH22" s="1033"/>
    </row>
    <row r="23" spans="3:34" ht="20" customHeight="1" x14ac:dyDescent="0.2">
      <c r="C23" s="828">
        <f t="shared" si="2"/>
        <v>12</v>
      </c>
      <c r="D23" s="829"/>
      <c r="E23" s="1027"/>
      <c r="F23" s="1027"/>
      <c r="G23" s="1027"/>
      <c r="H23" s="1027"/>
      <c r="I23" s="1027"/>
      <c r="J23" s="1027"/>
      <c r="K23" s="94"/>
      <c r="L23" s="94" t="s">
        <v>116</v>
      </c>
      <c r="M23" s="94"/>
      <c r="N23" s="57"/>
      <c r="O23" s="58" t="s">
        <v>116</v>
      </c>
      <c r="P23" s="59" t="s">
        <v>117</v>
      </c>
      <c r="Q23" s="1044"/>
      <c r="R23" s="1044"/>
      <c r="S23" s="67" t="s">
        <v>143</v>
      </c>
      <c r="T23" s="60"/>
      <c r="U23" s="88"/>
      <c r="V23" s="88"/>
      <c r="W23" s="1032">
        <f t="shared" si="0"/>
        <v>0</v>
      </c>
      <c r="X23" s="1032"/>
      <c r="Y23" s="1032"/>
      <c r="Z23" s="1033"/>
      <c r="AB23" s="1031">
        <v>0</v>
      </c>
      <c r="AC23" s="1032"/>
      <c r="AD23" s="1033"/>
      <c r="AF23" s="1031">
        <f t="shared" si="1"/>
        <v>0</v>
      </c>
      <c r="AG23" s="1032"/>
      <c r="AH23" s="1033"/>
    </row>
    <row r="24" spans="3:34" ht="20" customHeight="1" x14ac:dyDescent="0.2">
      <c r="C24" s="828">
        <f t="shared" si="2"/>
        <v>13</v>
      </c>
      <c r="D24" s="829"/>
      <c r="E24" s="1027"/>
      <c r="F24" s="1027"/>
      <c r="G24" s="1027"/>
      <c r="H24" s="1027"/>
      <c r="I24" s="1027"/>
      <c r="J24" s="1027"/>
      <c r="K24" s="94"/>
      <c r="L24" s="94" t="s">
        <v>116</v>
      </c>
      <c r="M24" s="94"/>
      <c r="N24" s="57"/>
      <c r="O24" s="58" t="s">
        <v>116</v>
      </c>
      <c r="P24" s="59" t="s">
        <v>117</v>
      </c>
      <c r="Q24" s="1044"/>
      <c r="R24" s="1044"/>
      <c r="S24" s="67" t="s">
        <v>143</v>
      </c>
      <c r="T24" s="60"/>
      <c r="U24" s="88"/>
      <c r="V24" s="88"/>
      <c r="W24" s="1032">
        <f t="shared" si="0"/>
        <v>0</v>
      </c>
      <c r="X24" s="1032"/>
      <c r="Y24" s="1032"/>
      <c r="Z24" s="1033"/>
      <c r="AB24" s="1031">
        <v>0</v>
      </c>
      <c r="AC24" s="1032"/>
      <c r="AD24" s="1033"/>
      <c r="AF24" s="1031">
        <f t="shared" si="1"/>
        <v>0</v>
      </c>
      <c r="AG24" s="1032"/>
      <c r="AH24" s="1033"/>
    </row>
    <row r="25" spans="3:34" ht="20" customHeight="1" x14ac:dyDescent="0.2">
      <c r="C25" s="828">
        <f t="shared" si="2"/>
        <v>14</v>
      </c>
      <c r="D25" s="829"/>
      <c r="E25" s="1027"/>
      <c r="F25" s="1027"/>
      <c r="G25" s="1027"/>
      <c r="H25" s="1027"/>
      <c r="I25" s="1027"/>
      <c r="J25" s="1027"/>
      <c r="K25" s="94"/>
      <c r="L25" s="94" t="s">
        <v>116</v>
      </c>
      <c r="M25" s="94"/>
      <c r="N25" s="57"/>
      <c r="O25" s="58" t="s">
        <v>116</v>
      </c>
      <c r="P25" s="59" t="s">
        <v>117</v>
      </c>
      <c r="Q25" s="1044"/>
      <c r="R25" s="1044"/>
      <c r="S25" s="67" t="s">
        <v>143</v>
      </c>
      <c r="T25" s="60"/>
      <c r="U25" s="88"/>
      <c r="V25" s="88"/>
      <c r="W25" s="1032">
        <f t="shared" si="0"/>
        <v>0</v>
      </c>
      <c r="X25" s="1032"/>
      <c r="Y25" s="1032"/>
      <c r="Z25" s="1033"/>
      <c r="AB25" s="1031">
        <v>0</v>
      </c>
      <c r="AC25" s="1032"/>
      <c r="AD25" s="1033"/>
      <c r="AF25" s="1031">
        <f t="shared" si="1"/>
        <v>0</v>
      </c>
      <c r="AG25" s="1032"/>
      <c r="AH25" s="1033"/>
    </row>
    <row r="26" spans="3:34" ht="20" customHeight="1" x14ac:dyDescent="0.2">
      <c r="C26" s="828">
        <f t="shared" si="2"/>
        <v>15</v>
      </c>
      <c r="D26" s="829"/>
      <c r="E26" s="1027"/>
      <c r="F26" s="1027"/>
      <c r="G26" s="1027"/>
      <c r="H26" s="1027"/>
      <c r="I26" s="1027"/>
      <c r="J26" s="1027"/>
      <c r="K26" s="94"/>
      <c r="L26" s="94" t="s">
        <v>116</v>
      </c>
      <c r="M26" s="94"/>
      <c r="N26" s="57"/>
      <c r="O26" s="58" t="s">
        <v>116</v>
      </c>
      <c r="P26" s="59" t="s">
        <v>117</v>
      </c>
      <c r="Q26" s="1044"/>
      <c r="R26" s="1044"/>
      <c r="S26" s="67" t="s">
        <v>143</v>
      </c>
      <c r="T26" s="60"/>
      <c r="U26" s="88"/>
      <c r="V26" s="88"/>
      <c r="W26" s="1032">
        <f t="shared" si="0"/>
        <v>0</v>
      </c>
      <c r="X26" s="1032"/>
      <c r="Y26" s="1032"/>
      <c r="Z26" s="1033"/>
      <c r="AB26" s="1031">
        <v>0</v>
      </c>
      <c r="AC26" s="1032"/>
      <c r="AD26" s="1033"/>
      <c r="AF26" s="1031">
        <f t="shared" si="1"/>
        <v>0</v>
      </c>
      <c r="AG26" s="1032"/>
      <c r="AH26" s="1033"/>
    </row>
    <row r="27" spans="3:34" ht="20" customHeight="1" x14ac:dyDescent="0.2">
      <c r="C27" s="828">
        <f t="shared" si="2"/>
        <v>16</v>
      </c>
      <c r="D27" s="829"/>
      <c r="E27" s="1027"/>
      <c r="F27" s="1027"/>
      <c r="G27" s="1027"/>
      <c r="H27" s="1027"/>
      <c r="I27" s="1027"/>
      <c r="J27" s="1027"/>
      <c r="K27" s="94"/>
      <c r="L27" s="94" t="s">
        <v>116</v>
      </c>
      <c r="M27" s="94"/>
      <c r="N27" s="57"/>
      <c r="O27" s="58" t="s">
        <v>116</v>
      </c>
      <c r="P27" s="59" t="s">
        <v>117</v>
      </c>
      <c r="Q27" s="1044"/>
      <c r="R27" s="1044"/>
      <c r="S27" s="67" t="s">
        <v>143</v>
      </c>
      <c r="T27" s="60"/>
      <c r="U27" s="88"/>
      <c r="V27" s="88"/>
      <c r="W27" s="1032">
        <f t="shared" si="0"/>
        <v>0</v>
      </c>
      <c r="X27" s="1032"/>
      <c r="Y27" s="1032"/>
      <c r="Z27" s="1033"/>
      <c r="AB27" s="1031">
        <v>0</v>
      </c>
      <c r="AC27" s="1032"/>
      <c r="AD27" s="1033"/>
      <c r="AF27" s="1031">
        <f t="shared" si="1"/>
        <v>0</v>
      </c>
      <c r="AG27" s="1032"/>
      <c r="AH27" s="1033"/>
    </row>
    <row r="28" spans="3:34" ht="20" customHeight="1" x14ac:dyDescent="0.2">
      <c r="C28" s="828">
        <f t="shared" si="2"/>
        <v>17</v>
      </c>
      <c r="D28" s="829"/>
      <c r="E28" s="1027"/>
      <c r="F28" s="1027"/>
      <c r="G28" s="1027"/>
      <c r="H28" s="1027"/>
      <c r="I28" s="1027"/>
      <c r="J28" s="1027"/>
      <c r="K28" s="94"/>
      <c r="L28" s="94" t="s">
        <v>116</v>
      </c>
      <c r="M28" s="94"/>
      <c r="N28" s="57"/>
      <c r="O28" s="58" t="s">
        <v>116</v>
      </c>
      <c r="P28" s="59" t="s">
        <v>117</v>
      </c>
      <c r="Q28" s="1044"/>
      <c r="R28" s="1044"/>
      <c r="S28" s="67" t="s">
        <v>143</v>
      </c>
      <c r="T28" s="60"/>
      <c r="U28" s="88"/>
      <c r="V28" s="88"/>
      <c r="W28" s="1032">
        <f t="shared" si="0"/>
        <v>0</v>
      </c>
      <c r="X28" s="1032"/>
      <c r="Y28" s="1032"/>
      <c r="Z28" s="1033"/>
      <c r="AB28" s="1031">
        <v>0</v>
      </c>
      <c r="AC28" s="1032"/>
      <c r="AD28" s="1033"/>
      <c r="AF28" s="1031">
        <f t="shared" si="1"/>
        <v>0</v>
      </c>
      <c r="AG28" s="1032"/>
      <c r="AH28" s="1033"/>
    </row>
    <row r="29" spans="3:34" ht="20" customHeight="1" x14ac:dyDescent="0.2">
      <c r="C29" s="828">
        <f t="shared" si="2"/>
        <v>18</v>
      </c>
      <c r="D29" s="829"/>
      <c r="E29" s="1027"/>
      <c r="F29" s="1027"/>
      <c r="G29" s="1027"/>
      <c r="H29" s="1027"/>
      <c r="I29" s="1027"/>
      <c r="J29" s="1027"/>
      <c r="K29" s="94"/>
      <c r="L29" s="94" t="s">
        <v>116</v>
      </c>
      <c r="M29" s="94"/>
      <c r="N29" s="57"/>
      <c r="O29" s="58" t="s">
        <v>116</v>
      </c>
      <c r="P29" s="59" t="s">
        <v>117</v>
      </c>
      <c r="Q29" s="1044"/>
      <c r="R29" s="1044"/>
      <c r="S29" s="67" t="s">
        <v>143</v>
      </c>
      <c r="T29" s="60"/>
      <c r="U29" s="88"/>
      <c r="V29" s="88"/>
      <c r="W29" s="1032">
        <f t="shared" si="0"/>
        <v>0</v>
      </c>
      <c r="X29" s="1032"/>
      <c r="Y29" s="1032"/>
      <c r="Z29" s="1033"/>
      <c r="AB29" s="1031">
        <v>0</v>
      </c>
      <c r="AC29" s="1032"/>
      <c r="AD29" s="1033"/>
      <c r="AF29" s="1031">
        <f t="shared" si="1"/>
        <v>0</v>
      </c>
      <c r="AG29" s="1032"/>
      <c r="AH29" s="1033"/>
    </row>
    <row r="30" spans="3:34" ht="20" customHeight="1" x14ac:dyDescent="0.2">
      <c r="C30" s="828">
        <f t="shared" si="2"/>
        <v>19</v>
      </c>
      <c r="D30" s="829"/>
      <c r="E30" s="1027"/>
      <c r="F30" s="1027"/>
      <c r="G30" s="1027"/>
      <c r="H30" s="1027"/>
      <c r="I30" s="1027"/>
      <c r="J30" s="1027"/>
      <c r="K30" s="94"/>
      <c r="L30" s="94" t="s">
        <v>116</v>
      </c>
      <c r="M30" s="94"/>
      <c r="N30" s="57"/>
      <c r="O30" s="58" t="s">
        <v>116</v>
      </c>
      <c r="P30" s="59" t="s">
        <v>117</v>
      </c>
      <c r="Q30" s="1044"/>
      <c r="R30" s="1044"/>
      <c r="S30" s="67" t="s">
        <v>143</v>
      </c>
      <c r="T30" s="60"/>
      <c r="U30" s="88"/>
      <c r="V30" s="88"/>
      <c r="W30" s="1032">
        <f t="shared" si="0"/>
        <v>0</v>
      </c>
      <c r="X30" s="1032"/>
      <c r="Y30" s="1032"/>
      <c r="Z30" s="1033"/>
      <c r="AB30" s="1031">
        <v>0</v>
      </c>
      <c r="AC30" s="1032"/>
      <c r="AD30" s="1033"/>
      <c r="AF30" s="1031">
        <f t="shared" si="1"/>
        <v>0</v>
      </c>
      <c r="AG30" s="1032"/>
      <c r="AH30" s="1033"/>
    </row>
    <row r="31" spans="3:34" ht="20" customHeight="1" x14ac:dyDescent="0.2">
      <c r="C31" s="828">
        <f t="shared" si="2"/>
        <v>20</v>
      </c>
      <c r="D31" s="829"/>
      <c r="E31" s="1027"/>
      <c r="F31" s="1027"/>
      <c r="G31" s="1027"/>
      <c r="H31" s="1027"/>
      <c r="I31" s="1027"/>
      <c r="J31" s="1027"/>
      <c r="K31" s="94"/>
      <c r="L31" s="94" t="s">
        <v>116</v>
      </c>
      <c r="M31" s="94"/>
      <c r="N31" s="57"/>
      <c r="O31" s="58" t="s">
        <v>116</v>
      </c>
      <c r="P31" s="59" t="s">
        <v>117</v>
      </c>
      <c r="Q31" s="1044"/>
      <c r="R31" s="1044"/>
      <c r="S31" s="67" t="s">
        <v>143</v>
      </c>
      <c r="T31" s="60"/>
      <c r="U31" s="88"/>
      <c r="V31" s="88"/>
      <c r="W31" s="1032">
        <f t="shared" si="0"/>
        <v>0</v>
      </c>
      <c r="X31" s="1032"/>
      <c r="Y31" s="1032"/>
      <c r="Z31" s="1033"/>
      <c r="AB31" s="1031">
        <v>0</v>
      </c>
      <c r="AC31" s="1032"/>
      <c r="AD31" s="1033"/>
      <c r="AF31" s="1031">
        <f t="shared" si="1"/>
        <v>0</v>
      </c>
      <c r="AG31" s="1032"/>
      <c r="AH31" s="1033"/>
    </row>
    <row r="32" spans="3:34" ht="20" customHeight="1" x14ac:dyDescent="0.2">
      <c r="C32" s="828">
        <f t="shared" si="2"/>
        <v>21</v>
      </c>
      <c r="D32" s="829"/>
      <c r="E32" s="1027"/>
      <c r="F32" s="1027"/>
      <c r="G32" s="1027"/>
      <c r="H32" s="1027"/>
      <c r="I32" s="1027"/>
      <c r="J32" s="1027"/>
      <c r="K32" s="94"/>
      <c r="L32" s="94" t="s">
        <v>116</v>
      </c>
      <c r="M32" s="94"/>
      <c r="N32" s="57"/>
      <c r="O32" s="58" t="s">
        <v>116</v>
      </c>
      <c r="P32" s="59" t="s">
        <v>117</v>
      </c>
      <c r="Q32" s="1044"/>
      <c r="R32" s="1044"/>
      <c r="S32" s="67" t="s">
        <v>143</v>
      </c>
      <c r="T32" s="60"/>
      <c r="U32" s="88"/>
      <c r="V32" s="88"/>
      <c r="W32" s="1032">
        <f t="shared" si="0"/>
        <v>0</v>
      </c>
      <c r="X32" s="1032"/>
      <c r="Y32" s="1032"/>
      <c r="Z32" s="1033"/>
      <c r="AB32" s="1031">
        <v>0</v>
      </c>
      <c r="AC32" s="1032"/>
      <c r="AD32" s="1033"/>
      <c r="AF32" s="1031">
        <f t="shared" si="1"/>
        <v>0</v>
      </c>
      <c r="AG32" s="1032"/>
      <c r="AH32" s="1033"/>
    </row>
    <row r="33" spans="3:34" ht="20" customHeight="1" x14ac:dyDescent="0.2">
      <c r="C33" s="828">
        <f t="shared" si="2"/>
        <v>22</v>
      </c>
      <c r="D33" s="829"/>
      <c r="E33" s="1027"/>
      <c r="F33" s="1027"/>
      <c r="G33" s="1027"/>
      <c r="H33" s="1027"/>
      <c r="I33" s="1027"/>
      <c r="J33" s="1027"/>
      <c r="K33" s="94"/>
      <c r="L33" s="94" t="s">
        <v>116</v>
      </c>
      <c r="M33" s="94"/>
      <c r="N33" s="57"/>
      <c r="O33" s="58" t="s">
        <v>116</v>
      </c>
      <c r="P33" s="59" t="s">
        <v>117</v>
      </c>
      <c r="Q33" s="1044"/>
      <c r="R33" s="1044"/>
      <c r="S33" s="67" t="s">
        <v>143</v>
      </c>
      <c r="T33" s="60"/>
      <c r="U33" s="88"/>
      <c r="V33" s="88"/>
      <c r="W33" s="1032">
        <f t="shared" si="0"/>
        <v>0</v>
      </c>
      <c r="X33" s="1032"/>
      <c r="Y33" s="1032"/>
      <c r="Z33" s="1033"/>
      <c r="AB33" s="1031">
        <v>0</v>
      </c>
      <c r="AC33" s="1032"/>
      <c r="AD33" s="1033"/>
      <c r="AF33" s="1031">
        <f t="shared" si="1"/>
        <v>0</v>
      </c>
      <c r="AG33" s="1032"/>
      <c r="AH33" s="1033"/>
    </row>
    <row r="34" spans="3:34" ht="20" customHeight="1" x14ac:dyDescent="0.2">
      <c r="C34" s="828">
        <f t="shared" si="2"/>
        <v>23</v>
      </c>
      <c r="D34" s="829"/>
      <c r="E34" s="1027"/>
      <c r="F34" s="1027"/>
      <c r="G34" s="1027"/>
      <c r="H34" s="1027"/>
      <c r="I34" s="1027"/>
      <c r="J34" s="1027"/>
      <c r="K34" s="94"/>
      <c r="L34" s="94" t="s">
        <v>116</v>
      </c>
      <c r="M34" s="94"/>
      <c r="N34" s="57"/>
      <c r="O34" s="58" t="s">
        <v>116</v>
      </c>
      <c r="P34" s="59" t="s">
        <v>117</v>
      </c>
      <c r="Q34" s="1044"/>
      <c r="R34" s="1044"/>
      <c r="S34" s="67" t="s">
        <v>143</v>
      </c>
      <c r="T34" s="60"/>
      <c r="U34" s="88"/>
      <c r="V34" s="88"/>
      <c r="W34" s="1032">
        <f t="shared" si="0"/>
        <v>0</v>
      </c>
      <c r="X34" s="1032"/>
      <c r="Y34" s="1032"/>
      <c r="Z34" s="1033"/>
      <c r="AB34" s="1031">
        <v>0</v>
      </c>
      <c r="AC34" s="1032"/>
      <c r="AD34" s="1033"/>
      <c r="AF34" s="1031">
        <f t="shared" si="1"/>
        <v>0</v>
      </c>
      <c r="AG34" s="1032"/>
      <c r="AH34" s="1033"/>
    </row>
    <row r="35" spans="3:34" ht="20" customHeight="1" x14ac:dyDescent="0.2">
      <c r="C35" s="828">
        <f t="shared" si="2"/>
        <v>24</v>
      </c>
      <c r="D35" s="829"/>
      <c r="E35" s="1027"/>
      <c r="F35" s="1027"/>
      <c r="G35" s="1027"/>
      <c r="H35" s="1027"/>
      <c r="I35" s="1027"/>
      <c r="J35" s="1027"/>
      <c r="K35" s="94"/>
      <c r="L35" s="94" t="s">
        <v>116</v>
      </c>
      <c r="M35" s="94"/>
      <c r="N35" s="57"/>
      <c r="O35" s="58" t="s">
        <v>116</v>
      </c>
      <c r="P35" s="59" t="s">
        <v>117</v>
      </c>
      <c r="Q35" s="1044"/>
      <c r="R35" s="1044"/>
      <c r="S35" s="67" t="s">
        <v>143</v>
      </c>
      <c r="T35" s="60"/>
      <c r="U35" s="88"/>
      <c r="V35" s="88"/>
      <c r="W35" s="1032">
        <f t="shared" si="0"/>
        <v>0</v>
      </c>
      <c r="X35" s="1032"/>
      <c r="Y35" s="1032"/>
      <c r="Z35" s="1033"/>
      <c r="AB35" s="1031">
        <v>0</v>
      </c>
      <c r="AC35" s="1032"/>
      <c r="AD35" s="1033"/>
      <c r="AF35" s="1031">
        <f t="shared" si="1"/>
        <v>0</v>
      </c>
      <c r="AG35" s="1032"/>
      <c r="AH35" s="1033"/>
    </row>
    <row r="36" spans="3:34" ht="20" customHeight="1" x14ac:dyDescent="0.2">
      <c r="C36" s="828">
        <f t="shared" si="2"/>
        <v>25</v>
      </c>
      <c r="D36" s="829"/>
      <c r="E36" s="1027"/>
      <c r="F36" s="1027"/>
      <c r="G36" s="1027"/>
      <c r="H36" s="1027"/>
      <c r="I36" s="1027"/>
      <c r="J36" s="1027"/>
      <c r="K36" s="94"/>
      <c r="L36" s="94" t="s">
        <v>116</v>
      </c>
      <c r="M36" s="94"/>
      <c r="N36" s="57"/>
      <c r="O36" s="58" t="s">
        <v>116</v>
      </c>
      <c r="P36" s="59" t="s">
        <v>117</v>
      </c>
      <c r="Q36" s="1044"/>
      <c r="R36" s="1044"/>
      <c r="S36" s="67" t="s">
        <v>143</v>
      </c>
      <c r="T36" s="60"/>
      <c r="U36" s="88"/>
      <c r="V36" s="88"/>
      <c r="W36" s="1032">
        <f t="shared" si="0"/>
        <v>0</v>
      </c>
      <c r="X36" s="1032"/>
      <c r="Y36" s="1032"/>
      <c r="Z36" s="1033"/>
      <c r="AB36" s="1031">
        <v>0</v>
      </c>
      <c r="AC36" s="1032"/>
      <c r="AD36" s="1033"/>
      <c r="AF36" s="1031">
        <f t="shared" si="1"/>
        <v>0</v>
      </c>
      <c r="AG36" s="1032"/>
      <c r="AH36" s="1033"/>
    </row>
    <row r="37" spans="3:34" ht="20" customHeight="1" x14ac:dyDescent="0.2">
      <c r="C37" s="828">
        <f t="shared" si="2"/>
        <v>26</v>
      </c>
      <c r="D37" s="829"/>
      <c r="E37" s="1027"/>
      <c r="F37" s="1027"/>
      <c r="G37" s="1027"/>
      <c r="H37" s="1027"/>
      <c r="I37" s="1027"/>
      <c r="J37" s="1027"/>
      <c r="K37" s="94"/>
      <c r="L37" s="94" t="s">
        <v>116</v>
      </c>
      <c r="M37" s="94"/>
      <c r="N37" s="57"/>
      <c r="O37" s="58" t="s">
        <v>116</v>
      </c>
      <c r="P37" s="59" t="s">
        <v>117</v>
      </c>
      <c r="Q37" s="1044"/>
      <c r="R37" s="1044"/>
      <c r="S37" s="67" t="s">
        <v>143</v>
      </c>
      <c r="T37" s="60"/>
      <c r="U37" s="88"/>
      <c r="V37" s="88"/>
      <c r="W37" s="1032">
        <f t="shared" si="0"/>
        <v>0</v>
      </c>
      <c r="X37" s="1032"/>
      <c r="Y37" s="1032"/>
      <c r="Z37" s="1033"/>
      <c r="AB37" s="1031">
        <v>0</v>
      </c>
      <c r="AC37" s="1032"/>
      <c r="AD37" s="1033"/>
      <c r="AF37" s="1031">
        <f t="shared" si="1"/>
        <v>0</v>
      </c>
      <c r="AG37" s="1032"/>
      <c r="AH37" s="1033"/>
    </row>
    <row r="38" spans="3:34" ht="20" customHeight="1" x14ac:dyDescent="0.2">
      <c r="C38" s="828">
        <f t="shared" si="2"/>
        <v>27</v>
      </c>
      <c r="D38" s="829"/>
      <c r="E38" s="1027"/>
      <c r="F38" s="1027"/>
      <c r="G38" s="1027"/>
      <c r="H38" s="1027"/>
      <c r="I38" s="1027"/>
      <c r="J38" s="1027"/>
      <c r="K38" s="94"/>
      <c r="L38" s="94" t="s">
        <v>116</v>
      </c>
      <c r="M38" s="94"/>
      <c r="N38" s="57"/>
      <c r="O38" s="58" t="s">
        <v>116</v>
      </c>
      <c r="P38" s="59" t="s">
        <v>117</v>
      </c>
      <c r="Q38" s="1044"/>
      <c r="R38" s="1044"/>
      <c r="S38" s="67" t="s">
        <v>143</v>
      </c>
      <c r="T38" s="60"/>
      <c r="U38" s="88"/>
      <c r="V38" s="88"/>
      <c r="W38" s="1032">
        <f t="shared" si="0"/>
        <v>0</v>
      </c>
      <c r="X38" s="1032"/>
      <c r="Y38" s="1032"/>
      <c r="Z38" s="1033"/>
      <c r="AB38" s="1031">
        <v>0</v>
      </c>
      <c r="AC38" s="1032"/>
      <c r="AD38" s="1033"/>
      <c r="AF38" s="1031">
        <f t="shared" si="1"/>
        <v>0</v>
      </c>
      <c r="AG38" s="1032"/>
      <c r="AH38" s="1033"/>
    </row>
    <row r="39" spans="3:34" ht="20" customHeight="1" x14ac:dyDescent="0.2">
      <c r="C39" s="828">
        <f t="shared" si="2"/>
        <v>28</v>
      </c>
      <c r="D39" s="829"/>
      <c r="E39" s="1027"/>
      <c r="F39" s="1027"/>
      <c r="G39" s="1027"/>
      <c r="H39" s="1027"/>
      <c r="I39" s="1027"/>
      <c r="J39" s="1027"/>
      <c r="K39" s="94"/>
      <c r="L39" s="94" t="s">
        <v>116</v>
      </c>
      <c r="M39" s="94"/>
      <c r="N39" s="57"/>
      <c r="O39" s="58" t="s">
        <v>116</v>
      </c>
      <c r="P39" s="59" t="s">
        <v>117</v>
      </c>
      <c r="Q39" s="1044"/>
      <c r="R39" s="1044"/>
      <c r="S39" s="67" t="s">
        <v>143</v>
      </c>
      <c r="T39" s="60"/>
      <c r="U39" s="88"/>
      <c r="V39" s="88"/>
      <c r="W39" s="1032">
        <f t="shared" si="0"/>
        <v>0</v>
      </c>
      <c r="X39" s="1032"/>
      <c r="Y39" s="1032"/>
      <c r="Z39" s="1033"/>
      <c r="AB39" s="1031">
        <v>0</v>
      </c>
      <c r="AC39" s="1032"/>
      <c r="AD39" s="1033"/>
      <c r="AF39" s="1031">
        <f t="shared" si="1"/>
        <v>0</v>
      </c>
      <c r="AG39" s="1032"/>
      <c r="AH39" s="1033"/>
    </row>
    <row r="40" spans="3:34" ht="20" customHeight="1" x14ac:dyDescent="0.2">
      <c r="C40" s="828">
        <f t="shared" si="2"/>
        <v>29</v>
      </c>
      <c r="D40" s="829"/>
      <c r="E40" s="1027"/>
      <c r="F40" s="1027"/>
      <c r="G40" s="1027"/>
      <c r="H40" s="1027"/>
      <c r="I40" s="1027"/>
      <c r="J40" s="1027"/>
      <c r="K40" s="94"/>
      <c r="L40" s="94" t="s">
        <v>116</v>
      </c>
      <c r="M40" s="94"/>
      <c r="N40" s="57"/>
      <c r="O40" s="58" t="s">
        <v>116</v>
      </c>
      <c r="P40" s="59" t="s">
        <v>117</v>
      </c>
      <c r="Q40" s="1044"/>
      <c r="R40" s="1044"/>
      <c r="S40" s="67" t="s">
        <v>143</v>
      </c>
      <c r="T40" s="60"/>
      <c r="U40" s="88"/>
      <c r="V40" s="88"/>
      <c r="W40" s="1032">
        <f t="shared" si="0"/>
        <v>0</v>
      </c>
      <c r="X40" s="1032"/>
      <c r="Y40" s="1032"/>
      <c r="Z40" s="1033"/>
      <c r="AB40" s="1031">
        <v>0</v>
      </c>
      <c r="AC40" s="1032"/>
      <c r="AD40" s="1033"/>
      <c r="AF40" s="1031">
        <f t="shared" si="1"/>
        <v>0</v>
      </c>
      <c r="AG40" s="1032"/>
      <c r="AH40" s="1033"/>
    </row>
    <row r="41" spans="3:34" ht="20" customHeight="1" x14ac:dyDescent="0.2">
      <c r="C41" s="828">
        <f t="shared" si="2"/>
        <v>30</v>
      </c>
      <c r="D41" s="829"/>
      <c r="E41" s="1027"/>
      <c r="F41" s="1027"/>
      <c r="G41" s="1027"/>
      <c r="H41" s="1027"/>
      <c r="I41" s="1027"/>
      <c r="J41" s="1027"/>
      <c r="K41" s="94"/>
      <c r="L41" s="94" t="s">
        <v>116</v>
      </c>
      <c r="M41" s="94"/>
      <c r="N41" s="57"/>
      <c r="O41" s="58" t="s">
        <v>116</v>
      </c>
      <c r="P41" s="59" t="s">
        <v>117</v>
      </c>
      <c r="Q41" s="1044"/>
      <c r="R41" s="1044"/>
      <c r="S41" s="67" t="s">
        <v>143</v>
      </c>
      <c r="T41" s="60"/>
      <c r="U41" s="74"/>
      <c r="V41" s="74"/>
      <c r="W41" s="1032">
        <f t="shared" si="0"/>
        <v>0</v>
      </c>
      <c r="X41" s="1032"/>
      <c r="Y41" s="1032"/>
      <c r="Z41" s="1033"/>
      <c r="AB41" s="1031">
        <v>0</v>
      </c>
      <c r="AC41" s="1032"/>
      <c r="AD41" s="1033"/>
      <c r="AF41" s="1031">
        <f t="shared" si="1"/>
        <v>0</v>
      </c>
      <c r="AG41" s="1032"/>
      <c r="AH41" s="1033"/>
    </row>
    <row r="42" spans="3:34" ht="20" customHeight="1" x14ac:dyDescent="0.2">
      <c r="C42" s="828">
        <f t="shared" si="2"/>
        <v>31</v>
      </c>
      <c r="D42" s="829"/>
      <c r="E42" s="1027"/>
      <c r="F42" s="1027"/>
      <c r="G42" s="1027"/>
      <c r="H42" s="1027"/>
      <c r="I42" s="1027"/>
      <c r="J42" s="1027"/>
      <c r="K42" s="94"/>
      <c r="L42" s="94" t="s">
        <v>116</v>
      </c>
      <c r="M42" s="94"/>
      <c r="N42" s="57"/>
      <c r="O42" s="58" t="s">
        <v>116</v>
      </c>
      <c r="P42" s="59" t="s">
        <v>117</v>
      </c>
      <c r="Q42" s="1044"/>
      <c r="R42" s="1044"/>
      <c r="S42" s="67" t="s">
        <v>143</v>
      </c>
      <c r="T42" s="60"/>
      <c r="U42" s="74"/>
      <c r="V42" s="74"/>
      <c r="W42" s="1032">
        <f t="shared" si="0"/>
        <v>0</v>
      </c>
      <c r="X42" s="1032"/>
      <c r="Y42" s="1032"/>
      <c r="Z42" s="1033"/>
      <c r="AB42" s="1031">
        <v>0</v>
      </c>
      <c r="AC42" s="1032"/>
      <c r="AD42" s="1033"/>
      <c r="AF42" s="1031">
        <f t="shared" si="1"/>
        <v>0</v>
      </c>
      <c r="AG42" s="1032"/>
      <c r="AH42" s="1033"/>
    </row>
    <row r="43" spans="3:34" ht="20" customHeight="1" x14ac:dyDescent="0.2">
      <c r="C43" s="828">
        <f t="shared" si="2"/>
        <v>32</v>
      </c>
      <c r="D43" s="829"/>
      <c r="E43" s="1027"/>
      <c r="F43" s="1027"/>
      <c r="G43" s="1027"/>
      <c r="H43" s="1027"/>
      <c r="I43" s="1027"/>
      <c r="J43" s="1027"/>
      <c r="K43" s="94"/>
      <c r="L43" s="94" t="s">
        <v>116</v>
      </c>
      <c r="M43" s="94"/>
      <c r="N43" s="57"/>
      <c r="O43" s="58" t="s">
        <v>116</v>
      </c>
      <c r="P43" s="59" t="s">
        <v>117</v>
      </c>
      <c r="Q43" s="1044"/>
      <c r="R43" s="1044"/>
      <c r="S43" s="67" t="s">
        <v>143</v>
      </c>
      <c r="T43" s="60"/>
      <c r="U43" s="74"/>
      <c r="V43" s="74"/>
      <c r="W43" s="1032">
        <f t="shared" si="0"/>
        <v>0</v>
      </c>
      <c r="X43" s="1032"/>
      <c r="Y43" s="1032"/>
      <c r="Z43" s="1033"/>
      <c r="AB43" s="1031">
        <v>0</v>
      </c>
      <c r="AC43" s="1032"/>
      <c r="AD43" s="1033"/>
      <c r="AF43" s="1031">
        <f t="shared" si="1"/>
        <v>0</v>
      </c>
      <c r="AG43" s="1032"/>
      <c r="AH43" s="1033"/>
    </row>
    <row r="44" spans="3:34" ht="20" customHeight="1" x14ac:dyDescent="0.2">
      <c r="C44" s="828">
        <f t="shared" si="2"/>
        <v>33</v>
      </c>
      <c r="D44" s="829"/>
      <c r="E44" s="1027"/>
      <c r="F44" s="1027"/>
      <c r="G44" s="1027"/>
      <c r="H44" s="1027"/>
      <c r="I44" s="1027"/>
      <c r="J44" s="1027"/>
      <c r="K44" s="94"/>
      <c r="L44" s="94" t="s">
        <v>116</v>
      </c>
      <c r="M44" s="94"/>
      <c r="N44" s="57"/>
      <c r="O44" s="58" t="s">
        <v>116</v>
      </c>
      <c r="P44" s="59" t="s">
        <v>117</v>
      </c>
      <c r="Q44" s="1044"/>
      <c r="R44" s="1044"/>
      <c r="S44" s="67" t="s">
        <v>143</v>
      </c>
      <c r="T44" s="60"/>
      <c r="U44" s="74"/>
      <c r="V44" s="74"/>
      <c r="W44" s="1032">
        <f t="shared" si="0"/>
        <v>0</v>
      </c>
      <c r="X44" s="1032"/>
      <c r="Y44" s="1032"/>
      <c r="Z44" s="1033"/>
      <c r="AB44" s="1031">
        <v>0</v>
      </c>
      <c r="AC44" s="1032"/>
      <c r="AD44" s="1033"/>
      <c r="AF44" s="1031">
        <f t="shared" si="1"/>
        <v>0</v>
      </c>
      <c r="AG44" s="1032"/>
      <c r="AH44" s="1033"/>
    </row>
    <row r="45" spans="3:34" ht="20" customHeight="1" x14ac:dyDescent="0.2">
      <c r="C45" s="828">
        <f t="shared" si="2"/>
        <v>34</v>
      </c>
      <c r="D45" s="829"/>
      <c r="E45" s="1027"/>
      <c r="F45" s="1027"/>
      <c r="G45" s="1027"/>
      <c r="H45" s="1027"/>
      <c r="I45" s="1027"/>
      <c r="J45" s="1027"/>
      <c r="K45" s="94"/>
      <c r="L45" s="94" t="s">
        <v>116</v>
      </c>
      <c r="M45" s="94"/>
      <c r="N45" s="57"/>
      <c r="O45" s="58" t="s">
        <v>116</v>
      </c>
      <c r="P45" s="59" t="s">
        <v>117</v>
      </c>
      <c r="Q45" s="1044"/>
      <c r="R45" s="1044"/>
      <c r="S45" s="67" t="s">
        <v>143</v>
      </c>
      <c r="T45" s="60"/>
      <c r="U45" s="74"/>
      <c r="V45" s="74"/>
      <c r="W45" s="1032">
        <f t="shared" si="0"/>
        <v>0</v>
      </c>
      <c r="X45" s="1032"/>
      <c r="Y45" s="1032"/>
      <c r="Z45" s="1033"/>
      <c r="AB45" s="1031">
        <v>0</v>
      </c>
      <c r="AC45" s="1032"/>
      <c r="AD45" s="1033"/>
      <c r="AF45" s="1031">
        <f t="shared" si="1"/>
        <v>0</v>
      </c>
      <c r="AG45" s="1032"/>
      <c r="AH45" s="1033"/>
    </row>
    <row r="46" spans="3:34" ht="20" customHeight="1" x14ac:dyDescent="0.2">
      <c r="C46" s="828">
        <f t="shared" si="2"/>
        <v>35</v>
      </c>
      <c r="D46" s="829"/>
      <c r="E46" s="1027"/>
      <c r="F46" s="1027"/>
      <c r="G46" s="1027"/>
      <c r="H46" s="1027"/>
      <c r="I46" s="1027"/>
      <c r="J46" s="1027"/>
      <c r="K46" s="94"/>
      <c r="L46" s="94" t="s">
        <v>116</v>
      </c>
      <c r="M46" s="94"/>
      <c r="N46" s="57"/>
      <c r="O46" s="58" t="s">
        <v>116</v>
      </c>
      <c r="P46" s="59" t="s">
        <v>117</v>
      </c>
      <c r="Q46" s="1044"/>
      <c r="R46" s="1044"/>
      <c r="S46" s="67" t="s">
        <v>143</v>
      </c>
      <c r="T46" s="60"/>
      <c r="U46" s="74"/>
      <c r="V46" s="74"/>
      <c r="W46" s="1032">
        <f t="shared" si="0"/>
        <v>0</v>
      </c>
      <c r="X46" s="1032"/>
      <c r="Y46" s="1032"/>
      <c r="Z46" s="1033"/>
      <c r="AB46" s="1031">
        <v>0</v>
      </c>
      <c r="AC46" s="1032"/>
      <c r="AD46" s="1033"/>
      <c r="AF46" s="1031">
        <f t="shared" si="1"/>
        <v>0</v>
      </c>
      <c r="AG46" s="1032"/>
      <c r="AH46" s="1033"/>
    </row>
    <row r="47" spans="3:34" ht="20" customHeight="1" x14ac:dyDescent="0.2">
      <c r="C47" s="828">
        <f t="shared" si="2"/>
        <v>36</v>
      </c>
      <c r="D47" s="829"/>
      <c r="E47" s="1045"/>
      <c r="F47" s="1045"/>
      <c r="G47" s="1045"/>
      <c r="H47" s="1045"/>
      <c r="I47" s="1045"/>
      <c r="J47" s="1045"/>
      <c r="K47" s="96"/>
      <c r="L47" s="94" t="s">
        <v>116</v>
      </c>
      <c r="M47" s="96"/>
      <c r="N47" s="61"/>
      <c r="O47" s="58" t="s">
        <v>116</v>
      </c>
      <c r="P47" s="49" t="s">
        <v>117</v>
      </c>
      <c r="Q47" s="1046"/>
      <c r="R47" s="1046"/>
      <c r="S47" s="50" t="s">
        <v>143</v>
      </c>
      <c r="T47" s="62"/>
      <c r="U47" s="89"/>
      <c r="V47" s="89"/>
      <c r="W47" s="1032">
        <f t="shared" si="0"/>
        <v>0</v>
      </c>
      <c r="X47" s="1032"/>
      <c r="Y47" s="1032"/>
      <c r="Z47" s="1033"/>
      <c r="AB47" s="1031">
        <v>0</v>
      </c>
      <c r="AC47" s="1032"/>
      <c r="AD47" s="1033"/>
      <c r="AF47" s="1031">
        <f t="shared" si="1"/>
        <v>0</v>
      </c>
      <c r="AG47" s="1032"/>
      <c r="AH47" s="1033"/>
    </row>
    <row r="48" spans="3:34" ht="20" customHeight="1" x14ac:dyDescent="0.2">
      <c r="C48" s="828">
        <f t="shared" si="2"/>
        <v>37</v>
      </c>
      <c r="D48" s="829"/>
      <c r="E48" s="1047"/>
      <c r="F48" s="1047"/>
      <c r="G48" s="1047"/>
      <c r="H48" s="1047"/>
      <c r="I48" s="1047"/>
      <c r="J48" s="1047"/>
      <c r="K48" s="95"/>
      <c r="L48" s="94" t="s">
        <v>116</v>
      </c>
      <c r="M48" s="95"/>
      <c r="N48" s="61"/>
      <c r="O48" s="58" t="s">
        <v>116</v>
      </c>
      <c r="P48" s="49" t="s">
        <v>117</v>
      </c>
      <c r="Q48" s="1046"/>
      <c r="R48" s="1046"/>
      <c r="S48" s="50" t="s">
        <v>143</v>
      </c>
      <c r="T48" s="62"/>
      <c r="U48" s="89"/>
      <c r="V48" s="89"/>
      <c r="W48" s="1032">
        <f t="shared" si="0"/>
        <v>0</v>
      </c>
      <c r="X48" s="1032"/>
      <c r="Y48" s="1032"/>
      <c r="Z48" s="1033"/>
      <c r="AB48" s="1031">
        <v>0</v>
      </c>
      <c r="AC48" s="1032"/>
      <c r="AD48" s="1033"/>
      <c r="AF48" s="1031">
        <f t="shared" si="1"/>
        <v>0</v>
      </c>
      <c r="AG48" s="1032"/>
      <c r="AH48" s="1033"/>
    </row>
    <row r="49" spans="3:45" ht="20" customHeight="1" x14ac:dyDescent="0.2">
      <c r="C49" s="828">
        <f t="shared" si="2"/>
        <v>38</v>
      </c>
      <c r="D49" s="829"/>
      <c r="E49" s="1047"/>
      <c r="F49" s="1047"/>
      <c r="G49" s="1047"/>
      <c r="H49" s="1047"/>
      <c r="I49" s="1047"/>
      <c r="J49" s="1047"/>
      <c r="K49" s="95"/>
      <c r="L49" s="94" t="s">
        <v>116</v>
      </c>
      <c r="M49" s="95"/>
      <c r="N49" s="61"/>
      <c r="O49" s="58" t="s">
        <v>116</v>
      </c>
      <c r="P49" s="49" t="s">
        <v>117</v>
      </c>
      <c r="Q49" s="1046"/>
      <c r="R49" s="1046"/>
      <c r="S49" s="50" t="s">
        <v>143</v>
      </c>
      <c r="T49" s="62"/>
      <c r="U49" s="89"/>
      <c r="V49" s="89"/>
      <c r="W49" s="1032">
        <f t="shared" si="0"/>
        <v>0</v>
      </c>
      <c r="X49" s="1032"/>
      <c r="Y49" s="1032"/>
      <c r="Z49" s="1033"/>
      <c r="AB49" s="1031">
        <v>0</v>
      </c>
      <c r="AC49" s="1032"/>
      <c r="AD49" s="1033"/>
      <c r="AF49" s="1031">
        <f t="shared" si="1"/>
        <v>0</v>
      </c>
      <c r="AG49" s="1032"/>
      <c r="AH49" s="1033"/>
    </row>
    <row r="50" spans="3:45" ht="20" customHeight="1" x14ac:dyDescent="0.2">
      <c r="C50" s="828">
        <f t="shared" si="2"/>
        <v>39</v>
      </c>
      <c r="D50" s="829"/>
      <c r="E50" s="1047"/>
      <c r="F50" s="1047"/>
      <c r="G50" s="1047"/>
      <c r="H50" s="1047"/>
      <c r="I50" s="1047"/>
      <c r="J50" s="1047"/>
      <c r="K50" s="95"/>
      <c r="L50" s="94" t="s">
        <v>116</v>
      </c>
      <c r="M50" s="95"/>
      <c r="N50" s="61"/>
      <c r="O50" s="58" t="s">
        <v>116</v>
      </c>
      <c r="P50" s="49" t="s">
        <v>117</v>
      </c>
      <c r="Q50" s="1046"/>
      <c r="R50" s="1046"/>
      <c r="S50" s="50" t="s">
        <v>143</v>
      </c>
      <c r="T50" s="62"/>
      <c r="U50" s="89"/>
      <c r="V50" s="89"/>
      <c r="W50" s="1032">
        <f t="shared" si="0"/>
        <v>0</v>
      </c>
      <c r="X50" s="1032"/>
      <c r="Y50" s="1032"/>
      <c r="Z50" s="1033"/>
      <c r="AB50" s="1031">
        <v>0</v>
      </c>
      <c r="AC50" s="1032"/>
      <c r="AD50" s="1033"/>
      <c r="AF50" s="1031">
        <f t="shared" si="1"/>
        <v>0</v>
      </c>
      <c r="AG50" s="1032"/>
      <c r="AH50" s="1033"/>
    </row>
    <row r="51" spans="3:45" ht="20" customHeight="1" x14ac:dyDescent="0.2">
      <c r="C51" s="828">
        <f t="shared" si="2"/>
        <v>40</v>
      </c>
      <c r="D51" s="829"/>
      <c r="E51" s="1047"/>
      <c r="F51" s="1047"/>
      <c r="G51" s="1047"/>
      <c r="H51" s="1047"/>
      <c r="I51" s="1047"/>
      <c r="J51" s="1047"/>
      <c r="K51" s="95"/>
      <c r="L51" s="94" t="s">
        <v>116</v>
      </c>
      <c r="M51" s="95"/>
      <c r="N51" s="61"/>
      <c r="O51" s="58" t="s">
        <v>116</v>
      </c>
      <c r="P51" s="49" t="s">
        <v>117</v>
      </c>
      <c r="Q51" s="1046"/>
      <c r="R51" s="1046"/>
      <c r="S51" s="50" t="s">
        <v>143</v>
      </c>
      <c r="T51" s="62"/>
      <c r="U51" s="89"/>
      <c r="V51" s="89"/>
      <c r="W51" s="1032">
        <f t="shared" si="0"/>
        <v>0</v>
      </c>
      <c r="X51" s="1032"/>
      <c r="Y51" s="1032"/>
      <c r="Z51" s="1033"/>
      <c r="AB51" s="1031">
        <v>0</v>
      </c>
      <c r="AC51" s="1032"/>
      <c r="AD51" s="1033"/>
      <c r="AF51" s="1031">
        <f t="shared" si="1"/>
        <v>0</v>
      </c>
      <c r="AG51" s="1032"/>
      <c r="AH51" s="1033"/>
    </row>
    <row r="52" spans="3:45" ht="20" customHeight="1" x14ac:dyDescent="0.2">
      <c r="C52" s="828">
        <f t="shared" si="2"/>
        <v>41</v>
      </c>
      <c r="D52" s="829"/>
      <c r="E52" s="1047"/>
      <c r="F52" s="1047"/>
      <c r="G52" s="1047"/>
      <c r="H52" s="1047"/>
      <c r="I52" s="1047"/>
      <c r="J52" s="1047"/>
      <c r="K52" s="95"/>
      <c r="L52" s="94" t="s">
        <v>116</v>
      </c>
      <c r="M52" s="95"/>
      <c r="N52" s="61"/>
      <c r="O52" s="58" t="s">
        <v>116</v>
      </c>
      <c r="P52" s="49" t="s">
        <v>117</v>
      </c>
      <c r="Q52" s="1046"/>
      <c r="R52" s="1046"/>
      <c r="S52" s="50" t="s">
        <v>143</v>
      </c>
      <c r="T52" s="62"/>
      <c r="U52" s="89"/>
      <c r="V52" s="89"/>
      <c r="W52" s="1032">
        <f t="shared" si="0"/>
        <v>0</v>
      </c>
      <c r="X52" s="1032"/>
      <c r="Y52" s="1032"/>
      <c r="Z52" s="1033"/>
      <c r="AB52" s="1031">
        <v>0</v>
      </c>
      <c r="AC52" s="1032"/>
      <c r="AD52" s="1033"/>
      <c r="AF52" s="1031">
        <f t="shared" si="1"/>
        <v>0</v>
      </c>
      <c r="AG52" s="1032"/>
      <c r="AH52" s="1033"/>
    </row>
    <row r="53" spans="3:45" ht="20" customHeight="1" x14ac:dyDescent="0.2">
      <c r="C53" s="828">
        <f t="shared" si="2"/>
        <v>42</v>
      </c>
      <c r="D53" s="829"/>
      <c r="E53" s="1048"/>
      <c r="F53" s="1048"/>
      <c r="G53" s="1048"/>
      <c r="H53" s="1048"/>
      <c r="I53" s="1048"/>
      <c r="J53" s="1048"/>
      <c r="K53" s="95"/>
      <c r="L53" s="94" t="s">
        <v>116</v>
      </c>
      <c r="M53" s="95"/>
      <c r="N53" s="61"/>
      <c r="O53" s="58" t="s">
        <v>116</v>
      </c>
      <c r="P53" s="49" t="s">
        <v>117</v>
      </c>
      <c r="Q53" s="1046"/>
      <c r="R53" s="1046"/>
      <c r="S53" s="50" t="s">
        <v>143</v>
      </c>
      <c r="T53" s="62"/>
      <c r="U53" s="89"/>
      <c r="V53" s="89"/>
      <c r="W53" s="1032">
        <f t="shared" si="0"/>
        <v>0</v>
      </c>
      <c r="X53" s="1032"/>
      <c r="Y53" s="1032"/>
      <c r="Z53" s="1033"/>
      <c r="AB53" s="1031">
        <v>0</v>
      </c>
      <c r="AC53" s="1032"/>
      <c r="AD53" s="1033"/>
      <c r="AF53" s="1031">
        <f t="shared" si="1"/>
        <v>0</v>
      </c>
      <c r="AG53" s="1032"/>
      <c r="AH53" s="1033"/>
    </row>
    <row r="54" spans="3:45" ht="20" customHeight="1" x14ac:dyDescent="0.2">
      <c r="C54" s="828">
        <f t="shared" si="2"/>
        <v>43</v>
      </c>
      <c r="D54" s="829"/>
      <c r="E54" s="1027"/>
      <c r="F54" s="1027"/>
      <c r="G54" s="1027"/>
      <c r="H54" s="1027"/>
      <c r="I54" s="1027"/>
      <c r="J54" s="1027"/>
      <c r="K54" s="94"/>
      <c r="L54" s="94" t="s">
        <v>116</v>
      </c>
      <c r="M54" s="94"/>
      <c r="N54" s="57"/>
      <c r="O54" s="58" t="s">
        <v>116</v>
      </c>
      <c r="P54" s="59" t="s">
        <v>117</v>
      </c>
      <c r="Q54" s="1044"/>
      <c r="R54" s="1044"/>
      <c r="S54" s="67" t="s">
        <v>143</v>
      </c>
      <c r="T54" s="60"/>
      <c r="U54" s="88"/>
      <c r="V54" s="88"/>
      <c r="W54" s="1032">
        <f t="shared" si="0"/>
        <v>0</v>
      </c>
      <c r="X54" s="1032"/>
      <c r="Y54" s="1032"/>
      <c r="Z54" s="1033"/>
      <c r="AB54" s="1031">
        <v>0</v>
      </c>
      <c r="AC54" s="1032"/>
      <c r="AD54" s="1033"/>
      <c r="AF54" s="1031">
        <f t="shared" si="1"/>
        <v>0</v>
      </c>
      <c r="AG54" s="1032"/>
      <c r="AH54" s="1033"/>
    </row>
    <row r="55" spans="3:45" ht="20" customHeight="1" x14ac:dyDescent="0.2">
      <c r="C55" s="828">
        <f t="shared" si="2"/>
        <v>44</v>
      </c>
      <c r="D55" s="829"/>
      <c r="E55" s="1027"/>
      <c r="F55" s="1027"/>
      <c r="G55" s="1027"/>
      <c r="H55" s="1027"/>
      <c r="I55" s="1027"/>
      <c r="J55" s="1027"/>
      <c r="K55" s="94"/>
      <c r="L55" s="94" t="s">
        <v>116</v>
      </c>
      <c r="M55" s="94"/>
      <c r="N55" s="57"/>
      <c r="O55" s="58" t="s">
        <v>116</v>
      </c>
      <c r="P55" s="59" t="s">
        <v>117</v>
      </c>
      <c r="Q55" s="1044"/>
      <c r="R55" s="1044"/>
      <c r="S55" s="67" t="s">
        <v>143</v>
      </c>
      <c r="T55" s="60"/>
      <c r="U55" s="88"/>
      <c r="V55" s="88"/>
      <c r="W55" s="1032">
        <f t="shared" si="0"/>
        <v>0</v>
      </c>
      <c r="X55" s="1032"/>
      <c r="Y55" s="1032"/>
      <c r="Z55" s="1033"/>
      <c r="AB55" s="1031">
        <v>0</v>
      </c>
      <c r="AC55" s="1032"/>
      <c r="AD55" s="1033"/>
      <c r="AF55" s="1031">
        <f t="shared" si="1"/>
        <v>0</v>
      </c>
      <c r="AG55" s="1032"/>
      <c r="AH55" s="1033"/>
    </row>
    <row r="56" spans="3:45" ht="20" customHeight="1" x14ac:dyDescent="0.2">
      <c r="C56" s="828">
        <f t="shared" si="2"/>
        <v>45</v>
      </c>
      <c r="D56" s="829"/>
      <c r="E56" s="1027"/>
      <c r="F56" s="1027"/>
      <c r="G56" s="1027"/>
      <c r="H56" s="1027"/>
      <c r="I56" s="1027"/>
      <c r="J56" s="1027"/>
      <c r="K56" s="94"/>
      <c r="L56" s="94" t="s">
        <v>116</v>
      </c>
      <c r="M56" s="94"/>
      <c r="N56" s="57"/>
      <c r="O56" s="58" t="s">
        <v>116</v>
      </c>
      <c r="P56" s="59" t="s">
        <v>117</v>
      </c>
      <c r="Q56" s="1044"/>
      <c r="R56" s="1044"/>
      <c r="S56" s="67" t="s">
        <v>143</v>
      </c>
      <c r="T56" s="60"/>
      <c r="U56" s="88"/>
      <c r="V56" s="88"/>
      <c r="W56" s="1032">
        <f t="shared" si="0"/>
        <v>0</v>
      </c>
      <c r="X56" s="1032"/>
      <c r="Y56" s="1032"/>
      <c r="Z56" s="1033"/>
      <c r="AB56" s="1031">
        <v>0</v>
      </c>
      <c r="AC56" s="1032"/>
      <c r="AD56" s="1033"/>
      <c r="AF56" s="1031">
        <f t="shared" si="1"/>
        <v>0</v>
      </c>
      <c r="AG56" s="1032"/>
      <c r="AH56" s="1033"/>
    </row>
    <row r="57" spans="3:45" ht="20" customHeight="1" x14ac:dyDescent="0.2">
      <c r="C57" s="828">
        <f t="shared" si="2"/>
        <v>46</v>
      </c>
      <c r="D57" s="829"/>
      <c r="E57" s="1027"/>
      <c r="F57" s="1027"/>
      <c r="G57" s="1027"/>
      <c r="H57" s="1027"/>
      <c r="I57" s="1027"/>
      <c r="J57" s="1027"/>
      <c r="K57" s="94"/>
      <c r="L57" s="94" t="s">
        <v>116</v>
      </c>
      <c r="M57" s="94"/>
      <c r="N57" s="57"/>
      <c r="O57" s="58" t="s">
        <v>116</v>
      </c>
      <c r="P57" s="59" t="s">
        <v>117</v>
      </c>
      <c r="Q57" s="1044"/>
      <c r="R57" s="1044"/>
      <c r="S57" s="67" t="s">
        <v>143</v>
      </c>
      <c r="T57" s="60"/>
      <c r="U57" s="88"/>
      <c r="V57" s="88"/>
      <c r="W57" s="1032">
        <f t="shared" si="0"/>
        <v>0</v>
      </c>
      <c r="X57" s="1032"/>
      <c r="Y57" s="1032"/>
      <c r="Z57" s="1033"/>
      <c r="AB57" s="1031">
        <v>0</v>
      </c>
      <c r="AC57" s="1032"/>
      <c r="AD57" s="1033"/>
      <c r="AF57" s="1031">
        <f t="shared" si="1"/>
        <v>0</v>
      </c>
      <c r="AG57" s="1032"/>
      <c r="AH57" s="1033"/>
    </row>
    <row r="58" spans="3:45" ht="20" customHeight="1" x14ac:dyDescent="0.2">
      <c r="C58" s="828">
        <f t="shared" si="2"/>
        <v>47</v>
      </c>
      <c r="D58" s="829"/>
      <c r="E58" s="1027"/>
      <c r="F58" s="1027"/>
      <c r="G58" s="1027"/>
      <c r="H58" s="1027"/>
      <c r="I58" s="1027"/>
      <c r="J58" s="1027"/>
      <c r="K58" s="94"/>
      <c r="L58" s="94" t="s">
        <v>116</v>
      </c>
      <c r="M58" s="94"/>
      <c r="N58" s="57"/>
      <c r="O58" s="58" t="s">
        <v>116</v>
      </c>
      <c r="P58" s="59" t="s">
        <v>117</v>
      </c>
      <c r="Q58" s="1044"/>
      <c r="R58" s="1044"/>
      <c r="S58" s="67" t="s">
        <v>143</v>
      </c>
      <c r="T58" s="60"/>
      <c r="U58" s="88"/>
      <c r="V58" s="88"/>
      <c r="W58" s="1032">
        <f t="shared" si="0"/>
        <v>0</v>
      </c>
      <c r="X58" s="1032"/>
      <c r="Y58" s="1032"/>
      <c r="Z58" s="1033"/>
      <c r="AB58" s="1031">
        <v>0</v>
      </c>
      <c r="AC58" s="1032"/>
      <c r="AD58" s="1033"/>
      <c r="AF58" s="1031">
        <f t="shared" si="1"/>
        <v>0</v>
      </c>
      <c r="AG58" s="1032"/>
      <c r="AH58" s="1033"/>
    </row>
    <row r="59" spans="3:45" ht="20" customHeight="1" x14ac:dyDescent="0.2">
      <c r="C59" s="828">
        <f t="shared" si="2"/>
        <v>48</v>
      </c>
      <c r="D59" s="829"/>
      <c r="E59" s="1027"/>
      <c r="F59" s="1027"/>
      <c r="G59" s="1027"/>
      <c r="H59" s="1027"/>
      <c r="I59" s="1027"/>
      <c r="J59" s="1027"/>
      <c r="K59" s="94"/>
      <c r="L59" s="94" t="s">
        <v>116</v>
      </c>
      <c r="M59" s="94"/>
      <c r="N59" s="57"/>
      <c r="O59" s="58" t="s">
        <v>116</v>
      </c>
      <c r="P59" s="59" t="s">
        <v>117</v>
      </c>
      <c r="Q59" s="1044"/>
      <c r="R59" s="1044"/>
      <c r="S59" s="67" t="s">
        <v>143</v>
      </c>
      <c r="T59" s="60"/>
      <c r="U59" s="88"/>
      <c r="V59" s="88"/>
      <c r="W59" s="1032">
        <f t="shared" si="0"/>
        <v>0</v>
      </c>
      <c r="X59" s="1032"/>
      <c r="Y59" s="1032"/>
      <c r="Z59" s="1033"/>
      <c r="AB59" s="1031">
        <v>0</v>
      </c>
      <c r="AC59" s="1032"/>
      <c r="AD59" s="1033"/>
      <c r="AF59" s="1031">
        <f t="shared" si="1"/>
        <v>0</v>
      </c>
      <c r="AG59" s="1032"/>
      <c r="AH59" s="1033"/>
    </row>
    <row r="60" spans="3:45" ht="20" customHeight="1" x14ac:dyDescent="0.2">
      <c r="C60" s="828">
        <f t="shared" si="2"/>
        <v>49</v>
      </c>
      <c r="D60" s="829"/>
      <c r="E60" s="1045"/>
      <c r="F60" s="1045"/>
      <c r="G60" s="1045"/>
      <c r="H60" s="1045"/>
      <c r="I60" s="1045"/>
      <c r="J60" s="1045"/>
      <c r="K60" s="96"/>
      <c r="L60" s="94" t="s">
        <v>116</v>
      </c>
      <c r="M60" s="96"/>
      <c r="N60" s="57"/>
      <c r="O60" s="58" t="s">
        <v>116</v>
      </c>
      <c r="P60" s="59" t="s">
        <v>117</v>
      </c>
      <c r="Q60" s="1044"/>
      <c r="R60" s="1044"/>
      <c r="S60" s="67" t="s">
        <v>143</v>
      </c>
      <c r="T60" s="60"/>
      <c r="U60" s="88"/>
      <c r="V60" s="88"/>
      <c r="W60" s="1032">
        <f t="shared" si="0"/>
        <v>0</v>
      </c>
      <c r="X60" s="1032"/>
      <c r="Y60" s="1032"/>
      <c r="Z60" s="1033"/>
      <c r="AB60" s="1031">
        <v>0</v>
      </c>
      <c r="AC60" s="1032"/>
      <c r="AD60" s="1033"/>
      <c r="AF60" s="1031">
        <f t="shared" si="1"/>
        <v>0</v>
      </c>
      <c r="AG60" s="1032"/>
      <c r="AH60" s="1033"/>
    </row>
    <row r="61" spans="3:45" ht="20" customHeight="1" x14ac:dyDescent="0.2">
      <c r="C61" s="826" t="str">
        <f>"Sub Total "&amp;D8</f>
        <v>Sub Total Blank</v>
      </c>
      <c r="D61" s="826"/>
      <c r="E61" s="826"/>
      <c r="F61" s="826"/>
      <c r="G61" s="826"/>
      <c r="H61" s="826"/>
      <c r="I61" s="826"/>
      <c r="J61" s="826"/>
      <c r="K61" s="826"/>
      <c r="L61" s="826"/>
      <c r="M61" s="826"/>
      <c r="N61" s="826"/>
      <c r="O61" s="826"/>
      <c r="P61" s="826"/>
      <c r="Q61" s="826"/>
      <c r="R61" s="826"/>
      <c r="S61" s="826"/>
      <c r="T61" s="826"/>
      <c r="U61" s="826"/>
      <c r="V61" s="827"/>
      <c r="W61" s="1049">
        <f>SUM(W11:W60)</f>
        <v>0</v>
      </c>
      <c r="X61" s="1050"/>
      <c r="Y61" s="1050"/>
      <c r="Z61" s="1051"/>
      <c r="AB61" s="1031">
        <f>SUM(AB11:AD60)</f>
        <v>0</v>
      </c>
      <c r="AC61" s="1032"/>
      <c r="AD61" s="1033"/>
      <c r="AF61" s="1031">
        <f>AB61-W61</f>
        <v>0</v>
      </c>
      <c r="AG61" s="1032"/>
      <c r="AH61" s="1033"/>
    </row>
    <row r="62" spans="3:45" ht="20" customHeight="1" x14ac:dyDescent="0.2">
      <c r="C62" s="826" t="str">
        <f>"Handling "&amp;D8</f>
        <v>Handling Blank</v>
      </c>
      <c r="D62" s="826"/>
      <c r="E62" s="826"/>
      <c r="F62" s="826"/>
      <c r="G62" s="826"/>
      <c r="H62" s="826"/>
      <c r="I62" s="826"/>
      <c r="J62" s="826"/>
      <c r="K62" s="826"/>
      <c r="L62" s="826"/>
      <c r="M62" s="826"/>
      <c r="N62" s="826"/>
      <c r="O62" s="826"/>
      <c r="P62" s="826"/>
      <c r="Q62" s="826"/>
      <c r="R62" s="826"/>
      <c r="S62" s="826"/>
      <c r="T62" s="826"/>
      <c r="U62" s="826"/>
      <c r="V62" s="827"/>
      <c r="W62" s="1049">
        <f>W61*thisSheetHandling</f>
        <v>0</v>
      </c>
      <c r="X62" s="1050"/>
      <c r="Y62" s="1050"/>
      <c r="Z62" s="1051"/>
      <c r="AB62" s="1031">
        <f>W62</f>
        <v>0</v>
      </c>
      <c r="AC62" s="1032"/>
      <c r="AD62" s="1033"/>
      <c r="AF62" s="1031">
        <f>AB62-W62</f>
        <v>0</v>
      </c>
      <c r="AG62" s="1032"/>
      <c r="AH62" s="1033"/>
      <c r="AJ62" s="1052" t="str">
        <f>"Handling "&amp;D8</f>
        <v>Handling Blank</v>
      </c>
      <c r="AK62" s="1053"/>
      <c r="AL62" s="1053"/>
      <c r="AM62" s="1053"/>
      <c r="AN62" s="1053"/>
      <c r="AO62" s="1053"/>
      <c r="AP62" s="1053"/>
      <c r="AQ62" s="1054"/>
      <c r="AR62" s="1055">
        <v>0</v>
      </c>
      <c r="AS62" s="1056"/>
    </row>
    <row r="63" spans="3:45" ht="20" customHeight="1" x14ac:dyDescent="0.2">
      <c r="C63" s="826" t="str">
        <f>"Total "&amp;D8</f>
        <v>Total Blank</v>
      </c>
      <c r="D63" s="826"/>
      <c r="E63" s="826"/>
      <c r="F63" s="826"/>
      <c r="G63" s="826"/>
      <c r="H63" s="826"/>
      <c r="I63" s="826"/>
      <c r="J63" s="826"/>
      <c r="K63" s="826"/>
      <c r="L63" s="826"/>
      <c r="M63" s="826"/>
      <c r="N63" s="826"/>
      <c r="O63" s="826"/>
      <c r="P63" s="826"/>
      <c r="Q63" s="826"/>
      <c r="R63" s="826"/>
      <c r="S63" s="826"/>
      <c r="T63" s="826"/>
      <c r="U63" s="826"/>
      <c r="V63" s="1057"/>
      <c r="W63" s="1058">
        <f>SUM(W61:Z62)</f>
        <v>0</v>
      </c>
      <c r="X63" s="1059"/>
      <c r="Y63" s="1059"/>
      <c r="Z63" s="1060"/>
      <c r="AB63" s="1031">
        <f>SUM(AB61:AD62)</f>
        <v>0</v>
      </c>
      <c r="AC63" s="1032"/>
      <c r="AD63" s="1033"/>
      <c r="AF63" s="1031">
        <f>AB63-W63</f>
        <v>0</v>
      </c>
      <c r="AG63" s="1032"/>
      <c r="AH63" s="1033"/>
    </row>
  </sheetData>
  <mergeCells count="324">
    <mergeCell ref="C62:V62"/>
    <mergeCell ref="W62:Z62"/>
    <mergeCell ref="AF62:AH62"/>
    <mergeCell ref="AJ62:AQ62"/>
    <mergeCell ref="AR62:AS62"/>
    <mergeCell ref="C63:V63"/>
    <mergeCell ref="W63:Z63"/>
    <mergeCell ref="AF63:AH63"/>
    <mergeCell ref="C60:D60"/>
    <mergeCell ref="E60:J60"/>
    <mergeCell ref="Q60:R60"/>
    <mergeCell ref="W60:Z60"/>
    <mergeCell ref="AF60:AH60"/>
    <mergeCell ref="C61:V61"/>
    <mergeCell ref="W61:Z61"/>
    <mergeCell ref="AF61:AH61"/>
    <mergeCell ref="AB60:AD60"/>
    <mergeCell ref="AB61:AD61"/>
    <mergeCell ref="AB62:AD62"/>
    <mergeCell ref="AB63:AD63"/>
    <mergeCell ref="C58:D58"/>
    <mergeCell ref="E58:J58"/>
    <mergeCell ref="Q58:R58"/>
    <mergeCell ref="W58:Z58"/>
    <mergeCell ref="AF58:AH58"/>
    <mergeCell ref="C59:D59"/>
    <mergeCell ref="E59:J59"/>
    <mergeCell ref="Q59:R59"/>
    <mergeCell ref="W59:Z59"/>
    <mergeCell ref="AF59:AH59"/>
    <mergeCell ref="AB58:AD58"/>
    <mergeCell ref="AB59:AD59"/>
    <mergeCell ref="C56:D56"/>
    <mergeCell ref="E56:J56"/>
    <mergeCell ref="Q56:R56"/>
    <mergeCell ref="W56:Z56"/>
    <mergeCell ref="AF56:AH56"/>
    <mergeCell ref="C57:D57"/>
    <mergeCell ref="E57:J57"/>
    <mergeCell ref="Q57:R57"/>
    <mergeCell ref="W57:Z57"/>
    <mergeCell ref="AF57:AH57"/>
    <mergeCell ref="AB56:AD56"/>
    <mergeCell ref="AB57:AD57"/>
    <mergeCell ref="C54:D54"/>
    <mergeCell ref="E54:J54"/>
    <mergeCell ref="Q54:R54"/>
    <mergeCell ref="W54:Z54"/>
    <mergeCell ref="AF54:AH54"/>
    <mergeCell ref="C55:D55"/>
    <mergeCell ref="E55:J55"/>
    <mergeCell ref="Q55:R55"/>
    <mergeCell ref="W55:Z55"/>
    <mergeCell ref="AF55:AH55"/>
    <mergeCell ref="AB54:AD54"/>
    <mergeCell ref="AB55:AD55"/>
    <mergeCell ref="C52:D52"/>
    <mergeCell ref="E52:J52"/>
    <mergeCell ref="Q52:R52"/>
    <mergeCell ref="W52:Z52"/>
    <mergeCell ref="AF52:AH52"/>
    <mergeCell ref="C53:D53"/>
    <mergeCell ref="E53:J53"/>
    <mergeCell ref="Q53:R53"/>
    <mergeCell ref="W53:Z53"/>
    <mergeCell ref="AF53:AH53"/>
    <mergeCell ref="AB52:AD52"/>
    <mergeCell ref="AB53:AD53"/>
    <mergeCell ref="C50:D50"/>
    <mergeCell ref="E50:J50"/>
    <mergeCell ref="Q50:R50"/>
    <mergeCell ref="W50:Z50"/>
    <mergeCell ref="AF50:AH50"/>
    <mergeCell ref="C51:D51"/>
    <mergeCell ref="E51:J51"/>
    <mergeCell ref="Q51:R51"/>
    <mergeCell ref="W51:Z51"/>
    <mergeCell ref="AF51:AH51"/>
    <mergeCell ref="AB50:AD50"/>
    <mergeCell ref="AB51:AD51"/>
    <mergeCell ref="C48:D48"/>
    <mergeCell ref="E48:J48"/>
    <mergeCell ref="Q48:R48"/>
    <mergeCell ref="W48:Z48"/>
    <mergeCell ref="AF48:AH48"/>
    <mergeCell ref="C49:D49"/>
    <mergeCell ref="E49:J49"/>
    <mergeCell ref="Q49:R49"/>
    <mergeCell ref="W49:Z49"/>
    <mergeCell ref="AF49:AH49"/>
    <mergeCell ref="AB48:AD48"/>
    <mergeCell ref="AB49:AD49"/>
    <mergeCell ref="C46:D46"/>
    <mergeCell ref="E46:J46"/>
    <mergeCell ref="Q46:R46"/>
    <mergeCell ref="W46:Z46"/>
    <mergeCell ref="AF46:AH46"/>
    <mergeCell ref="C47:D47"/>
    <mergeCell ref="E47:J47"/>
    <mergeCell ref="Q47:R47"/>
    <mergeCell ref="W47:Z47"/>
    <mergeCell ref="AF47:AH47"/>
    <mergeCell ref="AB46:AD46"/>
    <mergeCell ref="AB47:AD47"/>
    <mergeCell ref="C44:D44"/>
    <mergeCell ref="E44:J44"/>
    <mergeCell ref="Q44:R44"/>
    <mergeCell ref="W44:Z44"/>
    <mergeCell ref="AF44:AH44"/>
    <mergeCell ref="C45:D45"/>
    <mergeCell ref="E45:J45"/>
    <mergeCell ref="Q45:R45"/>
    <mergeCell ref="W45:Z45"/>
    <mergeCell ref="AF45:AH45"/>
    <mergeCell ref="AB44:AD44"/>
    <mergeCell ref="AB45:AD45"/>
    <mergeCell ref="C42:D42"/>
    <mergeCell ref="E42:J42"/>
    <mergeCell ref="Q42:R42"/>
    <mergeCell ref="W42:Z42"/>
    <mergeCell ref="AF42:AH42"/>
    <mergeCell ref="C43:D43"/>
    <mergeCell ref="E43:J43"/>
    <mergeCell ref="Q43:R43"/>
    <mergeCell ref="W43:Z43"/>
    <mergeCell ref="AF43:AH43"/>
    <mergeCell ref="AB42:AD42"/>
    <mergeCell ref="AB43:AD43"/>
    <mergeCell ref="C40:D40"/>
    <mergeCell ref="E40:J40"/>
    <mergeCell ref="Q40:R40"/>
    <mergeCell ref="W40:Z40"/>
    <mergeCell ref="AF40:AH40"/>
    <mergeCell ref="C41:D41"/>
    <mergeCell ref="E41:J41"/>
    <mergeCell ref="Q41:R41"/>
    <mergeCell ref="W41:Z41"/>
    <mergeCell ref="AF41:AH41"/>
    <mergeCell ref="AB40:AD40"/>
    <mergeCell ref="AB41:AD41"/>
    <mergeCell ref="C38:D38"/>
    <mergeCell ref="E38:J38"/>
    <mergeCell ref="Q38:R38"/>
    <mergeCell ref="W38:Z38"/>
    <mergeCell ref="AF38:AH38"/>
    <mergeCell ref="C39:D39"/>
    <mergeCell ref="E39:J39"/>
    <mergeCell ref="Q39:R39"/>
    <mergeCell ref="W39:Z39"/>
    <mergeCell ref="AF39:AH39"/>
    <mergeCell ref="AB38:AD38"/>
    <mergeCell ref="AB39:AD39"/>
    <mergeCell ref="C36:D36"/>
    <mergeCell ref="E36:J36"/>
    <mergeCell ref="Q36:R36"/>
    <mergeCell ref="W36:Z36"/>
    <mergeCell ref="AF36:AH36"/>
    <mergeCell ref="C37:D37"/>
    <mergeCell ref="E37:J37"/>
    <mergeCell ref="Q37:R37"/>
    <mergeCell ref="W37:Z37"/>
    <mergeCell ref="AF37:AH37"/>
    <mergeCell ref="AB36:AD36"/>
    <mergeCell ref="AB37:AD37"/>
    <mergeCell ref="C34:D34"/>
    <mergeCell ref="E34:J34"/>
    <mergeCell ref="Q34:R34"/>
    <mergeCell ref="W34:Z34"/>
    <mergeCell ref="AF34:AH34"/>
    <mergeCell ref="C35:D35"/>
    <mergeCell ref="E35:J35"/>
    <mergeCell ref="Q35:R35"/>
    <mergeCell ref="W35:Z35"/>
    <mergeCell ref="AF35:AH35"/>
    <mergeCell ref="AB34:AD34"/>
    <mergeCell ref="AB35:AD35"/>
    <mergeCell ref="C32:D32"/>
    <mergeCell ref="E32:J32"/>
    <mergeCell ref="Q32:R32"/>
    <mergeCell ref="W32:Z32"/>
    <mergeCell ref="AF32:AH32"/>
    <mergeCell ref="C33:D33"/>
    <mergeCell ref="E33:J33"/>
    <mergeCell ref="Q33:R33"/>
    <mergeCell ref="W33:Z33"/>
    <mergeCell ref="AF33:AH33"/>
    <mergeCell ref="AB32:AD32"/>
    <mergeCell ref="AB33:AD33"/>
    <mergeCell ref="C30:D30"/>
    <mergeCell ref="E30:J30"/>
    <mergeCell ref="Q30:R30"/>
    <mergeCell ref="W30:Z30"/>
    <mergeCell ref="AF30:AH30"/>
    <mergeCell ref="C31:D31"/>
    <mergeCell ref="E31:J31"/>
    <mergeCell ref="Q31:R31"/>
    <mergeCell ref="W31:Z31"/>
    <mergeCell ref="AF31:AH31"/>
    <mergeCell ref="AB30:AD30"/>
    <mergeCell ref="AB31:AD31"/>
    <mergeCell ref="C28:D28"/>
    <mergeCell ref="E28:J28"/>
    <mergeCell ref="Q28:R28"/>
    <mergeCell ref="W28:Z28"/>
    <mergeCell ref="AF28:AH28"/>
    <mergeCell ref="C29:D29"/>
    <mergeCell ref="E29:J29"/>
    <mergeCell ref="Q29:R29"/>
    <mergeCell ref="W29:Z29"/>
    <mergeCell ref="AF29:AH29"/>
    <mergeCell ref="AB28:AD28"/>
    <mergeCell ref="AB29:AD29"/>
    <mergeCell ref="C26:D26"/>
    <mergeCell ref="E26:J26"/>
    <mergeCell ref="Q26:R26"/>
    <mergeCell ref="W26:Z26"/>
    <mergeCell ref="AF26:AH26"/>
    <mergeCell ref="C27:D27"/>
    <mergeCell ref="E27:J27"/>
    <mergeCell ref="Q27:R27"/>
    <mergeCell ref="W27:Z27"/>
    <mergeCell ref="AF27:AH27"/>
    <mergeCell ref="AB26:AD26"/>
    <mergeCell ref="AB27:AD27"/>
    <mergeCell ref="C24:D24"/>
    <mergeCell ref="E24:J24"/>
    <mergeCell ref="Q24:R24"/>
    <mergeCell ref="W24:Z24"/>
    <mergeCell ref="AF24:AH24"/>
    <mergeCell ref="C25:D25"/>
    <mergeCell ref="E25:J25"/>
    <mergeCell ref="Q25:R25"/>
    <mergeCell ref="W25:Z25"/>
    <mergeCell ref="AF25:AH25"/>
    <mergeCell ref="AB24:AD24"/>
    <mergeCell ref="AB25:AD25"/>
    <mergeCell ref="C22:D22"/>
    <mergeCell ref="E22:J22"/>
    <mergeCell ref="Q22:R22"/>
    <mergeCell ref="W22:Z22"/>
    <mergeCell ref="AF22:AH22"/>
    <mergeCell ref="C23:D23"/>
    <mergeCell ref="E23:J23"/>
    <mergeCell ref="Q23:R23"/>
    <mergeCell ref="W23:Z23"/>
    <mergeCell ref="AF23:AH23"/>
    <mergeCell ref="AB22:AD22"/>
    <mergeCell ref="AB23:AD23"/>
    <mergeCell ref="C20:D20"/>
    <mergeCell ref="E20:J20"/>
    <mergeCell ref="Q20:R20"/>
    <mergeCell ref="W20:Z20"/>
    <mergeCell ref="AF20:AH20"/>
    <mergeCell ref="C21:D21"/>
    <mergeCell ref="E21:J21"/>
    <mergeCell ref="Q21:R21"/>
    <mergeCell ref="W21:Z21"/>
    <mergeCell ref="AF21:AH21"/>
    <mergeCell ref="AB20:AD20"/>
    <mergeCell ref="AB21:AD21"/>
    <mergeCell ref="C18:D18"/>
    <mergeCell ref="E18:J18"/>
    <mergeCell ref="Q18:R18"/>
    <mergeCell ref="W18:Z18"/>
    <mergeCell ref="AF18:AH18"/>
    <mergeCell ref="C19:D19"/>
    <mergeCell ref="E19:J19"/>
    <mergeCell ref="Q19:R19"/>
    <mergeCell ref="W19:Z19"/>
    <mergeCell ref="AF19:AH19"/>
    <mergeCell ref="AB18:AD18"/>
    <mergeCell ref="AB19:AD19"/>
    <mergeCell ref="C16:D16"/>
    <mergeCell ref="E16:J16"/>
    <mergeCell ref="Q16:R16"/>
    <mergeCell ref="W16:Z16"/>
    <mergeCell ref="AF16:AH16"/>
    <mergeCell ref="C17:D17"/>
    <mergeCell ref="E17:J17"/>
    <mergeCell ref="Q17:R17"/>
    <mergeCell ref="W17:Z17"/>
    <mergeCell ref="AF17:AH17"/>
    <mergeCell ref="AB16:AD16"/>
    <mergeCell ref="AB17:AD17"/>
    <mergeCell ref="C14:D14"/>
    <mergeCell ref="E14:J14"/>
    <mergeCell ref="Q14:R14"/>
    <mergeCell ref="W14:Z14"/>
    <mergeCell ref="AF14:AH14"/>
    <mergeCell ref="C15:D15"/>
    <mergeCell ref="E15:J15"/>
    <mergeCell ref="Q15:R15"/>
    <mergeCell ref="W15:Z15"/>
    <mergeCell ref="AF15:AH15"/>
    <mergeCell ref="AB14:AD14"/>
    <mergeCell ref="AB15:AD15"/>
    <mergeCell ref="C12:D12"/>
    <mergeCell ref="E12:J12"/>
    <mergeCell ref="Q12:R12"/>
    <mergeCell ref="W12:Z12"/>
    <mergeCell ref="AF12:AH12"/>
    <mergeCell ref="C13:D13"/>
    <mergeCell ref="E13:J13"/>
    <mergeCell ref="Q13:R13"/>
    <mergeCell ref="W13:Z13"/>
    <mergeCell ref="AF13:AH13"/>
    <mergeCell ref="AB12:AD12"/>
    <mergeCell ref="AB13:AD13"/>
    <mergeCell ref="AF9:AH10"/>
    <mergeCell ref="K10:M10"/>
    <mergeCell ref="N10:O10"/>
    <mergeCell ref="C11:D11"/>
    <mergeCell ref="E11:J11"/>
    <mergeCell ref="Q11:R11"/>
    <mergeCell ref="W11:Z11"/>
    <mergeCell ref="AF11:AH11"/>
    <mergeCell ref="D8:Z8"/>
    <mergeCell ref="D9:J10"/>
    <mergeCell ref="K9:O9"/>
    <mergeCell ref="Q9:R10"/>
    <mergeCell ref="T9:T10"/>
    <mergeCell ref="X9:Z10"/>
    <mergeCell ref="AB9:AD10"/>
    <mergeCell ref="AB11:AD11"/>
  </mergeCells>
  <pageMargins left="0.7" right="0.7" top="0.75" bottom="0.75" header="0.3" footer="0.3"/>
  <pageSetup scale="59" orientation="portrait" horizontalDpi="1200" verticalDpi="120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9D9749-2070-48A1-A1C3-BE44317D6D2B}">
  <sheetPr codeName="Sheet12">
    <pageSetUpPr fitToPage="1"/>
  </sheetPr>
  <dimension ref="C1:DD71"/>
  <sheetViews>
    <sheetView view="pageBreakPreview" topLeftCell="A3" zoomScale="60" zoomScaleNormal="100" workbookViewId="0">
      <selection activeCell="AO99" sqref="AO99"/>
    </sheetView>
  </sheetViews>
  <sheetFormatPr baseColWidth="10" defaultColWidth="10.6640625" defaultRowHeight="17" x14ac:dyDescent="0.2"/>
  <cols>
    <col min="1" max="2" width="4.6640625" style="7" customWidth="1"/>
    <col min="3" max="3" width="4.6640625" style="19" customWidth="1"/>
    <col min="4" max="16" width="4.6640625" style="7" customWidth="1"/>
    <col min="17" max="18" width="4.6640625" style="30" customWidth="1"/>
    <col min="19" max="23" width="4.6640625" style="7" customWidth="1"/>
    <col min="24" max="26" width="4.6640625" style="24" customWidth="1"/>
    <col min="27" max="35" width="4.6640625" customWidth="1"/>
    <col min="36" max="37" width="4.6640625" style="29" customWidth="1"/>
    <col min="38" max="38" width="4.6640625" style="7" customWidth="1"/>
    <col min="39" max="41" width="4.6640625" style="24" customWidth="1"/>
    <col min="42" max="49" width="4.6640625" style="7" customWidth="1"/>
    <col min="50" max="107" width="10.6640625" style="7"/>
    <col min="108" max="108" width="0" style="7" hidden="1" customWidth="1"/>
    <col min="109" max="16384" width="10.6640625" style="7"/>
  </cols>
  <sheetData>
    <row r="1" spans="3:108" ht="16.5" customHeight="1" x14ac:dyDescent="0.2">
      <c r="C1"/>
      <c r="D1"/>
      <c r="E1"/>
      <c r="F1"/>
      <c r="G1"/>
      <c r="I1"/>
      <c r="J1"/>
      <c r="K1"/>
      <c r="P1"/>
      <c r="Q1"/>
      <c r="R1" s="63"/>
      <c r="AA1" s="7"/>
      <c r="AB1" s="7"/>
      <c r="AC1" s="7"/>
      <c r="AD1" s="7"/>
      <c r="AE1" s="63"/>
      <c r="AF1" s="7"/>
      <c r="AG1" s="7"/>
      <c r="AH1" s="7"/>
      <c r="AI1" s="63"/>
      <c r="AJ1" s="63"/>
      <c r="AK1" s="7"/>
      <c r="AM1" s="7"/>
      <c r="AN1" s="7"/>
      <c r="AO1" s="7"/>
      <c r="AP1" s="24"/>
      <c r="AQ1" s="24"/>
      <c r="AR1" s="24"/>
      <c r="AU1" s="24"/>
      <c r="AV1" s="24"/>
      <c r="AW1" s="24"/>
      <c r="AY1" s="24"/>
      <c r="AZ1" s="24"/>
      <c r="BA1" s="24"/>
      <c r="DD1" s="7" t="s">
        <v>536</v>
      </c>
    </row>
    <row r="2" spans="3:108" ht="6.5" customHeight="1" x14ac:dyDescent="0.2">
      <c r="C2"/>
      <c r="D2"/>
      <c r="E2"/>
      <c r="F2"/>
      <c r="G2"/>
      <c r="H2" s="34"/>
      <c r="I2"/>
      <c r="J2"/>
      <c r="K2"/>
      <c r="L2"/>
      <c r="M2"/>
      <c r="Q2" s="63"/>
      <c r="R2" s="63"/>
      <c r="AA2" s="7"/>
      <c r="AB2" s="7"/>
      <c r="AC2" s="7"/>
      <c r="AD2" s="7"/>
      <c r="AE2" s="63"/>
      <c r="AF2" s="7"/>
      <c r="AG2" s="7"/>
      <c r="AH2" s="7"/>
      <c r="AI2" s="63"/>
      <c r="AJ2" s="63"/>
      <c r="AK2" s="7"/>
      <c r="AM2" s="7"/>
      <c r="AN2" s="7"/>
      <c r="AO2" s="7"/>
      <c r="AP2" s="24"/>
      <c r="AQ2" s="24"/>
      <c r="AR2" s="24"/>
      <c r="AU2" s="24"/>
      <c r="AV2" s="24"/>
      <c r="AW2" s="24"/>
      <c r="AY2" s="24"/>
      <c r="AZ2" s="24"/>
      <c r="BA2" s="24"/>
    </row>
    <row r="3" spans="3:108" ht="16.5" customHeight="1" x14ac:dyDescent="0.2">
      <c r="C3"/>
      <c r="D3"/>
      <c r="E3"/>
      <c r="F3"/>
      <c r="G3"/>
      <c r="H3" s="34"/>
      <c r="I3" s="82"/>
      <c r="J3" s="36"/>
      <c r="K3" s="36"/>
      <c r="L3"/>
      <c r="M3"/>
      <c r="Q3" s="63"/>
      <c r="R3" s="7"/>
      <c r="AA3" s="7"/>
      <c r="AB3" s="7"/>
      <c r="AC3" s="7"/>
      <c r="AD3" s="7"/>
      <c r="AE3" s="63"/>
      <c r="AF3" s="7"/>
      <c r="AG3" s="7"/>
      <c r="AH3" s="7"/>
      <c r="AI3" s="63"/>
      <c r="AJ3" s="63"/>
      <c r="AK3" s="7"/>
      <c r="AM3" s="7"/>
      <c r="AN3" s="7"/>
      <c r="AO3" s="7"/>
      <c r="AP3" s="24"/>
      <c r="AQ3" s="24"/>
      <c r="AR3" s="24"/>
      <c r="AU3" s="24"/>
      <c r="AV3" s="24"/>
      <c r="AW3" s="24"/>
      <c r="AY3" s="24"/>
      <c r="AZ3" s="24"/>
      <c r="BA3" s="24"/>
    </row>
    <row r="4" spans="3:108" ht="6.5" customHeight="1" x14ac:dyDescent="0.2">
      <c r="C4"/>
      <c r="D4"/>
      <c r="E4"/>
      <c r="F4"/>
      <c r="G4"/>
      <c r="Q4" s="63"/>
      <c r="R4" s="7"/>
      <c r="AA4" s="7"/>
      <c r="AB4" s="7"/>
      <c r="AC4" s="7"/>
      <c r="AD4" s="7"/>
      <c r="AE4" s="63"/>
      <c r="AF4" s="7"/>
      <c r="AG4" s="7"/>
      <c r="AH4" s="7"/>
      <c r="AI4" s="63"/>
      <c r="AJ4" s="63"/>
      <c r="AK4" s="7"/>
      <c r="AM4" s="7"/>
      <c r="AN4" s="7"/>
      <c r="AO4" s="7"/>
      <c r="AP4" s="24"/>
      <c r="AQ4" s="24"/>
      <c r="AR4" s="24"/>
      <c r="AU4" s="24"/>
      <c r="AV4" s="24"/>
      <c r="AW4" s="24"/>
      <c r="AY4" s="24"/>
      <c r="AZ4" s="24"/>
      <c r="BA4" s="24"/>
    </row>
    <row r="5" spans="3:108" ht="16.5" customHeight="1" x14ac:dyDescent="0.2">
      <c r="C5"/>
      <c r="D5"/>
      <c r="E5"/>
      <c r="F5"/>
      <c r="G5"/>
      <c r="I5" s="82"/>
      <c r="J5" s="36"/>
      <c r="K5" s="36"/>
      <c r="L5"/>
      <c r="M5"/>
      <c r="Q5" s="63"/>
      <c r="R5" s="63"/>
      <c r="AA5" s="7"/>
      <c r="AB5" s="7"/>
      <c r="AC5" s="7"/>
      <c r="AD5" s="7"/>
      <c r="AE5" s="63"/>
      <c r="AF5" s="7"/>
      <c r="AG5" s="7"/>
      <c r="AH5" s="7"/>
      <c r="AI5" s="63"/>
      <c r="AJ5" s="63"/>
      <c r="AK5" s="7"/>
      <c r="AM5" s="7"/>
      <c r="AN5" s="7"/>
      <c r="AO5" s="7"/>
      <c r="AP5" s="24"/>
      <c r="AQ5" s="24"/>
      <c r="AR5" s="24"/>
      <c r="AU5" s="24"/>
      <c r="AV5" s="24"/>
      <c r="AW5" s="24"/>
      <c r="AY5" s="24"/>
      <c r="AZ5" s="24"/>
      <c r="BA5" s="24"/>
    </row>
    <row r="6" spans="3:108" ht="16.25" customHeight="1" x14ac:dyDescent="0.2"/>
    <row r="7" spans="3:108" ht="16.25" customHeight="1" x14ac:dyDescent="0.2">
      <c r="C7"/>
      <c r="D7"/>
      <c r="E7"/>
      <c r="F7"/>
      <c r="G7"/>
      <c r="H7"/>
      <c r="I7"/>
      <c r="J7"/>
      <c r="K7"/>
      <c r="L7"/>
      <c r="M7"/>
      <c r="N7" s="79"/>
      <c r="O7" s="79"/>
      <c r="P7" s="79"/>
      <c r="Q7" s="79"/>
      <c r="R7" s="79"/>
      <c r="S7" s="79"/>
      <c r="T7" s="79"/>
      <c r="U7" s="79"/>
      <c r="V7" s="79"/>
      <c r="W7" s="79"/>
      <c r="X7" s="79"/>
      <c r="Y7" s="79"/>
      <c r="Z7" s="79"/>
    </row>
    <row r="8" spans="3:108" s="323" customFormat="1" ht="20" customHeight="1" x14ac:dyDescent="0.2">
      <c r="C8" s="4" t="s">
        <v>427</v>
      </c>
      <c r="D8" s="5" t="s">
        <v>536</v>
      </c>
      <c r="E8" s="5"/>
      <c r="F8" s="349"/>
      <c r="G8" s="349"/>
      <c r="H8" s="349"/>
      <c r="I8" s="349"/>
      <c r="J8" s="349"/>
      <c r="K8" s="349"/>
      <c r="L8" s="349"/>
      <c r="M8" s="349"/>
      <c r="N8" s="349"/>
      <c r="O8" s="349"/>
      <c r="P8" s="349"/>
      <c r="Q8" s="350"/>
      <c r="R8" s="350"/>
      <c r="S8" s="349"/>
      <c r="T8" s="349"/>
      <c r="U8" s="349"/>
      <c r="V8" s="349"/>
      <c r="W8" s="652"/>
      <c r="X8" s="652"/>
      <c r="Y8" s="652"/>
      <c r="Z8" s="652"/>
      <c r="AB8" s="351"/>
      <c r="AC8" s="352"/>
      <c r="AD8" s="352"/>
      <c r="AF8" s="351"/>
      <c r="AG8" s="352"/>
      <c r="AH8" s="352"/>
      <c r="AJ8" s="651" t="s">
        <v>148</v>
      </c>
      <c r="AK8" s="652"/>
      <c r="AL8" s="652"/>
      <c r="AM8" s="652"/>
      <c r="AN8" s="652"/>
      <c r="AO8" s="652"/>
      <c r="AP8" s="652"/>
      <c r="AQ8" s="652"/>
      <c r="AR8" s="652"/>
      <c r="AS8" s="652"/>
      <c r="AT8" s="652"/>
      <c r="AU8" s="652"/>
      <c r="AV8" s="652"/>
      <c r="AW8" s="652"/>
    </row>
    <row r="9" spans="3:108" s="115" customFormat="1" ht="16.25" customHeight="1" x14ac:dyDescent="0.2">
      <c r="C9" s="150"/>
      <c r="D9" s="144"/>
      <c r="E9" s="666" t="s">
        <v>384</v>
      </c>
      <c r="F9" s="666"/>
      <c r="G9" s="666"/>
      <c r="H9" s="666"/>
      <c r="I9" s="666"/>
      <c r="J9" s="666"/>
      <c r="K9" s="144"/>
      <c r="L9" s="144"/>
      <c r="M9" s="144"/>
      <c r="N9" s="668" t="s">
        <v>375</v>
      </c>
      <c r="O9" s="668"/>
      <c r="P9" s="145"/>
      <c r="Q9" s="693" t="s">
        <v>220</v>
      </c>
      <c r="R9" s="693"/>
      <c r="S9" s="145"/>
      <c r="T9" s="145"/>
      <c r="U9" s="146" t="s">
        <v>144</v>
      </c>
      <c r="V9" s="146"/>
      <c r="W9" s="145"/>
      <c r="X9" s="689" t="s">
        <v>370</v>
      </c>
      <c r="Y9" s="689"/>
      <c r="Z9" s="690"/>
      <c r="AB9" s="670" t="s">
        <v>363</v>
      </c>
      <c r="AC9" s="671"/>
      <c r="AD9" s="672"/>
      <c r="AF9" s="670" t="s">
        <v>447</v>
      </c>
      <c r="AG9" s="671"/>
      <c r="AH9" s="672"/>
      <c r="AJ9" s="688" t="s">
        <v>147</v>
      </c>
      <c r="AK9" s="688"/>
      <c r="AL9" s="688" t="s">
        <v>221</v>
      </c>
      <c r="AM9" s="688"/>
      <c r="AN9" s="688" t="s">
        <v>224</v>
      </c>
      <c r="AO9" s="688"/>
      <c r="AP9" s="683" t="s">
        <v>89</v>
      </c>
      <c r="AQ9" s="683"/>
      <c r="AR9" s="683" t="s">
        <v>353</v>
      </c>
      <c r="AS9" s="683"/>
      <c r="AT9" s="683" t="s">
        <v>353</v>
      </c>
      <c r="AU9" s="683"/>
      <c r="AV9" s="683" t="s">
        <v>353</v>
      </c>
      <c r="AW9" s="683"/>
    </row>
    <row r="10" spans="3:108" s="115" customFormat="1" ht="16.25" customHeight="1" x14ac:dyDescent="0.2">
      <c r="C10" s="151"/>
      <c r="D10" s="176"/>
      <c r="E10" s="667"/>
      <c r="F10" s="667"/>
      <c r="G10" s="667"/>
      <c r="H10" s="667"/>
      <c r="I10" s="667"/>
      <c r="J10" s="667"/>
      <c r="K10" s="147"/>
      <c r="L10" s="147"/>
      <c r="M10" s="147"/>
      <c r="N10" s="669"/>
      <c r="O10" s="669"/>
      <c r="P10" s="148"/>
      <c r="Q10" s="694"/>
      <c r="R10" s="694"/>
      <c r="S10" s="148"/>
      <c r="T10" s="148"/>
      <c r="U10" s="149">
        <v>1.5</v>
      </c>
      <c r="V10" s="149">
        <v>2</v>
      </c>
      <c r="W10" s="148"/>
      <c r="X10" s="691"/>
      <c r="Y10" s="691"/>
      <c r="Z10" s="692"/>
      <c r="AB10" s="673"/>
      <c r="AC10" s="674"/>
      <c r="AD10" s="675"/>
      <c r="AF10" s="673"/>
      <c r="AG10" s="674"/>
      <c r="AH10" s="675"/>
      <c r="AJ10" s="695" t="s">
        <v>223</v>
      </c>
      <c r="AK10" s="695"/>
      <c r="AL10" s="695" t="s">
        <v>220</v>
      </c>
      <c r="AM10" s="695"/>
      <c r="AN10" s="695" t="s">
        <v>220</v>
      </c>
      <c r="AO10" s="695"/>
      <c r="AP10" s="684" t="s">
        <v>220</v>
      </c>
      <c r="AQ10" s="684"/>
      <c r="AR10" s="684" t="s">
        <v>222</v>
      </c>
      <c r="AS10" s="684"/>
      <c r="AT10" s="684" t="s">
        <v>808</v>
      </c>
      <c r="AU10" s="684"/>
      <c r="AV10" s="684" t="s">
        <v>807</v>
      </c>
      <c r="AW10" s="684"/>
    </row>
    <row r="11" spans="3:108" s="51" customFormat="1" ht="19" customHeight="1" x14ac:dyDescent="0.15">
      <c r="C11" s="698">
        <v>0</v>
      </c>
      <c r="D11" s="699"/>
      <c r="E11" s="700"/>
      <c r="F11" s="700"/>
      <c r="G11" s="700"/>
      <c r="H11" s="700"/>
      <c r="I11" s="700"/>
      <c r="J11" s="700"/>
      <c r="K11" s="700"/>
      <c r="L11" s="700"/>
      <c r="M11" s="700"/>
      <c r="N11" s="309"/>
      <c r="O11" s="309" t="s">
        <v>116</v>
      </c>
      <c r="P11" s="310" t="s">
        <v>117</v>
      </c>
      <c r="Q11" s="687"/>
      <c r="R11" s="687"/>
      <c r="S11" s="311" t="s">
        <v>143</v>
      </c>
      <c r="T11" s="309"/>
      <c r="U11" s="309"/>
      <c r="V11" s="309"/>
      <c r="W11" s="664">
        <f t="shared" ref="W11:W60" si="0">IF(ISNUMBER(N11),(N11*Q11*IF(ISNUMBER(T11),T11,1)+(IFERROR(U11*(Q11/AJ11)*1.5,0))+(IFERROR(V11*(Q11/AJ11)*2,0))),0)</f>
        <v>0</v>
      </c>
      <c r="X11" s="664"/>
      <c r="Y11" s="664"/>
      <c r="Z11" s="665"/>
      <c r="AB11" s="663">
        <v>0</v>
      </c>
      <c r="AC11" s="664"/>
      <c r="AD11" s="665"/>
      <c r="AF11" s="663">
        <f t="shared" ref="AF11:AF60" si="1">AB11-W11</f>
        <v>0</v>
      </c>
      <c r="AG11" s="664"/>
      <c r="AH11" s="665"/>
      <c r="AJ11" s="681">
        <v>10</v>
      </c>
      <c r="AK11" s="682"/>
      <c r="AL11" s="677">
        <f>IFERROR(Q11/(AJ11+((AJ11-AP$11)*0.5)),0)</f>
        <v>0</v>
      </c>
      <c r="AM11" s="678"/>
      <c r="AN11" s="677">
        <f t="shared" ref="AN11:AN60" si="2">AL11*1.5</f>
        <v>0</v>
      </c>
      <c r="AO11" s="678"/>
      <c r="AP11" s="876">
        <v>0</v>
      </c>
      <c r="AQ11" s="877"/>
      <c r="AR11" s="878">
        <v>8</v>
      </c>
      <c r="AS11" s="879"/>
      <c r="AT11" s="696">
        <f t="shared" ref="AT11:AT42" si="3">AL11*ThisSheetState</f>
        <v>0</v>
      </c>
      <c r="AU11" s="697"/>
      <c r="AV11" s="696">
        <f t="shared" ref="AV11:AV42" si="4">(AJ11-ThisSheetState)*AN11</f>
        <v>0</v>
      </c>
      <c r="AW11" s="697"/>
    </row>
    <row r="12" spans="3:108" s="51" customFormat="1" ht="19" customHeight="1" x14ac:dyDescent="0.15">
      <c r="C12" s="698">
        <f>C11+1</f>
        <v>1</v>
      </c>
      <c r="D12" s="699"/>
      <c r="E12" s="700"/>
      <c r="F12" s="700"/>
      <c r="G12" s="700"/>
      <c r="H12" s="700"/>
      <c r="I12" s="700"/>
      <c r="J12" s="700"/>
      <c r="K12" s="700"/>
      <c r="L12" s="700"/>
      <c r="M12" s="700"/>
      <c r="N12" s="309"/>
      <c r="O12" s="309" t="s">
        <v>116</v>
      </c>
      <c r="P12" s="310" t="s">
        <v>117</v>
      </c>
      <c r="Q12" s="687"/>
      <c r="R12" s="687"/>
      <c r="S12" s="311" t="s">
        <v>143</v>
      </c>
      <c r="T12" s="309"/>
      <c r="U12" s="309"/>
      <c r="V12" s="309"/>
      <c r="W12" s="664">
        <f t="shared" si="0"/>
        <v>0</v>
      </c>
      <c r="X12" s="664"/>
      <c r="Y12" s="664"/>
      <c r="Z12" s="665"/>
      <c r="AB12" s="663">
        <v>0</v>
      </c>
      <c r="AC12" s="664"/>
      <c r="AD12" s="665"/>
      <c r="AF12" s="663">
        <f t="shared" si="1"/>
        <v>0</v>
      </c>
      <c r="AG12" s="664"/>
      <c r="AH12" s="665"/>
      <c r="AJ12" s="681">
        <v>10</v>
      </c>
      <c r="AK12" s="682"/>
      <c r="AL12" s="677">
        <f t="shared" ref="AL12:AL60" si="5">IFERROR(Q12/(AJ12+((AJ12-AP$11)*0.5)),0)</f>
        <v>0</v>
      </c>
      <c r="AM12" s="678"/>
      <c r="AN12" s="679">
        <f t="shared" si="2"/>
        <v>0</v>
      </c>
      <c r="AO12" s="680"/>
      <c r="AP12" s="676"/>
      <c r="AQ12" s="461"/>
      <c r="AT12" s="696">
        <f t="shared" si="3"/>
        <v>0</v>
      </c>
      <c r="AU12" s="697"/>
      <c r="AV12" s="696">
        <f t="shared" si="4"/>
        <v>0</v>
      </c>
      <c r="AW12" s="697"/>
    </row>
    <row r="13" spans="3:108" s="51" customFormat="1" ht="19" customHeight="1" x14ac:dyDescent="0.15">
      <c r="C13" s="698">
        <f t="shared" ref="C13:C60" si="6">C12+1</f>
        <v>2</v>
      </c>
      <c r="D13" s="699"/>
      <c r="E13" s="700"/>
      <c r="F13" s="700"/>
      <c r="G13" s="700"/>
      <c r="H13" s="700"/>
      <c r="I13" s="700"/>
      <c r="J13" s="700"/>
      <c r="K13" s="700"/>
      <c r="L13" s="700"/>
      <c r="M13" s="700"/>
      <c r="N13" s="309"/>
      <c r="O13" s="309" t="s">
        <v>116</v>
      </c>
      <c r="P13" s="310" t="s">
        <v>117</v>
      </c>
      <c r="Q13" s="687"/>
      <c r="R13" s="687"/>
      <c r="S13" s="311" t="s">
        <v>143</v>
      </c>
      <c r="T13" s="309"/>
      <c r="U13" s="309"/>
      <c r="V13" s="309"/>
      <c r="W13" s="664">
        <f t="shared" si="0"/>
        <v>0</v>
      </c>
      <c r="X13" s="664"/>
      <c r="Y13" s="664"/>
      <c r="Z13" s="665"/>
      <c r="AB13" s="663">
        <v>0</v>
      </c>
      <c r="AC13" s="664"/>
      <c r="AD13" s="665"/>
      <c r="AF13" s="663">
        <f t="shared" si="1"/>
        <v>0</v>
      </c>
      <c r="AG13" s="664"/>
      <c r="AH13" s="665"/>
      <c r="AJ13" s="681">
        <v>10</v>
      </c>
      <c r="AK13" s="682"/>
      <c r="AL13" s="677">
        <f t="shared" si="5"/>
        <v>0</v>
      </c>
      <c r="AM13" s="678"/>
      <c r="AN13" s="679">
        <f t="shared" si="2"/>
        <v>0</v>
      </c>
      <c r="AO13" s="680"/>
      <c r="AP13" s="676"/>
      <c r="AQ13" s="461"/>
      <c r="AT13" s="696">
        <f t="shared" si="3"/>
        <v>0</v>
      </c>
      <c r="AU13" s="697"/>
      <c r="AV13" s="696">
        <f t="shared" si="4"/>
        <v>0</v>
      </c>
      <c r="AW13" s="697"/>
    </row>
    <row r="14" spans="3:108" s="51" customFormat="1" ht="19" customHeight="1" x14ac:dyDescent="0.15">
      <c r="C14" s="698">
        <f t="shared" si="6"/>
        <v>3</v>
      </c>
      <c r="D14" s="699"/>
      <c r="E14" s="700"/>
      <c r="F14" s="700"/>
      <c r="G14" s="700"/>
      <c r="H14" s="700"/>
      <c r="I14" s="700"/>
      <c r="J14" s="700"/>
      <c r="K14" s="700"/>
      <c r="L14" s="700"/>
      <c r="M14" s="700"/>
      <c r="N14" s="309"/>
      <c r="O14" s="309" t="s">
        <v>116</v>
      </c>
      <c r="P14" s="310" t="s">
        <v>117</v>
      </c>
      <c r="Q14" s="687"/>
      <c r="R14" s="687"/>
      <c r="S14" s="311" t="s">
        <v>143</v>
      </c>
      <c r="T14" s="309"/>
      <c r="U14" s="309"/>
      <c r="V14" s="309"/>
      <c r="W14" s="664">
        <f t="shared" si="0"/>
        <v>0</v>
      </c>
      <c r="X14" s="664"/>
      <c r="Y14" s="664"/>
      <c r="Z14" s="665"/>
      <c r="AB14" s="663">
        <v>0</v>
      </c>
      <c r="AC14" s="664"/>
      <c r="AD14" s="665"/>
      <c r="AF14" s="663">
        <f t="shared" si="1"/>
        <v>0</v>
      </c>
      <c r="AG14" s="664"/>
      <c r="AH14" s="665"/>
      <c r="AJ14" s="681">
        <v>10</v>
      </c>
      <c r="AK14" s="682"/>
      <c r="AL14" s="677">
        <f t="shared" si="5"/>
        <v>0</v>
      </c>
      <c r="AM14" s="678"/>
      <c r="AN14" s="679">
        <f t="shared" si="2"/>
        <v>0</v>
      </c>
      <c r="AO14" s="680"/>
      <c r="AP14" s="676"/>
      <c r="AQ14" s="461"/>
      <c r="AT14" s="696">
        <f t="shared" si="3"/>
        <v>0</v>
      </c>
      <c r="AU14" s="697"/>
      <c r="AV14" s="696">
        <f t="shared" si="4"/>
        <v>0</v>
      </c>
      <c r="AW14" s="697"/>
    </row>
    <row r="15" spans="3:108" s="51" customFormat="1" ht="19" customHeight="1" x14ac:dyDescent="0.15">
      <c r="C15" s="698">
        <f t="shared" si="6"/>
        <v>4</v>
      </c>
      <c r="D15" s="699"/>
      <c r="E15" s="700"/>
      <c r="F15" s="700"/>
      <c r="G15" s="700"/>
      <c r="H15" s="700"/>
      <c r="I15" s="700"/>
      <c r="J15" s="700"/>
      <c r="K15" s="700"/>
      <c r="L15" s="700"/>
      <c r="M15" s="700"/>
      <c r="N15" s="309"/>
      <c r="O15" s="309" t="s">
        <v>116</v>
      </c>
      <c r="P15" s="310" t="s">
        <v>117</v>
      </c>
      <c r="Q15" s="687"/>
      <c r="R15" s="687"/>
      <c r="S15" s="311" t="s">
        <v>143</v>
      </c>
      <c r="T15" s="309"/>
      <c r="U15" s="309"/>
      <c r="V15" s="309"/>
      <c r="W15" s="664">
        <f t="shared" si="0"/>
        <v>0</v>
      </c>
      <c r="X15" s="664"/>
      <c r="Y15" s="664"/>
      <c r="Z15" s="665"/>
      <c r="AB15" s="663">
        <v>0</v>
      </c>
      <c r="AC15" s="664"/>
      <c r="AD15" s="665"/>
      <c r="AF15" s="663">
        <f t="shared" si="1"/>
        <v>0</v>
      </c>
      <c r="AG15" s="664"/>
      <c r="AH15" s="665"/>
      <c r="AJ15" s="681">
        <v>10</v>
      </c>
      <c r="AK15" s="682"/>
      <c r="AL15" s="677">
        <f t="shared" si="5"/>
        <v>0</v>
      </c>
      <c r="AM15" s="678"/>
      <c r="AN15" s="679">
        <f t="shared" si="2"/>
        <v>0</v>
      </c>
      <c r="AO15" s="680"/>
      <c r="AP15" s="676"/>
      <c r="AQ15" s="461"/>
      <c r="AT15" s="696">
        <f t="shared" si="3"/>
        <v>0</v>
      </c>
      <c r="AU15" s="697"/>
      <c r="AV15" s="696">
        <f t="shared" si="4"/>
        <v>0</v>
      </c>
      <c r="AW15" s="697"/>
    </row>
    <row r="16" spans="3:108" s="51" customFormat="1" ht="19" customHeight="1" x14ac:dyDescent="0.15">
      <c r="C16" s="698">
        <f t="shared" si="6"/>
        <v>5</v>
      </c>
      <c r="D16" s="699"/>
      <c r="E16" s="700"/>
      <c r="F16" s="700"/>
      <c r="G16" s="700"/>
      <c r="H16" s="700"/>
      <c r="I16" s="700"/>
      <c r="J16" s="700"/>
      <c r="K16" s="700"/>
      <c r="L16" s="700"/>
      <c r="M16" s="700"/>
      <c r="N16" s="309"/>
      <c r="O16" s="309" t="s">
        <v>116</v>
      </c>
      <c r="P16" s="310" t="s">
        <v>117</v>
      </c>
      <c r="Q16" s="687"/>
      <c r="R16" s="687"/>
      <c r="S16" s="311" t="s">
        <v>143</v>
      </c>
      <c r="T16" s="309"/>
      <c r="U16" s="309"/>
      <c r="V16" s="309"/>
      <c r="W16" s="664">
        <f t="shared" si="0"/>
        <v>0</v>
      </c>
      <c r="X16" s="664"/>
      <c r="Y16" s="664"/>
      <c r="Z16" s="665"/>
      <c r="AB16" s="663">
        <v>0</v>
      </c>
      <c r="AC16" s="664"/>
      <c r="AD16" s="665"/>
      <c r="AF16" s="663">
        <f t="shared" si="1"/>
        <v>0</v>
      </c>
      <c r="AG16" s="664"/>
      <c r="AH16" s="665"/>
      <c r="AJ16" s="681">
        <v>10</v>
      </c>
      <c r="AK16" s="682"/>
      <c r="AL16" s="677">
        <f t="shared" si="5"/>
        <v>0</v>
      </c>
      <c r="AM16" s="678"/>
      <c r="AN16" s="679">
        <f t="shared" si="2"/>
        <v>0</v>
      </c>
      <c r="AO16" s="680"/>
      <c r="AP16" s="676"/>
      <c r="AQ16" s="461"/>
      <c r="AT16" s="696">
        <f t="shared" si="3"/>
        <v>0</v>
      </c>
      <c r="AU16" s="697"/>
      <c r="AV16" s="696">
        <f t="shared" si="4"/>
        <v>0</v>
      </c>
      <c r="AW16" s="697"/>
    </row>
    <row r="17" spans="3:49" s="51" customFormat="1" ht="19" customHeight="1" x14ac:dyDescent="0.15">
      <c r="C17" s="698">
        <f t="shared" si="6"/>
        <v>6</v>
      </c>
      <c r="D17" s="699"/>
      <c r="E17" s="701"/>
      <c r="F17" s="701"/>
      <c r="G17" s="701"/>
      <c r="H17" s="701"/>
      <c r="I17" s="701"/>
      <c r="J17" s="701"/>
      <c r="K17" s="701"/>
      <c r="L17" s="701"/>
      <c r="M17" s="701"/>
      <c r="N17" s="309"/>
      <c r="O17" s="309" t="s">
        <v>116</v>
      </c>
      <c r="P17" s="310" t="s">
        <v>117</v>
      </c>
      <c r="Q17" s="687"/>
      <c r="R17" s="687"/>
      <c r="S17" s="311" t="s">
        <v>143</v>
      </c>
      <c r="T17" s="309"/>
      <c r="U17" s="309"/>
      <c r="V17" s="309"/>
      <c r="W17" s="664">
        <f t="shared" si="0"/>
        <v>0</v>
      </c>
      <c r="X17" s="664"/>
      <c r="Y17" s="664"/>
      <c r="Z17" s="665"/>
      <c r="AB17" s="663">
        <v>0</v>
      </c>
      <c r="AC17" s="664"/>
      <c r="AD17" s="665"/>
      <c r="AF17" s="663">
        <f t="shared" si="1"/>
        <v>0</v>
      </c>
      <c r="AG17" s="664"/>
      <c r="AH17" s="665"/>
      <c r="AJ17" s="681">
        <v>10</v>
      </c>
      <c r="AK17" s="682"/>
      <c r="AL17" s="677">
        <f t="shared" si="5"/>
        <v>0</v>
      </c>
      <c r="AM17" s="678"/>
      <c r="AN17" s="679">
        <f t="shared" si="2"/>
        <v>0</v>
      </c>
      <c r="AO17" s="680"/>
      <c r="AP17" s="676"/>
      <c r="AQ17" s="461"/>
      <c r="AT17" s="696">
        <f t="shared" si="3"/>
        <v>0</v>
      </c>
      <c r="AU17" s="697"/>
      <c r="AV17" s="696">
        <f t="shared" si="4"/>
        <v>0</v>
      </c>
      <c r="AW17" s="697"/>
    </row>
    <row r="18" spans="3:49" s="51" customFormat="1" ht="19" customHeight="1" x14ac:dyDescent="0.15">
      <c r="C18" s="698">
        <f t="shared" si="6"/>
        <v>7</v>
      </c>
      <c r="D18" s="699"/>
      <c r="E18" s="700"/>
      <c r="F18" s="700"/>
      <c r="G18" s="700"/>
      <c r="H18" s="700"/>
      <c r="I18" s="700"/>
      <c r="J18" s="700"/>
      <c r="K18" s="700"/>
      <c r="L18" s="700"/>
      <c r="M18" s="700"/>
      <c r="N18" s="309"/>
      <c r="O18" s="309" t="s">
        <v>116</v>
      </c>
      <c r="P18" s="310" t="s">
        <v>117</v>
      </c>
      <c r="Q18" s="687"/>
      <c r="R18" s="687"/>
      <c r="S18" s="311" t="s">
        <v>143</v>
      </c>
      <c r="T18" s="309"/>
      <c r="U18" s="309"/>
      <c r="V18" s="309"/>
      <c r="W18" s="664">
        <f t="shared" si="0"/>
        <v>0</v>
      </c>
      <c r="X18" s="664"/>
      <c r="Y18" s="664"/>
      <c r="Z18" s="665"/>
      <c r="AB18" s="663">
        <v>0</v>
      </c>
      <c r="AC18" s="664"/>
      <c r="AD18" s="665"/>
      <c r="AF18" s="663">
        <f t="shared" si="1"/>
        <v>0</v>
      </c>
      <c r="AG18" s="664"/>
      <c r="AH18" s="665"/>
      <c r="AJ18" s="681">
        <v>10</v>
      </c>
      <c r="AK18" s="682"/>
      <c r="AL18" s="677">
        <f t="shared" si="5"/>
        <v>0</v>
      </c>
      <c r="AM18" s="678"/>
      <c r="AN18" s="679">
        <f t="shared" si="2"/>
        <v>0</v>
      </c>
      <c r="AO18" s="680"/>
      <c r="AP18" s="676"/>
      <c r="AQ18" s="461"/>
      <c r="AT18" s="696">
        <f t="shared" si="3"/>
        <v>0</v>
      </c>
      <c r="AU18" s="697"/>
      <c r="AV18" s="696">
        <f t="shared" si="4"/>
        <v>0</v>
      </c>
      <c r="AW18" s="697"/>
    </row>
    <row r="19" spans="3:49" s="51" customFormat="1" ht="19" customHeight="1" x14ac:dyDescent="0.15">
      <c r="C19" s="698">
        <f t="shared" si="6"/>
        <v>8</v>
      </c>
      <c r="D19" s="699"/>
      <c r="E19" s="700"/>
      <c r="F19" s="700"/>
      <c r="G19" s="700"/>
      <c r="H19" s="700"/>
      <c r="I19" s="700"/>
      <c r="J19" s="700"/>
      <c r="K19" s="700"/>
      <c r="L19" s="700"/>
      <c r="M19" s="700"/>
      <c r="N19" s="309"/>
      <c r="O19" s="309" t="s">
        <v>116</v>
      </c>
      <c r="P19" s="310" t="s">
        <v>117</v>
      </c>
      <c r="Q19" s="687"/>
      <c r="R19" s="687"/>
      <c r="S19" s="311" t="s">
        <v>143</v>
      </c>
      <c r="T19" s="309"/>
      <c r="U19" s="309"/>
      <c r="V19" s="309"/>
      <c r="W19" s="664">
        <f t="shared" si="0"/>
        <v>0</v>
      </c>
      <c r="X19" s="664"/>
      <c r="Y19" s="664"/>
      <c r="Z19" s="665"/>
      <c r="AB19" s="663">
        <v>0</v>
      </c>
      <c r="AC19" s="664"/>
      <c r="AD19" s="665"/>
      <c r="AF19" s="663">
        <f t="shared" si="1"/>
        <v>0</v>
      </c>
      <c r="AG19" s="664"/>
      <c r="AH19" s="665"/>
      <c r="AJ19" s="681">
        <v>10</v>
      </c>
      <c r="AK19" s="682"/>
      <c r="AL19" s="677">
        <f t="shared" si="5"/>
        <v>0</v>
      </c>
      <c r="AM19" s="678"/>
      <c r="AN19" s="679">
        <f t="shared" si="2"/>
        <v>0</v>
      </c>
      <c r="AO19" s="680"/>
      <c r="AP19" s="676"/>
      <c r="AQ19" s="461"/>
      <c r="AT19" s="696">
        <f t="shared" si="3"/>
        <v>0</v>
      </c>
      <c r="AU19" s="697"/>
      <c r="AV19" s="696">
        <f t="shared" si="4"/>
        <v>0</v>
      </c>
      <c r="AW19" s="697"/>
    </row>
    <row r="20" spans="3:49" s="51" customFormat="1" ht="19" customHeight="1" x14ac:dyDescent="0.15">
      <c r="C20" s="698">
        <f t="shared" si="6"/>
        <v>9</v>
      </c>
      <c r="D20" s="699"/>
      <c r="E20" s="700"/>
      <c r="F20" s="700"/>
      <c r="G20" s="700"/>
      <c r="H20" s="700"/>
      <c r="I20" s="700"/>
      <c r="J20" s="700"/>
      <c r="K20" s="700"/>
      <c r="L20" s="700"/>
      <c r="M20" s="700"/>
      <c r="N20" s="309"/>
      <c r="O20" s="309" t="s">
        <v>116</v>
      </c>
      <c r="P20" s="310" t="s">
        <v>117</v>
      </c>
      <c r="Q20" s="687"/>
      <c r="R20" s="687"/>
      <c r="S20" s="311" t="s">
        <v>143</v>
      </c>
      <c r="T20" s="309"/>
      <c r="U20" s="309"/>
      <c r="V20" s="309"/>
      <c r="W20" s="664">
        <f t="shared" si="0"/>
        <v>0</v>
      </c>
      <c r="X20" s="664"/>
      <c r="Y20" s="664"/>
      <c r="Z20" s="665"/>
      <c r="AB20" s="663">
        <v>0</v>
      </c>
      <c r="AC20" s="664"/>
      <c r="AD20" s="665"/>
      <c r="AF20" s="663">
        <f t="shared" si="1"/>
        <v>0</v>
      </c>
      <c r="AG20" s="664"/>
      <c r="AH20" s="665"/>
      <c r="AJ20" s="681">
        <v>10</v>
      </c>
      <c r="AK20" s="682"/>
      <c r="AL20" s="677">
        <f t="shared" si="5"/>
        <v>0</v>
      </c>
      <c r="AM20" s="678"/>
      <c r="AN20" s="679">
        <f t="shared" si="2"/>
        <v>0</v>
      </c>
      <c r="AO20" s="680"/>
      <c r="AP20" s="676"/>
      <c r="AQ20" s="461"/>
      <c r="AT20" s="696">
        <f t="shared" si="3"/>
        <v>0</v>
      </c>
      <c r="AU20" s="697"/>
      <c r="AV20" s="696">
        <f t="shared" si="4"/>
        <v>0</v>
      </c>
      <c r="AW20" s="697"/>
    </row>
    <row r="21" spans="3:49" s="51" customFormat="1" ht="19" customHeight="1" x14ac:dyDescent="0.15">
      <c r="C21" s="698">
        <f t="shared" si="6"/>
        <v>10</v>
      </c>
      <c r="D21" s="699"/>
      <c r="E21" s="700"/>
      <c r="F21" s="700"/>
      <c r="G21" s="700"/>
      <c r="H21" s="700"/>
      <c r="I21" s="700"/>
      <c r="J21" s="700"/>
      <c r="K21" s="700"/>
      <c r="L21" s="700"/>
      <c r="M21" s="700"/>
      <c r="N21" s="309"/>
      <c r="O21" s="309" t="s">
        <v>116</v>
      </c>
      <c r="P21" s="310" t="s">
        <v>117</v>
      </c>
      <c r="Q21" s="687"/>
      <c r="R21" s="687"/>
      <c r="S21" s="311" t="s">
        <v>143</v>
      </c>
      <c r="T21" s="309"/>
      <c r="U21" s="309"/>
      <c r="V21" s="309"/>
      <c r="W21" s="664">
        <f t="shared" si="0"/>
        <v>0</v>
      </c>
      <c r="X21" s="664"/>
      <c r="Y21" s="664"/>
      <c r="Z21" s="665"/>
      <c r="AB21" s="663">
        <v>0</v>
      </c>
      <c r="AC21" s="664"/>
      <c r="AD21" s="665"/>
      <c r="AF21" s="663">
        <f t="shared" si="1"/>
        <v>0</v>
      </c>
      <c r="AG21" s="664"/>
      <c r="AH21" s="665"/>
      <c r="AJ21" s="681">
        <v>10</v>
      </c>
      <c r="AK21" s="682"/>
      <c r="AL21" s="677">
        <f t="shared" si="5"/>
        <v>0</v>
      </c>
      <c r="AM21" s="678"/>
      <c r="AN21" s="679">
        <f t="shared" si="2"/>
        <v>0</v>
      </c>
      <c r="AO21" s="680"/>
      <c r="AP21" s="676"/>
      <c r="AQ21" s="461"/>
      <c r="AT21" s="696">
        <f t="shared" si="3"/>
        <v>0</v>
      </c>
      <c r="AU21" s="697"/>
      <c r="AV21" s="696">
        <f t="shared" si="4"/>
        <v>0</v>
      </c>
      <c r="AW21" s="697"/>
    </row>
    <row r="22" spans="3:49" s="51" customFormat="1" ht="19" customHeight="1" x14ac:dyDescent="0.15">
      <c r="C22" s="698">
        <f t="shared" si="6"/>
        <v>11</v>
      </c>
      <c r="D22" s="699"/>
      <c r="E22" s="700"/>
      <c r="F22" s="700"/>
      <c r="G22" s="700"/>
      <c r="H22" s="700"/>
      <c r="I22" s="700"/>
      <c r="J22" s="700"/>
      <c r="K22" s="700"/>
      <c r="L22" s="700"/>
      <c r="M22" s="700"/>
      <c r="N22" s="309"/>
      <c r="O22" s="309" t="s">
        <v>116</v>
      </c>
      <c r="P22" s="310" t="s">
        <v>117</v>
      </c>
      <c r="Q22" s="687"/>
      <c r="R22" s="687"/>
      <c r="S22" s="311" t="s">
        <v>143</v>
      </c>
      <c r="T22" s="309"/>
      <c r="U22" s="309"/>
      <c r="V22" s="309"/>
      <c r="W22" s="664">
        <f t="shared" si="0"/>
        <v>0</v>
      </c>
      <c r="X22" s="664"/>
      <c r="Y22" s="664"/>
      <c r="Z22" s="665"/>
      <c r="AB22" s="663">
        <v>0</v>
      </c>
      <c r="AC22" s="664"/>
      <c r="AD22" s="665"/>
      <c r="AF22" s="663">
        <f t="shared" si="1"/>
        <v>0</v>
      </c>
      <c r="AG22" s="664"/>
      <c r="AH22" s="665"/>
      <c r="AJ22" s="681">
        <v>10</v>
      </c>
      <c r="AK22" s="682"/>
      <c r="AL22" s="677">
        <f t="shared" si="5"/>
        <v>0</v>
      </c>
      <c r="AM22" s="678"/>
      <c r="AN22" s="679">
        <f t="shared" si="2"/>
        <v>0</v>
      </c>
      <c r="AO22" s="680"/>
      <c r="AP22" s="676"/>
      <c r="AQ22" s="461"/>
      <c r="AT22" s="696">
        <f t="shared" si="3"/>
        <v>0</v>
      </c>
      <c r="AU22" s="697"/>
      <c r="AV22" s="696">
        <f t="shared" si="4"/>
        <v>0</v>
      </c>
      <c r="AW22" s="697"/>
    </row>
    <row r="23" spans="3:49" s="51" customFormat="1" ht="19" customHeight="1" x14ac:dyDescent="0.15">
      <c r="C23" s="698">
        <f t="shared" si="6"/>
        <v>12</v>
      </c>
      <c r="D23" s="699"/>
      <c r="E23" s="700"/>
      <c r="F23" s="700"/>
      <c r="G23" s="700"/>
      <c r="H23" s="700"/>
      <c r="I23" s="700"/>
      <c r="J23" s="700"/>
      <c r="K23" s="700"/>
      <c r="L23" s="700"/>
      <c r="M23" s="700"/>
      <c r="N23" s="309"/>
      <c r="O23" s="309" t="s">
        <v>116</v>
      </c>
      <c r="P23" s="310" t="s">
        <v>117</v>
      </c>
      <c r="Q23" s="687"/>
      <c r="R23" s="687"/>
      <c r="S23" s="311" t="s">
        <v>143</v>
      </c>
      <c r="T23" s="309"/>
      <c r="U23" s="309"/>
      <c r="V23" s="309"/>
      <c r="W23" s="664">
        <f t="shared" si="0"/>
        <v>0</v>
      </c>
      <c r="X23" s="664"/>
      <c r="Y23" s="664"/>
      <c r="Z23" s="665"/>
      <c r="AB23" s="663">
        <v>0</v>
      </c>
      <c r="AC23" s="664"/>
      <c r="AD23" s="665"/>
      <c r="AF23" s="663">
        <f t="shared" si="1"/>
        <v>0</v>
      </c>
      <c r="AG23" s="664"/>
      <c r="AH23" s="665"/>
      <c r="AJ23" s="681">
        <v>10</v>
      </c>
      <c r="AK23" s="682"/>
      <c r="AL23" s="677">
        <f t="shared" si="5"/>
        <v>0</v>
      </c>
      <c r="AM23" s="678"/>
      <c r="AN23" s="679">
        <f t="shared" si="2"/>
        <v>0</v>
      </c>
      <c r="AO23" s="680"/>
      <c r="AP23" s="676"/>
      <c r="AQ23" s="461"/>
      <c r="AT23" s="696">
        <f t="shared" si="3"/>
        <v>0</v>
      </c>
      <c r="AU23" s="697"/>
      <c r="AV23" s="696">
        <f t="shared" si="4"/>
        <v>0</v>
      </c>
      <c r="AW23" s="697"/>
    </row>
    <row r="24" spans="3:49" s="51" customFormat="1" ht="19" customHeight="1" x14ac:dyDescent="0.15">
      <c r="C24" s="698">
        <f t="shared" si="6"/>
        <v>13</v>
      </c>
      <c r="D24" s="699"/>
      <c r="E24" s="700"/>
      <c r="F24" s="700"/>
      <c r="G24" s="700"/>
      <c r="H24" s="700"/>
      <c r="I24" s="700"/>
      <c r="J24" s="700"/>
      <c r="K24" s="700"/>
      <c r="L24" s="700"/>
      <c r="M24" s="700"/>
      <c r="N24" s="309"/>
      <c r="O24" s="309" t="s">
        <v>116</v>
      </c>
      <c r="P24" s="310" t="s">
        <v>117</v>
      </c>
      <c r="Q24" s="687"/>
      <c r="R24" s="687"/>
      <c r="S24" s="311" t="s">
        <v>143</v>
      </c>
      <c r="T24" s="309"/>
      <c r="U24" s="309"/>
      <c r="V24" s="309"/>
      <c r="W24" s="664">
        <f t="shared" si="0"/>
        <v>0</v>
      </c>
      <c r="X24" s="664"/>
      <c r="Y24" s="664"/>
      <c r="Z24" s="665"/>
      <c r="AB24" s="663">
        <v>0</v>
      </c>
      <c r="AC24" s="664"/>
      <c r="AD24" s="665"/>
      <c r="AF24" s="663">
        <f t="shared" si="1"/>
        <v>0</v>
      </c>
      <c r="AG24" s="664"/>
      <c r="AH24" s="665"/>
      <c r="AJ24" s="681">
        <v>10</v>
      </c>
      <c r="AK24" s="682"/>
      <c r="AL24" s="677">
        <f t="shared" si="5"/>
        <v>0</v>
      </c>
      <c r="AM24" s="678"/>
      <c r="AN24" s="679">
        <f t="shared" si="2"/>
        <v>0</v>
      </c>
      <c r="AO24" s="680"/>
      <c r="AP24" s="676"/>
      <c r="AQ24" s="461"/>
      <c r="AT24" s="696">
        <f t="shared" si="3"/>
        <v>0</v>
      </c>
      <c r="AU24" s="697"/>
      <c r="AV24" s="696">
        <f t="shared" si="4"/>
        <v>0</v>
      </c>
      <c r="AW24" s="697"/>
    </row>
    <row r="25" spans="3:49" s="51" customFormat="1" ht="19" customHeight="1" x14ac:dyDescent="0.15">
      <c r="C25" s="698">
        <f t="shared" si="6"/>
        <v>14</v>
      </c>
      <c r="D25" s="699"/>
      <c r="E25" s="700"/>
      <c r="F25" s="700"/>
      <c r="G25" s="700"/>
      <c r="H25" s="700"/>
      <c r="I25" s="700"/>
      <c r="J25" s="700"/>
      <c r="K25" s="700"/>
      <c r="L25" s="700"/>
      <c r="M25" s="700"/>
      <c r="N25" s="309"/>
      <c r="O25" s="309" t="s">
        <v>116</v>
      </c>
      <c r="P25" s="310" t="s">
        <v>117</v>
      </c>
      <c r="Q25" s="687"/>
      <c r="R25" s="687"/>
      <c r="S25" s="311" t="s">
        <v>143</v>
      </c>
      <c r="T25" s="309"/>
      <c r="U25" s="309"/>
      <c r="V25" s="309"/>
      <c r="W25" s="664">
        <f t="shared" si="0"/>
        <v>0</v>
      </c>
      <c r="X25" s="664"/>
      <c r="Y25" s="664"/>
      <c r="Z25" s="665"/>
      <c r="AB25" s="663">
        <v>0</v>
      </c>
      <c r="AC25" s="664"/>
      <c r="AD25" s="665"/>
      <c r="AF25" s="663">
        <f t="shared" si="1"/>
        <v>0</v>
      </c>
      <c r="AG25" s="664"/>
      <c r="AH25" s="665"/>
      <c r="AJ25" s="681">
        <v>10</v>
      </c>
      <c r="AK25" s="682"/>
      <c r="AL25" s="677">
        <f t="shared" si="5"/>
        <v>0</v>
      </c>
      <c r="AM25" s="678"/>
      <c r="AN25" s="679">
        <f t="shared" si="2"/>
        <v>0</v>
      </c>
      <c r="AO25" s="680"/>
      <c r="AP25" s="676"/>
      <c r="AQ25" s="461"/>
      <c r="AT25" s="696">
        <f t="shared" si="3"/>
        <v>0</v>
      </c>
      <c r="AU25" s="697"/>
      <c r="AV25" s="696">
        <f t="shared" si="4"/>
        <v>0</v>
      </c>
      <c r="AW25" s="697"/>
    </row>
    <row r="26" spans="3:49" s="51" customFormat="1" ht="19" customHeight="1" x14ac:dyDescent="0.15">
      <c r="C26" s="698">
        <f t="shared" si="6"/>
        <v>15</v>
      </c>
      <c r="D26" s="699"/>
      <c r="E26" s="700"/>
      <c r="F26" s="700"/>
      <c r="G26" s="700"/>
      <c r="H26" s="700"/>
      <c r="I26" s="700"/>
      <c r="J26" s="700"/>
      <c r="K26" s="700"/>
      <c r="L26" s="700"/>
      <c r="M26" s="700"/>
      <c r="N26" s="309"/>
      <c r="O26" s="309" t="s">
        <v>116</v>
      </c>
      <c r="P26" s="310" t="s">
        <v>117</v>
      </c>
      <c r="Q26" s="687"/>
      <c r="R26" s="687"/>
      <c r="S26" s="311" t="s">
        <v>143</v>
      </c>
      <c r="T26" s="309"/>
      <c r="U26" s="309"/>
      <c r="V26" s="309"/>
      <c r="W26" s="664">
        <f t="shared" si="0"/>
        <v>0</v>
      </c>
      <c r="X26" s="664"/>
      <c r="Y26" s="664"/>
      <c r="Z26" s="665"/>
      <c r="AB26" s="663">
        <v>0</v>
      </c>
      <c r="AC26" s="664"/>
      <c r="AD26" s="665"/>
      <c r="AF26" s="663">
        <f t="shared" si="1"/>
        <v>0</v>
      </c>
      <c r="AG26" s="664"/>
      <c r="AH26" s="665"/>
      <c r="AJ26" s="681">
        <v>10</v>
      </c>
      <c r="AK26" s="682"/>
      <c r="AL26" s="677">
        <f t="shared" si="5"/>
        <v>0</v>
      </c>
      <c r="AM26" s="678"/>
      <c r="AN26" s="679">
        <f t="shared" si="2"/>
        <v>0</v>
      </c>
      <c r="AO26" s="680"/>
      <c r="AP26" s="676"/>
      <c r="AQ26" s="461"/>
      <c r="AT26" s="696">
        <f t="shared" si="3"/>
        <v>0</v>
      </c>
      <c r="AU26" s="697"/>
      <c r="AV26" s="696">
        <f t="shared" si="4"/>
        <v>0</v>
      </c>
      <c r="AW26" s="697"/>
    </row>
    <row r="27" spans="3:49" s="51" customFormat="1" ht="19" customHeight="1" x14ac:dyDescent="0.15">
      <c r="C27" s="698">
        <f t="shared" si="6"/>
        <v>16</v>
      </c>
      <c r="D27" s="699"/>
      <c r="E27" s="700"/>
      <c r="F27" s="700"/>
      <c r="G27" s="700"/>
      <c r="H27" s="700"/>
      <c r="I27" s="700"/>
      <c r="J27" s="700"/>
      <c r="K27" s="700"/>
      <c r="L27" s="700"/>
      <c r="M27" s="700"/>
      <c r="N27" s="309"/>
      <c r="O27" s="309" t="s">
        <v>116</v>
      </c>
      <c r="P27" s="310" t="s">
        <v>117</v>
      </c>
      <c r="Q27" s="687"/>
      <c r="R27" s="687"/>
      <c r="S27" s="311" t="s">
        <v>143</v>
      </c>
      <c r="T27" s="309"/>
      <c r="U27" s="309"/>
      <c r="V27" s="309"/>
      <c r="W27" s="664">
        <f t="shared" si="0"/>
        <v>0</v>
      </c>
      <c r="X27" s="664"/>
      <c r="Y27" s="664"/>
      <c r="Z27" s="665"/>
      <c r="AB27" s="663">
        <v>0</v>
      </c>
      <c r="AC27" s="664"/>
      <c r="AD27" s="665"/>
      <c r="AF27" s="663">
        <f t="shared" si="1"/>
        <v>0</v>
      </c>
      <c r="AG27" s="664"/>
      <c r="AH27" s="665"/>
      <c r="AJ27" s="681">
        <v>10</v>
      </c>
      <c r="AK27" s="682"/>
      <c r="AL27" s="677">
        <f t="shared" si="5"/>
        <v>0</v>
      </c>
      <c r="AM27" s="678"/>
      <c r="AN27" s="679">
        <f t="shared" si="2"/>
        <v>0</v>
      </c>
      <c r="AO27" s="680"/>
      <c r="AP27" s="676"/>
      <c r="AQ27" s="461"/>
      <c r="AT27" s="696">
        <f t="shared" si="3"/>
        <v>0</v>
      </c>
      <c r="AU27" s="697"/>
      <c r="AV27" s="696">
        <f t="shared" si="4"/>
        <v>0</v>
      </c>
      <c r="AW27" s="697"/>
    </row>
    <row r="28" spans="3:49" s="51" customFormat="1" ht="19" customHeight="1" x14ac:dyDescent="0.15">
      <c r="C28" s="698">
        <f t="shared" si="6"/>
        <v>17</v>
      </c>
      <c r="D28" s="699"/>
      <c r="E28" s="700"/>
      <c r="F28" s="700"/>
      <c r="G28" s="700"/>
      <c r="H28" s="700"/>
      <c r="I28" s="700"/>
      <c r="J28" s="700"/>
      <c r="K28" s="700"/>
      <c r="L28" s="700"/>
      <c r="M28" s="700"/>
      <c r="N28" s="309"/>
      <c r="O28" s="309" t="s">
        <v>116</v>
      </c>
      <c r="P28" s="310" t="s">
        <v>117</v>
      </c>
      <c r="Q28" s="687"/>
      <c r="R28" s="687"/>
      <c r="S28" s="311" t="s">
        <v>143</v>
      </c>
      <c r="T28" s="309"/>
      <c r="U28" s="309"/>
      <c r="V28" s="309"/>
      <c r="W28" s="664">
        <f t="shared" si="0"/>
        <v>0</v>
      </c>
      <c r="X28" s="664"/>
      <c r="Y28" s="664"/>
      <c r="Z28" s="665"/>
      <c r="AB28" s="663">
        <v>0</v>
      </c>
      <c r="AC28" s="664"/>
      <c r="AD28" s="665"/>
      <c r="AF28" s="663">
        <f t="shared" si="1"/>
        <v>0</v>
      </c>
      <c r="AG28" s="664"/>
      <c r="AH28" s="665"/>
      <c r="AJ28" s="681">
        <v>10</v>
      </c>
      <c r="AK28" s="682"/>
      <c r="AL28" s="677">
        <f t="shared" si="5"/>
        <v>0</v>
      </c>
      <c r="AM28" s="678"/>
      <c r="AN28" s="679">
        <f t="shared" si="2"/>
        <v>0</v>
      </c>
      <c r="AO28" s="680"/>
      <c r="AP28" s="676"/>
      <c r="AQ28" s="461"/>
      <c r="AT28" s="696">
        <f t="shared" si="3"/>
        <v>0</v>
      </c>
      <c r="AU28" s="697"/>
      <c r="AV28" s="696">
        <f t="shared" si="4"/>
        <v>0</v>
      </c>
      <c r="AW28" s="697"/>
    </row>
    <row r="29" spans="3:49" s="51" customFormat="1" ht="19" customHeight="1" x14ac:dyDescent="0.15">
      <c r="C29" s="698">
        <f t="shared" si="6"/>
        <v>18</v>
      </c>
      <c r="D29" s="699"/>
      <c r="E29" s="700"/>
      <c r="F29" s="700"/>
      <c r="G29" s="700"/>
      <c r="H29" s="700"/>
      <c r="I29" s="700"/>
      <c r="J29" s="700"/>
      <c r="K29" s="700"/>
      <c r="L29" s="700"/>
      <c r="M29" s="700"/>
      <c r="N29" s="309"/>
      <c r="O29" s="309" t="s">
        <v>116</v>
      </c>
      <c r="P29" s="310" t="s">
        <v>117</v>
      </c>
      <c r="Q29" s="687"/>
      <c r="R29" s="687"/>
      <c r="S29" s="311" t="s">
        <v>143</v>
      </c>
      <c r="T29" s="309"/>
      <c r="U29" s="309"/>
      <c r="V29" s="309"/>
      <c r="W29" s="664">
        <f t="shared" si="0"/>
        <v>0</v>
      </c>
      <c r="X29" s="664"/>
      <c r="Y29" s="664"/>
      <c r="Z29" s="665"/>
      <c r="AB29" s="663">
        <v>0</v>
      </c>
      <c r="AC29" s="664"/>
      <c r="AD29" s="665"/>
      <c r="AF29" s="663">
        <f t="shared" si="1"/>
        <v>0</v>
      </c>
      <c r="AG29" s="664"/>
      <c r="AH29" s="665"/>
      <c r="AJ29" s="681">
        <v>10</v>
      </c>
      <c r="AK29" s="682"/>
      <c r="AL29" s="677">
        <f t="shared" si="5"/>
        <v>0</v>
      </c>
      <c r="AM29" s="678"/>
      <c r="AN29" s="679">
        <f t="shared" si="2"/>
        <v>0</v>
      </c>
      <c r="AO29" s="680"/>
      <c r="AP29" s="676"/>
      <c r="AQ29" s="461"/>
      <c r="AT29" s="696">
        <f t="shared" si="3"/>
        <v>0</v>
      </c>
      <c r="AU29" s="697"/>
      <c r="AV29" s="696">
        <f t="shared" si="4"/>
        <v>0</v>
      </c>
      <c r="AW29" s="697"/>
    </row>
    <row r="30" spans="3:49" s="51" customFormat="1" ht="19" customHeight="1" x14ac:dyDescent="0.15">
      <c r="C30" s="698">
        <f t="shared" si="6"/>
        <v>19</v>
      </c>
      <c r="D30" s="699"/>
      <c r="E30" s="700"/>
      <c r="F30" s="700"/>
      <c r="G30" s="700"/>
      <c r="H30" s="700"/>
      <c r="I30" s="700"/>
      <c r="J30" s="700"/>
      <c r="K30" s="700"/>
      <c r="L30" s="700"/>
      <c r="M30" s="700"/>
      <c r="N30" s="309"/>
      <c r="O30" s="309" t="s">
        <v>116</v>
      </c>
      <c r="P30" s="310" t="s">
        <v>117</v>
      </c>
      <c r="Q30" s="687"/>
      <c r="R30" s="687"/>
      <c r="S30" s="311" t="s">
        <v>143</v>
      </c>
      <c r="T30" s="309"/>
      <c r="U30" s="309"/>
      <c r="V30" s="309"/>
      <c r="W30" s="664">
        <f t="shared" si="0"/>
        <v>0</v>
      </c>
      <c r="X30" s="664"/>
      <c r="Y30" s="664"/>
      <c r="Z30" s="665"/>
      <c r="AB30" s="663">
        <v>0</v>
      </c>
      <c r="AC30" s="664"/>
      <c r="AD30" s="665"/>
      <c r="AF30" s="663">
        <f t="shared" si="1"/>
        <v>0</v>
      </c>
      <c r="AG30" s="664"/>
      <c r="AH30" s="665"/>
      <c r="AJ30" s="681">
        <v>10</v>
      </c>
      <c r="AK30" s="682"/>
      <c r="AL30" s="677">
        <f t="shared" si="5"/>
        <v>0</v>
      </c>
      <c r="AM30" s="678"/>
      <c r="AN30" s="679">
        <f t="shared" si="2"/>
        <v>0</v>
      </c>
      <c r="AO30" s="680"/>
      <c r="AP30" s="676"/>
      <c r="AQ30" s="461"/>
      <c r="AT30" s="696">
        <f t="shared" si="3"/>
        <v>0</v>
      </c>
      <c r="AU30" s="697"/>
      <c r="AV30" s="696">
        <f t="shared" si="4"/>
        <v>0</v>
      </c>
      <c r="AW30" s="697"/>
    </row>
    <row r="31" spans="3:49" s="51" customFormat="1" ht="19" customHeight="1" x14ac:dyDescent="0.15">
      <c r="C31" s="698">
        <f t="shared" si="6"/>
        <v>20</v>
      </c>
      <c r="D31" s="699"/>
      <c r="E31" s="700"/>
      <c r="F31" s="700"/>
      <c r="G31" s="700"/>
      <c r="H31" s="700"/>
      <c r="I31" s="700"/>
      <c r="J31" s="700"/>
      <c r="K31" s="700"/>
      <c r="L31" s="700"/>
      <c r="M31" s="700"/>
      <c r="N31" s="309"/>
      <c r="O31" s="309" t="s">
        <v>116</v>
      </c>
      <c r="P31" s="310" t="s">
        <v>117</v>
      </c>
      <c r="Q31" s="687"/>
      <c r="R31" s="687"/>
      <c r="S31" s="311" t="s">
        <v>143</v>
      </c>
      <c r="T31" s="309"/>
      <c r="U31" s="309"/>
      <c r="V31" s="309"/>
      <c r="W31" s="664">
        <f t="shared" si="0"/>
        <v>0</v>
      </c>
      <c r="X31" s="664"/>
      <c r="Y31" s="664"/>
      <c r="Z31" s="665"/>
      <c r="AB31" s="663">
        <v>0</v>
      </c>
      <c r="AC31" s="664"/>
      <c r="AD31" s="665"/>
      <c r="AF31" s="663">
        <f t="shared" si="1"/>
        <v>0</v>
      </c>
      <c r="AG31" s="664"/>
      <c r="AH31" s="665"/>
      <c r="AJ31" s="681">
        <v>10</v>
      </c>
      <c r="AK31" s="682"/>
      <c r="AL31" s="677">
        <f t="shared" si="5"/>
        <v>0</v>
      </c>
      <c r="AM31" s="678"/>
      <c r="AN31" s="679">
        <f t="shared" si="2"/>
        <v>0</v>
      </c>
      <c r="AO31" s="680"/>
      <c r="AP31" s="676"/>
      <c r="AQ31" s="461"/>
      <c r="AT31" s="696">
        <f t="shared" si="3"/>
        <v>0</v>
      </c>
      <c r="AU31" s="697"/>
      <c r="AV31" s="696">
        <f t="shared" si="4"/>
        <v>0</v>
      </c>
      <c r="AW31" s="697"/>
    </row>
    <row r="32" spans="3:49" s="51" customFormat="1" ht="19" customHeight="1" x14ac:dyDescent="0.15">
      <c r="C32" s="698">
        <f t="shared" si="6"/>
        <v>21</v>
      </c>
      <c r="D32" s="699"/>
      <c r="E32" s="700"/>
      <c r="F32" s="700"/>
      <c r="G32" s="700"/>
      <c r="H32" s="700"/>
      <c r="I32" s="700"/>
      <c r="J32" s="700"/>
      <c r="K32" s="700"/>
      <c r="L32" s="700"/>
      <c r="M32" s="700"/>
      <c r="N32" s="309"/>
      <c r="O32" s="309" t="s">
        <v>116</v>
      </c>
      <c r="P32" s="310" t="s">
        <v>117</v>
      </c>
      <c r="Q32" s="687"/>
      <c r="R32" s="687"/>
      <c r="S32" s="311" t="s">
        <v>143</v>
      </c>
      <c r="T32" s="309"/>
      <c r="U32" s="309"/>
      <c r="V32" s="309"/>
      <c r="W32" s="664">
        <f t="shared" si="0"/>
        <v>0</v>
      </c>
      <c r="X32" s="664"/>
      <c r="Y32" s="664"/>
      <c r="Z32" s="665"/>
      <c r="AB32" s="663">
        <v>0</v>
      </c>
      <c r="AC32" s="664"/>
      <c r="AD32" s="665"/>
      <c r="AF32" s="663">
        <f t="shared" si="1"/>
        <v>0</v>
      </c>
      <c r="AG32" s="664"/>
      <c r="AH32" s="665"/>
      <c r="AJ32" s="681">
        <v>10</v>
      </c>
      <c r="AK32" s="682"/>
      <c r="AL32" s="677">
        <f t="shared" si="5"/>
        <v>0</v>
      </c>
      <c r="AM32" s="678"/>
      <c r="AN32" s="679">
        <f t="shared" si="2"/>
        <v>0</v>
      </c>
      <c r="AO32" s="680"/>
      <c r="AP32" s="676"/>
      <c r="AQ32" s="461"/>
      <c r="AT32" s="696">
        <f t="shared" si="3"/>
        <v>0</v>
      </c>
      <c r="AU32" s="697"/>
      <c r="AV32" s="696">
        <f t="shared" si="4"/>
        <v>0</v>
      </c>
      <c r="AW32" s="697"/>
    </row>
    <row r="33" spans="3:49" s="51" customFormat="1" ht="19" customHeight="1" x14ac:dyDescent="0.15">
      <c r="C33" s="698">
        <f t="shared" si="6"/>
        <v>22</v>
      </c>
      <c r="D33" s="699"/>
      <c r="E33" s="700"/>
      <c r="F33" s="700"/>
      <c r="G33" s="700"/>
      <c r="H33" s="700"/>
      <c r="I33" s="700"/>
      <c r="J33" s="700"/>
      <c r="K33" s="700"/>
      <c r="L33" s="700"/>
      <c r="M33" s="700"/>
      <c r="N33" s="309"/>
      <c r="O33" s="309" t="s">
        <v>116</v>
      </c>
      <c r="P33" s="310" t="s">
        <v>117</v>
      </c>
      <c r="Q33" s="687"/>
      <c r="R33" s="687"/>
      <c r="S33" s="311" t="s">
        <v>143</v>
      </c>
      <c r="T33" s="309"/>
      <c r="U33" s="309"/>
      <c r="V33" s="309"/>
      <c r="W33" s="664">
        <f t="shared" si="0"/>
        <v>0</v>
      </c>
      <c r="X33" s="664"/>
      <c r="Y33" s="664"/>
      <c r="Z33" s="665"/>
      <c r="AB33" s="663">
        <v>0</v>
      </c>
      <c r="AC33" s="664"/>
      <c r="AD33" s="665"/>
      <c r="AF33" s="663">
        <f t="shared" si="1"/>
        <v>0</v>
      </c>
      <c r="AG33" s="664"/>
      <c r="AH33" s="665"/>
      <c r="AJ33" s="681">
        <v>8</v>
      </c>
      <c r="AK33" s="682"/>
      <c r="AL33" s="677">
        <f t="shared" si="5"/>
        <v>0</v>
      </c>
      <c r="AM33" s="678"/>
      <c r="AN33" s="679">
        <f t="shared" si="2"/>
        <v>0</v>
      </c>
      <c r="AO33" s="680"/>
      <c r="AP33" s="676"/>
      <c r="AQ33" s="461"/>
      <c r="AT33" s="696">
        <f t="shared" si="3"/>
        <v>0</v>
      </c>
      <c r="AU33" s="697"/>
      <c r="AV33" s="696">
        <f t="shared" si="4"/>
        <v>0</v>
      </c>
      <c r="AW33" s="697"/>
    </row>
    <row r="34" spans="3:49" s="51" customFormat="1" ht="19" customHeight="1" x14ac:dyDescent="0.15">
      <c r="C34" s="698">
        <f t="shared" si="6"/>
        <v>23</v>
      </c>
      <c r="D34" s="699"/>
      <c r="E34" s="700"/>
      <c r="F34" s="700"/>
      <c r="G34" s="700"/>
      <c r="H34" s="700"/>
      <c r="I34" s="700"/>
      <c r="J34" s="700"/>
      <c r="K34" s="700"/>
      <c r="L34" s="700"/>
      <c r="M34" s="700"/>
      <c r="N34" s="309"/>
      <c r="O34" s="309" t="s">
        <v>116</v>
      </c>
      <c r="P34" s="310" t="s">
        <v>117</v>
      </c>
      <c r="Q34" s="687"/>
      <c r="R34" s="687"/>
      <c r="S34" s="311" t="s">
        <v>143</v>
      </c>
      <c r="T34" s="309"/>
      <c r="U34" s="309"/>
      <c r="V34" s="309"/>
      <c r="W34" s="664">
        <f t="shared" si="0"/>
        <v>0</v>
      </c>
      <c r="X34" s="664"/>
      <c r="Y34" s="664"/>
      <c r="Z34" s="665"/>
      <c r="AB34" s="663">
        <v>0</v>
      </c>
      <c r="AC34" s="664"/>
      <c r="AD34" s="665"/>
      <c r="AF34" s="663">
        <f t="shared" si="1"/>
        <v>0</v>
      </c>
      <c r="AG34" s="664"/>
      <c r="AH34" s="665"/>
      <c r="AJ34" s="681">
        <v>8</v>
      </c>
      <c r="AK34" s="682"/>
      <c r="AL34" s="677">
        <f t="shared" si="5"/>
        <v>0</v>
      </c>
      <c r="AM34" s="678"/>
      <c r="AN34" s="679">
        <f t="shared" si="2"/>
        <v>0</v>
      </c>
      <c r="AO34" s="680"/>
      <c r="AP34" s="676"/>
      <c r="AQ34" s="461"/>
      <c r="AT34" s="696">
        <f t="shared" si="3"/>
        <v>0</v>
      </c>
      <c r="AU34" s="697"/>
      <c r="AV34" s="696">
        <f t="shared" si="4"/>
        <v>0</v>
      </c>
      <c r="AW34" s="697"/>
    </row>
    <row r="35" spans="3:49" s="51" customFormat="1" ht="19" customHeight="1" x14ac:dyDescent="0.15">
      <c r="C35" s="698">
        <f t="shared" si="6"/>
        <v>24</v>
      </c>
      <c r="D35" s="699"/>
      <c r="E35" s="700"/>
      <c r="F35" s="700"/>
      <c r="G35" s="700"/>
      <c r="H35" s="700"/>
      <c r="I35" s="700"/>
      <c r="J35" s="700"/>
      <c r="K35" s="700"/>
      <c r="L35" s="700"/>
      <c r="M35" s="700"/>
      <c r="N35" s="309"/>
      <c r="O35" s="309" t="s">
        <v>116</v>
      </c>
      <c r="P35" s="310" t="s">
        <v>117</v>
      </c>
      <c r="Q35" s="687"/>
      <c r="R35" s="687"/>
      <c r="S35" s="311" t="s">
        <v>143</v>
      </c>
      <c r="T35" s="309"/>
      <c r="U35" s="309"/>
      <c r="V35" s="309"/>
      <c r="W35" s="664">
        <f t="shared" si="0"/>
        <v>0</v>
      </c>
      <c r="X35" s="664"/>
      <c r="Y35" s="664"/>
      <c r="Z35" s="665"/>
      <c r="AB35" s="663">
        <v>0</v>
      </c>
      <c r="AC35" s="664"/>
      <c r="AD35" s="665"/>
      <c r="AF35" s="663">
        <f t="shared" si="1"/>
        <v>0</v>
      </c>
      <c r="AG35" s="664"/>
      <c r="AH35" s="665"/>
      <c r="AJ35" s="681">
        <v>8</v>
      </c>
      <c r="AK35" s="682"/>
      <c r="AL35" s="677">
        <f t="shared" si="5"/>
        <v>0</v>
      </c>
      <c r="AM35" s="678"/>
      <c r="AN35" s="679">
        <f t="shared" si="2"/>
        <v>0</v>
      </c>
      <c r="AO35" s="680"/>
      <c r="AP35" s="676"/>
      <c r="AQ35" s="461"/>
      <c r="AT35" s="696">
        <f t="shared" si="3"/>
        <v>0</v>
      </c>
      <c r="AU35" s="697"/>
      <c r="AV35" s="696">
        <f t="shared" si="4"/>
        <v>0</v>
      </c>
      <c r="AW35" s="697"/>
    </row>
    <row r="36" spans="3:49" s="51" customFormat="1" ht="19" customHeight="1" x14ac:dyDescent="0.15">
      <c r="C36" s="698">
        <f t="shared" si="6"/>
        <v>25</v>
      </c>
      <c r="D36" s="699"/>
      <c r="E36" s="701"/>
      <c r="F36" s="701"/>
      <c r="G36" s="701"/>
      <c r="H36" s="701"/>
      <c r="I36" s="701"/>
      <c r="J36" s="701"/>
      <c r="K36" s="701"/>
      <c r="L36" s="701"/>
      <c r="M36" s="701"/>
      <c r="N36" s="309"/>
      <c r="O36" s="309" t="s">
        <v>116</v>
      </c>
      <c r="P36" s="310" t="s">
        <v>117</v>
      </c>
      <c r="Q36" s="687"/>
      <c r="R36" s="687"/>
      <c r="S36" s="311" t="s">
        <v>143</v>
      </c>
      <c r="T36" s="309"/>
      <c r="U36" s="309"/>
      <c r="V36" s="309"/>
      <c r="W36" s="664">
        <f t="shared" si="0"/>
        <v>0</v>
      </c>
      <c r="X36" s="664"/>
      <c r="Y36" s="664"/>
      <c r="Z36" s="665"/>
      <c r="AB36" s="663">
        <v>0</v>
      </c>
      <c r="AC36" s="664"/>
      <c r="AD36" s="665"/>
      <c r="AF36" s="663">
        <f t="shared" si="1"/>
        <v>0</v>
      </c>
      <c r="AG36" s="664"/>
      <c r="AH36" s="665"/>
      <c r="AJ36" s="681">
        <v>8</v>
      </c>
      <c r="AK36" s="682"/>
      <c r="AL36" s="677">
        <f t="shared" si="5"/>
        <v>0</v>
      </c>
      <c r="AM36" s="678"/>
      <c r="AN36" s="679">
        <f t="shared" si="2"/>
        <v>0</v>
      </c>
      <c r="AO36" s="680"/>
      <c r="AP36" s="676"/>
      <c r="AQ36" s="461"/>
      <c r="AT36" s="696">
        <f t="shared" si="3"/>
        <v>0</v>
      </c>
      <c r="AU36" s="697"/>
      <c r="AV36" s="696">
        <f t="shared" si="4"/>
        <v>0</v>
      </c>
      <c r="AW36" s="697"/>
    </row>
    <row r="37" spans="3:49" s="51" customFormat="1" ht="19" customHeight="1" x14ac:dyDescent="0.15">
      <c r="C37" s="698">
        <f t="shared" si="6"/>
        <v>26</v>
      </c>
      <c r="D37" s="699"/>
      <c r="E37" s="700"/>
      <c r="F37" s="700"/>
      <c r="G37" s="700"/>
      <c r="H37" s="700"/>
      <c r="I37" s="700"/>
      <c r="J37" s="700"/>
      <c r="K37" s="700"/>
      <c r="L37" s="700"/>
      <c r="M37" s="700"/>
      <c r="N37" s="309"/>
      <c r="O37" s="309" t="s">
        <v>116</v>
      </c>
      <c r="P37" s="310" t="s">
        <v>117</v>
      </c>
      <c r="Q37" s="687"/>
      <c r="R37" s="687"/>
      <c r="S37" s="311" t="s">
        <v>143</v>
      </c>
      <c r="T37" s="309"/>
      <c r="U37" s="309"/>
      <c r="V37" s="309"/>
      <c r="W37" s="664">
        <f t="shared" si="0"/>
        <v>0</v>
      </c>
      <c r="X37" s="664"/>
      <c r="Y37" s="664"/>
      <c r="Z37" s="665"/>
      <c r="AB37" s="663">
        <v>0</v>
      </c>
      <c r="AC37" s="664"/>
      <c r="AD37" s="665"/>
      <c r="AF37" s="663">
        <f t="shared" si="1"/>
        <v>0</v>
      </c>
      <c r="AG37" s="664"/>
      <c r="AH37" s="665"/>
      <c r="AJ37" s="681">
        <v>8</v>
      </c>
      <c r="AK37" s="682"/>
      <c r="AL37" s="677">
        <f t="shared" si="5"/>
        <v>0</v>
      </c>
      <c r="AM37" s="678"/>
      <c r="AN37" s="679">
        <f t="shared" si="2"/>
        <v>0</v>
      </c>
      <c r="AO37" s="680"/>
      <c r="AP37" s="676"/>
      <c r="AQ37" s="461"/>
      <c r="AT37" s="696">
        <f t="shared" si="3"/>
        <v>0</v>
      </c>
      <c r="AU37" s="697"/>
      <c r="AV37" s="696">
        <f t="shared" si="4"/>
        <v>0</v>
      </c>
      <c r="AW37" s="697"/>
    </row>
    <row r="38" spans="3:49" s="51" customFormat="1" ht="19" customHeight="1" x14ac:dyDescent="0.15">
      <c r="C38" s="698">
        <f t="shared" si="6"/>
        <v>27</v>
      </c>
      <c r="D38" s="699"/>
      <c r="E38" s="700"/>
      <c r="F38" s="700"/>
      <c r="G38" s="700"/>
      <c r="H38" s="700"/>
      <c r="I38" s="700"/>
      <c r="J38" s="700"/>
      <c r="K38" s="700"/>
      <c r="L38" s="700"/>
      <c r="M38" s="700"/>
      <c r="N38" s="309"/>
      <c r="O38" s="309" t="s">
        <v>116</v>
      </c>
      <c r="P38" s="310" t="s">
        <v>117</v>
      </c>
      <c r="Q38" s="687"/>
      <c r="R38" s="687"/>
      <c r="S38" s="311" t="s">
        <v>143</v>
      </c>
      <c r="T38" s="309"/>
      <c r="U38" s="309"/>
      <c r="V38" s="309"/>
      <c r="W38" s="664">
        <f t="shared" si="0"/>
        <v>0</v>
      </c>
      <c r="X38" s="664"/>
      <c r="Y38" s="664"/>
      <c r="Z38" s="665"/>
      <c r="AB38" s="663">
        <v>0</v>
      </c>
      <c r="AC38" s="664"/>
      <c r="AD38" s="665"/>
      <c r="AF38" s="663">
        <f t="shared" si="1"/>
        <v>0</v>
      </c>
      <c r="AG38" s="664"/>
      <c r="AH38" s="665"/>
      <c r="AJ38" s="681">
        <v>10</v>
      </c>
      <c r="AK38" s="682"/>
      <c r="AL38" s="677">
        <f t="shared" si="5"/>
        <v>0</v>
      </c>
      <c r="AM38" s="678"/>
      <c r="AN38" s="679">
        <f t="shared" si="2"/>
        <v>0</v>
      </c>
      <c r="AO38" s="680"/>
      <c r="AP38" s="676"/>
      <c r="AQ38" s="461"/>
      <c r="AT38" s="696">
        <f t="shared" si="3"/>
        <v>0</v>
      </c>
      <c r="AU38" s="697"/>
      <c r="AV38" s="696">
        <f t="shared" si="4"/>
        <v>0</v>
      </c>
      <c r="AW38" s="697"/>
    </row>
    <row r="39" spans="3:49" s="51" customFormat="1" ht="19" customHeight="1" x14ac:dyDescent="0.15">
      <c r="C39" s="698">
        <f t="shared" si="6"/>
        <v>28</v>
      </c>
      <c r="D39" s="699"/>
      <c r="E39" s="700"/>
      <c r="F39" s="700"/>
      <c r="G39" s="700"/>
      <c r="H39" s="700"/>
      <c r="I39" s="700"/>
      <c r="J39" s="700"/>
      <c r="K39" s="700"/>
      <c r="L39" s="700"/>
      <c r="M39" s="700"/>
      <c r="N39" s="309"/>
      <c r="O39" s="309" t="s">
        <v>116</v>
      </c>
      <c r="P39" s="310" t="s">
        <v>117</v>
      </c>
      <c r="Q39" s="687"/>
      <c r="R39" s="687"/>
      <c r="S39" s="311" t="s">
        <v>143</v>
      </c>
      <c r="T39" s="309"/>
      <c r="U39" s="309"/>
      <c r="V39" s="309"/>
      <c r="W39" s="664">
        <f t="shared" si="0"/>
        <v>0</v>
      </c>
      <c r="X39" s="664"/>
      <c r="Y39" s="664"/>
      <c r="Z39" s="665"/>
      <c r="AB39" s="663">
        <v>0</v>
      </c>
      <c r="AC39" s="664"/>
      <c r="AD39" s="665"/>
      <c r="AF39" s="663">
        <f t="shared" si="1"/>
        <v>0</v>
      </c>
      <c r="AG39" s="664"/>
      <c r="AH39" s="665"/>
      <c r="AJ39" s="681">
        <v>10</v>
      </c>
      <c r="AK39" s="682"/>
      <c r="AL39" s="677">
        <f t="shared" si="5"/>
        <v>0</v>
      </c>
      <c r="AM39" s="678"/>
      <c r="AN39" s="679">
        <f t="shared" si="2"/>
        <v>0</v>
      </c>
      <c r="AO39" s="680"/>
      <c r="AP39" s="676"/>
      <c r="AQ39" s="461"/>
      <c r="AT39" s="696">
        <f t="shared" si="3"/>
        <v>0</v>
      </c>
      <c r="AU39" s="697"/>
      <c r="AV39" s="696">
        <f t="shared" si="4"/>
        <v>0</v>
      </c>
      <c r="AW39" s="697"/>
    </row>
    <row r="40" spans="3:49" s="51" customFormat="1" ht="19" customHeight="1" x14ac:dyDescent="0.15">
      <c r="C40" s="698">
        <f t="shared" si="6"/>
        <v>29</v>
      </c>
      <c r="D40" s="699"/>
      <c r="E40" s="700"/>
      <c r="F40" s="700"/>
      <c r="G40" s="700"/>
      <c r="H40" s="700"/>
      <c r="I40" s="700"/>
      <c r="J40" s="700"/>
      <c r="K40" s="700"/>
      <c r="L40" s="700"/>
      <c r="M40" s="700"/>
      <c r="N40" s="309"/>
      <c r="O40" s="309" t="s">
        <v>116</v>
      </c>
      <c r="P40" s="310" t="s">
        <v>117</v>
      </c>
      <c r="Q40" s="687"/>
      <c r="R40" s="687"/>
      <c r="S40" s="311" t="s">
        <v>143</v>
      </c>
      <c r="T40" s="309"/>
      <c r="U40" s="309"/>
      <c r="V40" s="309"/>
      <c r="W40" s="664">
        <f t="shared" si="0"/>
        <v>0</v>
      </c>
      <c r="X40" s="664"/>
      <c r="Y40" s="664"/>
      <c r="Z40" s="665"/>
      <c r="AB40" s="663">
        <v>0</v>
      </c>
      <c r="AC40" s="664"/>
      <c r="AD40" s="665"/>
      <c r="AF40" s="663">
        <f t="shared" si="1"/>
        <v>0</v>
      </c>
      <c r="AG40" s="664"/>
      <c r="AH40" s="665"/>
      <c r="AJ40" s="681">
        <v>10</v>
      </c>
      <c r="AK40" s="682"/>
      <c r="AL40" s="677">
        <f t="shared" si="5"/>
        <v>0</v>
      </c>
      <c r="AM40" s="678"/>
      <c r="AN40" s="679">
        <f t="shared" si="2"/>
        <v>0</v>
      </c>
      <c r="AO40" s="680"/>
      <c r="AP40" s="676"/>
      <c r="AQ40" s="461"/>
      <c r="AT40" s="696">
        <f t="shared" si="3"/>
        <v>0</v>
      </c>
      <c r="AU40" s="697"/>
      <c r="AV40" s="696">
        <f t="shared" si="4"/>
        <v>0</v>
      </c>
      <c r="AW40" s="697"/>
    </row>
    <row r="41" spans="3:49" s="51" customFormat="1" ht="19" customHeight="1" x14ac:dyDescent="0.15">
      <c r="C41" s="698">
        <f t="shared" si="6"/>
        <v>30</v>
      </c>
      <c r="D41" s="699"/>
      <c r="E41" s="700"/>
      <c r="F41" s="700"/>
      <c r="G41" s="700"/>
      <c r="H41" s="700"/>
      <c r="I41" s="700"/>
      <c r="J41" s="700"/>
      <c r="K41" s="700"/>
      <c r="L41" s="700"/>
      <c r="M41" s="700"/>
      <c r="N41" s="309"/>
      <c r="O41" s="309" t="s">
        <v>116</v>
      </c>
      <c r="P41" s="310" t="s">
        <v>117</v>
      </c>
      <c r="Q41" s="687"/>
      <c r="R41" s="687"/>
      <c r="S41" s="311" t="s">
        <v>143</v>
      </c>
      <c r="T41" s="309"/>
      <c r="U41" s="309"/>
      <c r="V41" s="309"/>
      <c r="W41" s="664">
        <f t="shared" si="0"/>
        <v>0</v>
      </c>
      <c r="X41" s="664"/>
      <c r="Y41" s="664"/>
      <c r="Z41" s="665"/>
      <c r="AB41" s="663">
        <v>0</v>
      </c>
      <c r="AC41" s="664"/>
      <c r="AD41" s="665"/>
      <c r="AF41" s="663">
        <f t="shared" si="1"/>
        <v>0</v>
      </c>
      <c r="AG41" s="664"/>
      <c r="AH41" s="665"/>
      <c r="AJ41" s="681">
        <v>10</v>
      </c>
      <c r="AK41" s="682"/>
      <c r="AL41" s="677">
        <f t="shared" si="5"/>
        <v>0</v>
      </c>
      <c r="AM41" s="678"/>
      <c r="AN41" s="679">
        <f t="shared" si="2"/>
        <v>0</v>
      </c>
      <c r="AO41" s="680"/>
      <c r="AP41" s="676"/>
      <c r="AQ41" s="461"/>
      <c r="AT41" s="696">
        <f t="shared" si="3"/>
        <v>0</v>
      </c>
      <c r="AU41" s="697"/>
      <c r="AV41" s="696">
        <f t="shared" si="4"/>
        <v>0</v>
      </c>
      <c r="AW41" s="697"/>
    </row>
    <row r="42" spans="3:49" s="51" customFormat="1" ht="19" customHeight="1" x14ac:dyDescent="0.15">
      <c r="C42" s="698">
        <f t="shared" si="6"/>
        <v>31</v>
      </c>
      <c r="D42" s="699"/>
      <c r="E42" s="700"/>
      <c r="F42" s="700"/>
      <c r="G42" s="700"/>
      <c r="H42" s="700"/>
      <c r="I42" s="700"/>
      <c r="J42" s="700"/>
      <c r="K42" s="700"/>
      <c r="L42" s="700"/>
      <c r="M42" s="700"/>
      <c r="N42" s="309"/>
      <c r="O42" s="309" t="s">
        <v>116</v>
      </c>
      <c r="P42" s="310" t="s">
        <v>117</v>
      </c>
      <c r="Q42" s="687"/>
      <c r="R42" s="687"/>
      <c r="S42" s="311" t="s">
        <v>143</v>
      </c>
      <c r="T42" s="309"/>
      <c r="U42" s="309"/>
      <c r="V42" s="309"/>
      <c r="W42" s="664">
        <f t="shared" si="0"/>
        <v>0</v>
      </c>
      <c r="X42" s="664"/>
      <c r="Y42" s="664"/>
      <c r="Z42" s="665"/>
      <c r="AB42" s="663">
        <v>0</v>
      </c>
      <c r="AC42" s="664"/>
      <c r="AD42" s="665"/>
      <c r="AF42" s="663">
        <f t="shared" si="1"/>
        <v>0</v>
      </c>
      <c r="AG42" s="664"/>
      <c r="AH42" s="665"/>
      <c r="AJ42" s="681">
        <v>10</v>
      </c>
      <c r="AK42" s="682"/>
      <c r="AL42" s="677">
        <f t="shared" si="5"/>
        <v>0</v>
      </c>
      <c r="AM42" s="678"/>
      <c r="AN42" s="679">
        <f t="shared" si="2"/>
        <v>0</v>
      </c>
      <c r="AO42" s="680"/>
      <c r="AP42" s="676"/>
      <c r="AQ42" s="461"/>
      <c r="AT42" s="696">
        <f t="shared" si="3"/>
        <v>0</v>
      </c>
      <c r="AU42" s="697"/>
      <c r="AV42" s="696">
        <f t="shared" si="4"/>
        <v>0</v>
      </c>
      <c r="AW42" s="697"/>
    </row>
    <row r="43" spans="3:49" s="51" customFormat="1" ht="19" customHeight="1" x14ac:dyDescent="0.15">
      <c r="C43" s="698">
        <f t="shared" si="6"/>
        <v>32</v>
      </c>
      <c r="D43" s="699"/>
      <c r="E43" s="700"/>
      <c r="F43" s="700"/>
      <c r="G43" s="700"/>
      <c r="H43" s="700"/>
      <c r="I43" s="700"/>
      <c r="J43" s="700"/>
      <c r="K43" s="700"/>
      <c r="L43" s="700"/>
      <c r="M43" s="700"/>
      <c r="N43" s="309"/>
      <c r="O43" s="309" t="s">
        <v>116</v>
      </c>
      <c r="P43" s="310" t="s">
        <v>117</v>
      </c>
      <c r="Q43" s="687"/>
      <c r="R43" s="687"/>
      <c r="S43" s="311" t="s">
        <v>143</v>
      </c>
      <c r="T43" s="309"/>
      <c r="U43" s="309"/>
      <c r="V43" s="309"/>
      <c r="W43" s="664">
        <f t="shared" si="0"/>
        <v>0</v>
      </c>
      <c r="X43" s="664"/>
      <c r="Y43" s="664"/>
      <c r="Z43" s="665"/>
      <c r="AB43" s="663">
        <v>0</v>
      </c>
      <c r="AC43" s="664"/>
      <c r="AD43" s="665"/>
      <c r="AF43" s="663">
        <f t="shared" si="1"/>
        <v>0</v>
      </c>
      <c r="AG43" s="664"/>
      <c r="AH43" s="665"/>
      <c r="AJ43" s="681">
        <v>10</v>
      </c>
      <c r="AK43" s="682"/>
      <c r="AL43" s="677">
        <f t="shared" si="5"/>
        <v>0</v>
      </c>
      <c r="AM43" s="678"/>
      <c r="AN43" s="679">
        <f t="shared" si="2"/>
        <v>0</v>
      </c>
      <c r="AO43" s="680"/>
      <c r="AP43" s="676"/>
      <c r="AQ43" s="461"/>
      <c r="AT43" s="696">
        <f t="shared" ref="AT43:AT60" si="7">AL43*ThisSheetState</f>
        <v>0</v>
      </c>
      <c r="AU43" s="697"/>
      <c r="AV43" s="696">
        <f t="shared" ref="AV43:AV60" si="8">(AJ43-ThisSheetState)*AN43</f>
        <v>0</v>
      </c>
      <c r="AW43" s="697"/>
    </row>
    <row r="44" spans="3:49" s="51" customFormat="1" ht="19" customHeight="1" x14ac:dyDescent="0.15">
      <c r="C44" s="698">
        <f t="shared" si="6"/>
        <v>33</v>
      </c>
      <c r="D44" s="699"/>
      <c r="E44" s="700"/>
      <c r="F44" s="700"/>
      <c r="G44" s="700"/>
      <c r="H44" s="700"/>
      <c r="I44" s="700"/>
      <c r="J44" s="700"/>
      <c r="K44" s="700"/>
      <c r="L44" s="700"/>
      <c r="M44" s="700"/>
      <c r="N44" s="309"/>
      <c r="O44" s="309" t="s">
        <v>116</v>
      </c>
      <c r="P44" s="310" t="s">
        <v>117</v>
      </c>
      <c r="Q44" s="687"/>
      <c r="R44" s="687"/>
      <c r="S44" s="311" t="s">
        <v>143</v>
      </c>
      <c r="T44" s="309"/>
      <c r="U44" s="309"/>
      <c r="V44" s="309"/>
      <c r="W44" s="664">
        <f t="shared" si="0"/>
        <v>0</v>
      </c>
      <c r="X44" s="664"/>
      <c r="Y44" s="664"/>
      <c r="Z44" s="665"/>
      <c r="AB44" s="663">
        <v>0</v>
      </c>
      <c r="AC44" s="664"/>
      <c r="AD44" s="665"/>
      <c r="AF44" s="663">
        <f t="shared" si="1"/>
        <v>0</v>
      </c>
      <c r="AG44" s="664"/>
      <c r="AH44" s="665"/>
      <c r="AJ44" s="681">
        <v>10</v>
      </c>
      <c r="AK44" s="682"/>
      <c r="AL44" s="677">
        <f t="shared" si="5"/>
        <v>0</v>
      </c>
      <c r="AM44" s="678"/>
      <c r="AN44" s="679">
        <f t="shared" si="2"/>
        <v>0</v>
      </c>
      <c r="AO44" s="680"/>
      <c r="AP44" s="676"/>
      <c r="AQ44" s="461"/>
      <c r="AT44" s="696">
        <f t="shared" si="7"/>
        <v>0</v>
      </c>
      <c r="AU44" s="697"/>
      <c r="AV44" s="696">
        <f t="shared" si="8"/>
        <v>0</v>
      </c>
      <c r="AW44" s="697"/>
    </row>
    <row r="45" spans="3:49" s="51" customFormat="1" ht="19" customHeight="1" x14ac:dyDescent="0.15">
      <c r="C45" s="698">
        <f t="shared" si="6"/>
        <v>34</v>
      </c>
      <c r="D45" s="699"/>
      <c r="E45" s="700"/>
      <c r="F45" s="700"/>
      <c r="G45" s="700"/>
      <c r="H45" s="700"/>
      <c r="I45" s="700"/>
      <c r="J45" s="700"/>
      <c r="K45" s="700"/>
      <c r="L45" s="700"/>
      <c r="M45" s="700"/>
      <c r="N45" s="309"/>
      <c r="O45" s="309" t="s">
        <v>116</v>
      </c>
      <c r="P45" s="310" t="s">
        <v>117</v>
      </c>
      <c r="Q45" s="687"/>
      <c r="R45" s="687"/>
      <c r="S45" s="311" t="s">
        <v>143</v>
      </c>
      <c r="T45" s="309"/>
      <c r="U45" s="309"/>
      <c r="V45" s="309"/>
      <c r="W45" s="664">
        <f t="shared" si="0"/>
        <v>0</v>
      </c>
      <c r="X45" s="664"/>
      <c r="Y45" s="664"/>
      <c r="Z45" s="665"/>
      <c r="AB45" s="663">
        <v>0</v>
      </c>
      <c r="AC45" s="664"/>
      <c r="AD45" s="665"/>
      <c r="AF45" s="663">
        <f t="shared" si="1"/>
        <v>0</v>
      </c>
      <c r="AG45" s="664"/>
      <c r="AH45" s="665"/>
      <c r="AJ45" s="681">
        <v>10</v>
      </c>
      <c r="AK45" s="682"/>
      <c r="AL45" s="677">
        <f t="shared" si="5"/>
        <v>0</v>
      </c>
      <c r="AM45" s="678"/>
      <c r="AN45" s="679">
        <f t="shared" si="2"/>
        <v>0</v>
      </c>
      <c r="AO45" s="680"/>
      <c r="AP45" s="676"/>
      <c r="AQ45" s="461"/>
      <c r="AT45" s="696">
        <f t="shared" si="7"/>
        <v>0</v>
      </c>
      <c r="AU45" s="697"/>
      <c r="AV45" s="696">
        <f t="shared" si="8"/>
        <v>0</v>
      </c>
      <c r="AW45" s="697"/>
    </row>
    <row r="46" spans="3:49" s="51" customFormat="1" ht="19" customHeight="1" x14ac:dyDescent="0.15">
      <c r="C46" s="698">
        <f t="shared" si="6"/>
        <v>35</v>
      </c>
      <c r="D46" s="699"/>
      <c r="E46" s="700"/>
      <c r="F46" s="700"/>
      <c r="G46" s="700"/>
      <c r="H46" s="700"/>
      <c r="I46" s="700"/>
      <c r="J46" s="700"/>
      <c r="K46" s="700"/>
      <c r="L46" s="700"/>
      <c r="M46" s="700"/>
      <c r="N46" s="309"/>
      <c r="O46" s="309" t="s">
        <v>116</v>
      </c>
      <c r="P46" s="310" t="s">
        <v>117</v>
      </c>
      <c r="Q46" s="687"/>
      <c r="R46" s="687"/>
      <c r="S46" s="311" t="s">
        <v>143</v>
      </c>
      <c r="T46" s="309"/>
      <c r="U46" s="309"/>
      <c r="V46" s="309"/>
      <c r="W46" s="664">
        <f t="shared" si="0"/>
        <v>0</v>
      </c>
      <c r="X46" s="664"/>
      <c r="Y46" s="664"/>
      <c r="Z46" s="665"/>
      <c r="AB46" s="663">
        <v>0</v>
      </c>
      <c r="AC46" s="664"/>
      <c r="AD46" s="665"/>
      <c r="AF46" s="663">
        <f t="shared" si="1"/>
        <v>0</v>
      </c>
      <c r="AG46" s="664"/>
      <c r="AH46" s="665"/>
      <c r="AJ46" s="681">
        <v>10</v>
      </c>
      <c r="AK46" s="682"/>
      <c r="AL46" s="677">
        <f t="shared" si="5"/>
        <v>0</v>
      </c>
      <c r="AM46" s="678"/>
      <c r="AN46" s="679">
        <f t="shared" si="2"/>
        <v>0</v>
      </c>
      <c r="AO46" s="680"/>
      <c r="AP46" s="676"/>
      <c r="AQ46" s="461"/>
      <c r="AT46" s="696">
        <f t="shared" si="7"/>
        <v>0</v>
      </c>
      <c r="AU46" s="697"/>
      <c r="AV46" s="696">
        <f t="shared" si="8"/>
        <v>0</v>
      </c>
      <c r="AW46" s="697"/>
    </row>
    <row r="47" spans="3:49" s="51" customFormat="1" ht="19" customHeight="1" x14ac:dyDescent="0.15">
      <c r="C47" s="698">
        <f t="shared" si="6"/>
        <v>36</v>
      </c>
      <c r="D47" s="699"/>
      <c r="E47" s="700"/>
      <c r="F47" s="700"/>
      <c r="G47" s="700"/>
      <c r="H47" s="700"/>
      <c r="I47" s="700"/>
      <c r="J47" s="700"/>
      <c r="K47" s="700"/>
      <c r="L47" s="700"/>
      <c r="M47" s="700"/>
      <c r="N47" s="309"/>
      <c r="O47" s="309" t="s">
        <v>116</v>
      </c>
      <c r="P47" s="310" t="s">
        <v>117</v>
      </c>
      <c r="Q47" s="687"/>
      <c r="R47" s="687"/>
      <c r="S47" s="311" t="s">
        <v>143</v>
      </c>
      <c r="T47" s="309"/>
      <c r="U47" s="309"/>
      <c r="V47" s="309"/>
      <c r="W47" s="664">
        <f t="shared" si="0"/>
        <v>0</v>
      </c>
      <c r="X47" s="664"/>
      <c r="Y47" s="664"/>
      <c r="Z47" s="665"/>
      <c r="AB47" s="663">
        <v>0</v>
      </c>
      <c r="AC47" s="664"/>
      <c r="AD47" s="665"/>
      <c r="AF47" s="663">
        <f t="shared" si="1"/>
        <v>0</v>
      </c>
      <c r="AG47" s="664"/>
      <c r="AH47" s="665"/>
      <c r="AJ47" s="681">
        <v>10</v>
      </c>
      <c r="AK47" s="682"/>
      <c r="AL47" s="677">
        <f t="shared" si="5"/>
        <v>0</v>
      </c>
      <c r="AM47" s="678"/>
      <c r="AN47" s="679">
        <f t="shared" si="2"/>
        <v>0</v>
      </c>
      <c r="AO47" s="680"/>
      <c r="AP47" s="676"/>
      <c r="AQ47" s="461"/>
      <c r="AT47" s="696">
        <f t="shared" si="7"/>
        <v>0</v>
      </c>
      <c r="AU47" s="697"/>
      <c r="AV47" s="696">
        <f t="shared" si="8"/>
        <v>0</v>
      </c>
      <c r="AW47" s="697"/>
    </row>
    <row r="48" spans="3:49" s="51" customFormat="1" ht="19" customHeight="1" x14ac:dyDescent="0.15">
      <c r="C48" s="698">
        <f t="shared" si="6"/>
        <v>37</v>
      </c>
      <c r="D48" s="699"/>
      <c r="E48" s="700"/>
      <c r="F48" s="700"/>
      <c r="G48" s="700"/>
      <c r="H48" s="700"/>
      <c r="I48" s="700"/>
      <c r="J48" s="700"/>
      <c r="K48" s="700"/>
      <c r="L48" s="700"/>
      <c r="M48" s="700"/>
      <c r="N48" s="309"/>
      <c r="O48" s="309" t="s">
        <v>116</v>
      </c>
      <c r="P48" s="310" t="s">
        <v>117</v>
      </c>
      <c r="Q48" s="687"/>
      <c r="R48" s="687"/>
      <c r="S48" s="311" t="s">
        <v>143</v>
      </c>
      <c r="T48" s="309"/>
      <c r="U48" s="309"/>
      <c r="V48" s="309"/>
      <c r="W48" s="664">
        <f t="shared" si="0"/>
        <v>0</v>
      </c>
      <c r="X48" s="664"/>
      <c r="Y48" s="664"/>
      <c r="Z48" s="665"/>
      <c r="AB48" s="663">
        <v>0</v>
      </c>
      <c r="AC48" s="664"/>
      <c r="AD48" s="665"/>
      <c r="AF48" s="663">
        <f t="shared" si="1"/>
        <v>0</v>
      </c>
      <c r="AG48" s="664"/>
      <c r="AH48" s="665"/>
      <c r="AJ48" s="681">
        <v>10</v>
      </c>
      <c r="AK48" s="682"/>
      <c r="AL48" s="677">
        <f t="shared" si="5"/>
        <v>0</v>
      </c>
      <c r="AM48" s="678"/>
      <c r="AN48" s="679">
        <f t="shared" si="2"/>
        <v>0</v>
      </c>
      <c r="AO48" s="680"/>
      <c r="AP48" s="676"/>
      <c r="AQ48" s="461"/>
      <c r="AT48" s="696">
        <f t="shared" si="7"/>
        <v>0</v>
      </c>
      <c r="AU48" s="697"/>
      <c r="AV48" s="696">
        <f t="shared" si="8"/>
        <v>0</v>
      </c>
      <c r="AW48" s="697"/>
    </row>
    <row r="49" spans="3:54" s="51" customFormat="1" ht="19" customHeight="1" x14ac:dyDescent="0.15">
      <c r="C49" s="698">
        <f t="shared" si="6"/>
        <v>38</v>
      </c>
      <c r="D49" s="699"/>
      <c r="E49" s="700"/>
      <c r="F49" s="700"/>
      <c r="G49" s="700"/>
      <c r="H49" s="700"/>
      <c r="I49" s="700"/>
      <c r="J49" s="700"/>
      <c r="K49" s="700"/>
      <c r="L49" s="700"/>
      <c r="M49" s="700"/>
      <c r="N49" s="309"/>
      <c r="O49" s="309" t="s">
        <v>116</v>
      </c>
      <c r="P49" s="310" t="s">
        <v>117</v>
      </c>
      <c r="Q49" s="687"/>
      <c r="R49" s="687"/>
      <c r="S49" s="311" t="s">
        <v>143</v>
      </c>
      <c r="T49" s="309"/>
      <c r="U49" s="309"/>
      <c r="V49" s="309"/>
      <c r="W49" s="664">
        <f t="shared" si="0"/>
        <v>0</v>
      </c>
      <c r="X49" s="664"/>
      <c r="Y49" s="664"/>
      <c r="Z49" s="665"/>
      <c r="AB49" s="663">
        <v>0</v>
      </c>
      <c r="AC49" s="664"/>
      <c r="AD49" s="665"/>
      <c r="AF49" s="663">
        <f t="shared" si="1"/>
        <v>0</v>
      </c>
      <c r="AG49" s="664"/>
      <c r="AH49" s="665"/>
      <c r="AJ49" s="681">
        <v>10</v>
      </c>
      <c r="AK49" s="682"/>
      <c r="AL49" s="677">
        <f t="shared" si="5"/>
        <v>0</v>
      </c>
      <c r="AM49" s="678"/>
      <c r="AN49" s="679">
        <f t="shared" si="2"/>
        <v>0</v>
      </c>
      <c r="AO49" s="680"/>
      <c r="AP49" s="676"/>
      <c r="AQ49" s="461"/>
      <c r="AT49" s="696">
        <f t="shared" si="7"/>
        <v>0</v>
      </c>
      <c r="AU49" s="697"/>
      <c r="AV49" s="696">
        <f t="shared" si="8"/>
        <v>0</v>
      </c>
      <c r="AW49" s="697"/>
    </row>
    <row r="50" spans="3:54" s="51" customFormat="1" ht="19" customHeight="1" x14ac:dyDescent="0.15">
      <c r="C50" s="698">
        <f t="shared" si="6"/>
        <v>39</v>
      </c>
      <c r="D50" s="699"/>
      <c r="E50" s="700"/>
      <c r="F50" s="700"/>
      <c r="G50" s="700"/>
      <c r="H50" s="700"/>
      <c r="I50" s="700"/>
      <c r="J50" s="700"/>
      <c r="K50" s="700"/>
      <c r="L50" s="700"/>
      <c r="M50" s="700"/>
      <c r="N50" s="309"/>
      <c r="O50" s="309" t="s">
        <v>116</v>
      </c>
      <c r="P50" s="310" t="s">
        <v>117</v>
      </c>
      <c r="Q50" s="687"/>
      <c r="R50" s="687"/>
      <c r="S50" s="311" t="s">
        <v>143</v>
      </c>
      <c r="T50" s="309"/>
      <c r="U50" s="309"/>
      <c r="V50" s="309"/>
      <c r="W50" s="664">
        <f t="shared" si="0"/>
        <v>0</v>
      </c>
      <c r="X50" s="664"/>
      <c r="Y50" s="664"/>
      <c r="Z50" s="665"/>
      <c r="AB50" s="663">
        <v>0</v>
      </c>
      <c r="AC50" s="664"/>
      <c r="AD50" s="665"/>
      <c r="AF50" s="663">
        <f t="shared" si="1"/>
        <v>0</v>
      </c>
      <c r="AG50" s="664"/>
      <c r="AH50" s="665"/>
      <c r="AJ50" s="681">
        <v>10</v>
      </c>
      <c r="AK50" s="682"/>
      <c r="AL50" s="677">
        <f t="shared" si="5"/>
        <v>0</v>
      </c>
      <c r="AM50" s="678"/>
      <c r="AN50" s="679">
        <f t="shared" si="2"/>
        <v>0</v>
      </c>
      <c r="AO50" s="680"/>
      <c r="AP50" s="676"/>
      <c r="AQ50" s="461"/>
      <c r="AT50" s="696">
        <f t="shared" si="7"/>
        <v>0</v>
      </c>
      <c r="AU50" s="697"/>
      <c r="AV50" s="696">
        <f t="shared" si="8"/>
        <v>0</v>
      </c>
      <c r="AW50" s="697"/>
    </row>
    <row r="51" spans="3:54" s="51" customFormat="1" ht="19" customHeight="1" x14ac:dyDescent="0.15">
      <c r="C51" s="698">
        <f t="shared" si="6"/>
        <v>40</v>
      </c>
      <c r="D51" s="699"/>
      <c r="E51" s="700"/>
      <c r="F51" s="700"/>
      <c r="G51" s="700"/>
      <c r="H51" s="700"/>
      <c r="I51" s="700"/>
      <c r="J51" s="700"/>
      <c r="K51" s="700"/>
      <c r="L51" s="700"/>
      <c r="M51" s="700"/>
      <c r="N51" s="309"/>
      <c r="O51" s="309" t="s">
        <v>116</v>
      </c>
      <c r="P51" s="310" t="s">
        <v>117</v>
      </c>
      <c r="Q51" s="687"/>
      <c r="R51" s="687"/>
      <c r="S51" s="311" t="s">
        <v>143</v>
      </c>
      <c r="T51" s="309"/>
      <c r="U51" s="309"/>
      <c r="V51" s="309"/>
      <c r="W51" s="664">
        <f t="shared" si="0"/>
        <v>0</v>
      </c>
      <c r="X51" s="664"/>
      <c r="Y51" s="664"/>
      <c r="Z51" s="665"/>
      <c r="AB51" s="663">
        <v>0</v>
      </c>
      <c r="AC51" s="664"/>
      <c r="AD51" s="665"/>
      <c r="AF51" s="663">
        <f t="shared" si="1"/>
        <v>0</v>
      </c>
      <c r="AG51" s="664"/>
      <c r="AH51" s="665"/>
      <c r="AJ51" s="681">
        <v>10</v>
      </c>
      <c r="AK51" s="682"/>
      <c r="AL51" s="677">
        <f t="shared" si="5"/>
        <v>0</v>
      </c>
      <c r="AM51" s="678"/>
      <c r="AN51" s="679">
        <f t="shared" si="2"/>
        <v>0</v>
      </c>
      <c r="AO51" s="680"/>
      <c r="AP51" s="676"/>
      <c r="AQ51" s="461"/>
      <c r="AT51" s="696">
        <f t="shared" si="7"/>
        <v>0</v>
      </c>
      <c r="AU51" s="697"/>
      <c r="AV51" s="696">
        <f t="shared" si="8"/>
        <v>0</v>
      </c>
      <c r="AW51" s="697"/>
    </row>
    <row r="52" spans="3:54" s="51" customFormat="1" ht="19" customHeight="1" x14ac:dyDescent="0.15">
      <c r="C52" s="698">
        <f t="shared" si="6"/>
        <v>41</v>
      </c>
      <c r="D52" s="699"/>
      <c r="E52" s="700"/>
      <c r="F52" s="700"/>
      <c r="G52" s="700"/>
      <c r="H52" s="700"/>
      <c r="I52" s="700"/>
      <c r="J52" s="700"/>
      <c r="K52" s="700"/>
      <c r="L52" s="700"/>
      <c r="M52" s="700"/>
      <c r="N52" s="309"/>
      <c r="O52" s="309" t="s">
        <v>116</v>
      </c>
      <c r="P52" s="310" t="s">
        <v>117</v>
      </c>
      <c r="Q52" s="687"/>
      <c r="R52" s="687"/>
      <c r="S52" s="311" t="s">
        <v>143</v>
      </c>
      <c r="T52" s="309"/>
      <c r="U52" s="309"/>
      <c r="V52" s="309"/>
      <c r="W52" s="664">
        <f t="shared" si="0"/>
        <v>0</v>
      </c>
      <c r="X52" s="664"/>
      <c r="Y52" s="664"/>
      <c r="Z52" s="665"/>
      <c r="AB52" s="663">
        <v>0</v>
      </c>
      <c r="AC52" s="664"/>
      <c r="AD52" s="665"/>
      <c r="AF52" s="663">
        <f t="shared" si="1"/>
        <v>0</v>
      </c>
      <c r="AG52" s="664"/>
      <c r="AH52" s="665"/>
      <c r="AJ52" s="681">
        <v>10</v>
      </c>
      <c r="AK52" s="682"/>
      <c r="AL52" s="677">
        <f t="shared" si="5"/>
        <v>0</v>
      </c>
      <c r="AM52" s="678"/>
      <c r="AN52" s="679">
        <f t="shared" si="2"/>
        <v>0</v>
      </c>
      <c r="AO52" s="680"/>
      <c r="AP52" s="676"/>
      <c r="AQ52" s="461"/>
      <c r="AT52" s="696">
        <f t="shared" si="7"/>
        <v>0</v>
      </c>
      <c r="AU52" s="697"/>
      <c r="AV52" s="696">
        <f t="shared" si="8"/>
        <v>0</v>
      </c>
      <c r="AW52" s="697"/>
    </row>
    <row r="53" spans="3:54" s="51" customFormat="1" ht="19" customHeight="1" x14ac:dyDescent="0.15">
      <c r="C53" s="698">
        <f t="shared" si="6"/>
        <v>42</v>
      </c>
      <c r="D53" s="699"/>
      <c r="E53" s="700"/>
      <c r="F53" s="700"/>
      <c r="G53" s="700"/>
      <c r="H53" s="700"/>
      <c r="I53" s="700"/>
      <c r="J53" s="700"/>
      <c r="K53" s="700"/>
      <c r="L53" s="700"/>
      <c r="M53" s="700"/>
      <c r="N53" s="309"/>
      <c r="O53" s="309" t="s">
        <v>116</v>
      </c>
      <c r="P53" s="310" t="s">
        <v>117</v>
      </c>
      <c r="Q53" s="687"/>
      <c r="R53" s="687"/>
      <c r="S53" s="311" t="s">
        <v>143</v>
      </c>
      <c r="T53" s="309"/>
      <c r="U53" s="309"/>
      <c r="V53" s="309"/>
      <c r="W53" s="664">
        <f t="shared" si="0"/>
        <v>0</v>
      </c>
      <c r="X53" s="664"/>
      <c r="Y53" s="664"/>
      <c r="Z53" s="665"/>
      <c r="AB53" s="663">
        <v>0</v>
      </c>
      <c r="AC53" s="664"/>
      <c r="AD53" s="665"/>
      <c r="AF53" s="663">
        <f t="shared" si="1"/>
        <v>0</v>
      </c>
      <c r="AG53" s="664"/>
      <c r="AH53" s="665"/>
      <c r="AJ53" s="681">
        <v>10</v>
      </c>
      <c r="AK53" s="682"/>
      <c r="AL53" s="677">
        <f t="shared" si="5"/>
        <v>0</v>
      </c>
      <c r="AM53" s="678"/>
      <c r="AN53" s="679">
        <f t="shared" si="2"/>
        <v>0</v>
      </c>
      <c r="AO53" s="680"/>
      <c r="AP53" s="676"/>
      <c r="AQ53" s="461"/>
      <c r="AT53" s="696">
        <f t="shared" si="7"/>
        <v>0</v>
      </c>
      <c r="AU53" s="697"/>
      <c r="AV53" s="696">
        <f t="shared" si="8"/>
        <v>0</v>
      </c>
      <c r="AW53" s="697"/>
      <c r="BB53" s="51" t="s">
        <v>233</v>
      </c>
    </row>
    <row r="54" spans="3:54" s="51" customFormat="1" ht="19" customHeight="1" x14ac:dyDescent="0.15">
      <c r="C54" s="698">
        <f t="shared" si="6"/>
        <v>43</v>
      </c>
      <c r="D54" s="699"/>
      <c r="E54" s="700"/>
      <c r="F54" s="700"/>
      <c r="G54" s="700"/>
      <c r="H54" s="700"/>
      <c r="I54" s="700"/>
      <c r="J54" s="700"/>
      <c r="K54" s="700"/>
      <c r="L54" s="700"/>
      <c r="M54" s="700"/>
      <c r="N54" s="309"/>
      <c r="O54" s="309" t="s">
        <v>116</v>
      </c>
      <c r="P54" s="310" t="s">
        <v>117</v>
      </c>
      <c r="Q54" s="687"/>
      <c r="R54" s="687"/>
      <c r="S54" s="311" t="s">
        <v>143</v>
      </c>
      <c r="T54" s="309"/>
      <c r="U54" s="309"/>
      <c r="V54" s="309"/>
      <c r="W54" s="664">
        <f t="shared" si="0"/>
        <v>0</v>
      </c>
      <c r="X54" s="664"/>
      <c r="Y54" s="664"/>
      <c r="Z54" s="665"/>
      <c r="AB54" s="663">
        <v>0</v>
      </c>
      <c r="AC54" s="664"/>
      <c r="AD54" s="665"/>
      <c r="AF54" s="663">
        <f t="shared" si="1"/>
        <v>0</v>
      </c>
      <c r="AG54" s="664"/>
      <c r="AH54" s="665"/>
      <c r="AJ54" s="681">
        <v>10</v>
      </c>
      <c r="AK54" s="682"/>
      <c r="AL54" s="677">
        <f t="shared" si="5"/>
        <v>0</v>
      </c>
      <c r="AM54" s="678"/>
      <c r="AN54" s="679">
        <f t="shared" si="2"/>
        <v>0</v>
      </c>
      <c r="AO54" s="680"/>
      <c r="AP54" s="676"/>
      <c r="AQ54" s="461"/>
      <c r="AT54" s="696">
        <f t="shared" si="7"/>
        <v>0</v>
      </c>
      <c r="AU54" s="697"/>
      <c r="AV54" s="696">
        <f t="shared" si="8"/>
        <v>0</v>
      </c>
      <c r="AW54" s="697"/>
    </row>
    <row r="55" spans="3:54" s="51" customFormat="1" ht="19" customHeight="1" x14ac:dyDescent="0.15">
      <c r="C55" s="698">
        <f t="shared" si="6"/>
        <v>44</v>
      </c>
      <c r="D55" s="699"/>
      <c r="E55" s="700"/>
      <c r="F55" s="700"/>
      <c r="G55" s="700"/>
      <c r="H55" s="700"/>
      <c r="I55" s="700"/>
      <c r="J55" s="700"/>
      <c r="K55" s="700"/>
      <c r="L55" s="700"/>
      <c r="M55" s="700"/>
      <c r="N55" s="309"/>
      <c r="O55" s="309" t="s">
        <v>116</v>
      </c>
      <c r="P55" s="310" t="s">
        <v>117</v>
      </c>
      <c r="Q55" s="687"/>
      <c r="R55" s="687"/>
      <c r="S55" s="311" t="s">
        <v>143</v>
      </c>
      <c r="T55" s="309"/>
      <c r="U55" s="309"/>
      <c r="V55" s="309"/>
      <c r="W55" s="664">
        <f t="shared" si="0"/>
        <v>0</v>
      </c>
      <c r="X55" s="664"/>
      <c r="Y55" s="664"/>
      <c r="Z55" s="665"/>
      <c r="AB55" s="663">
        <v>0</v>
      </c>
      <c r="AC55" s="664"/>
      <c r="AD55" s="665"/>
      <c r="AF55" s="663">
        <f t="shared" si="1"/>
        <v>0</v>
      </c>
      <c r="AG55" s="664"/>
      <c r="AH55" s="665"/>
      <c r="AJ55" s="681">
        <v>10</v>
      </c>
      <c r="AK55" s="682"/>
      <c r="AL55" s="677">
        <f t="shared" si="5"/>
        <v>0</v>
      </c>
      <c r="AM55" s="678"/>
      <c r="AN55" s="679">
        <f t="shared" si="2"/>
        <v>0</v>
      </c>
      <c r="AO55" s="680"/>
      <c r="AP55" s="676"/>
      <c r="AQ55" s="461"/>
      <c r="AT55" s="696">
        <f t="shared" si="7"/>
        <v>0</v>
      </c>
      <c r="AU55" s="697"/>
      <c r="AV55" s="696">
        <f t="shared" si="8"/>
        <v>0</v>
      </c>
      <c r="AW55" s="697"/>
    </row>
    <row r="56" spans="3:54" s="51" customFormat="1" ht="19" customHeight="1" x14ac:dyDescent="0.15">
      <c r="C56" s="698">
        <f t="shared" si="6"/>
        <v>45</v>
      </c>
      <c r="D56" s="699"/>
      <c r="E56" s="700"/>
      <c r="F56" s="700"/>
      <c r="G56" s="700"/>
      <c r="H56" s="700"/>
      <c r="I56" s="700"/>
      <c r="J56" s="700"/>
      <c r="K56" s="700"/>
      <c r="L56" s="700"/>
      <c r="M56" s="700"/>
      <c r="N56" s="309"/>
      <c r="O56" s="309" t="s">
        <v>116</v>
      </c>
      <c r="P56" s="310" t="s">
        <v>117</v>
      </c>
      <c r="Q56" s="687"/>
      <c r="R56" s="687"/>
      <c r="S56" s="311" t="s">
        <v>143</v>
      </c>
      <c r="T56" s="309"/>
      <c r="U56" s="309"/>
      <c r="V56" s="309"/>
      <c r="W56" s="664">
        <f t="shared" si="0"/>
        <v>0</v>
      </c>
      <c r="X56" s="664"/>
      <c r="Y56" s="664"/>
      <c r="Z56" s="665"/>
      <c r="AB56" s="663">
        <v>0</v>
      </c>
      <c r="AC56" s="664"/>
      <c r="AD56" s="665"/>
      <c r="AF56" s="663">
        <f t="shared" si="1"/>
        <v>0</v>
      </c>
      <c r="AG56" s="664"/>
      <c r="AH56" s="665"/>
      <c r="AJ56" s="681">
        <v>10</v>
      </c>
      <c r="AK56" s="682"/>
      <c r="AL56" s="677">
        <f t="shared" si="5"/>
        <v>0</v>
      </c>
      <c r="AM56" s="678"/>
      <c r="AN56" s="679">
        <f t="shared" si="2"/>
        <v>0</v>
      </c>
      <c r="AO56" s="680"/>
      <c r="AP56" s="676"/>
      <c r="AQ56" s="461"/>
      <c r="AT56" s="696">
        <f t="shared" si="7"/>
        <v>0</v>
      </c>
      <c r="AU56" s="697"/>
      <c r="AV56" s="696">
        <f t="shared" si="8"/>
        <v>0</v>
      </c>
      <c r="AW56" s="697"/>
    </row>
    <row r="57" spans="3:54" s="51" customFormat="1" ht="19" customHeight="1" x14ac:dyDescent="0.15">
      <c r="C57" s="698">
        <f t="shared" si="6"/>
        <v>46</v>
      </c>
      <c r="D57" s="699"/>
      <c r="E57" s="701"/>
      <c r="F57" s="701"/>
      <c r="G57" s="701"/>
      <c r="H57" s="701"/>
      <c r="I57" s="701"/>
      <c r="J57" s="701"/>
      <c r="K57" s="701"/>
      <c r="L57" s="701"/>
      <c r="M57" s="701"/>
      <c r="N57" s="309"/>
      <c r="O57" s="309" t="s">
        <v>116</v>
      </c>
      <c r="P57" s="310" t="s">
        <v>117</v>
      </c>
      <c r="Q57" s="687"/>
      <c r="R57" s="687"/>
      <c r="S57" s="311" t="s">
        <v>143</v>
      </c>
      <c r="T57" s="309"/>
      <c r="U57" s="309"/>
      <c r="V57" s="309"/>
      <c r="W57" s="664">
        <f t="shared" si="0"/>
        <v>0</v>
      </c>
      <c r="X57" s="664"/>
      <c r="Y57" s="664"/>
      <c r="Z57" s="665"/>
      <c r="AB57" s="663">
        <v>0</v>
      </c>
      <c r="AC57" s="664"/>
      <c r="AD57" s="665"/>
      <c r="AF57" s="663">
        <f t="shared" si="1"/>
        <v>0</v>
      </c>
      <c r="AG57" s="664"/>
      <c r="AH57" s="665"/>
      <c r="AJ57" s="681">
        <v>10</v>
      </c>
      <c r="AK57" s="682"/>
      <c r="AL57" s="677">
        <f t="shared" si="5"/>
        <v>0</v>
      </c>
      <c r="AM57" s="678"/>
      <c r="AN57" s="679">
        <f t="shared" si="2"/>
        <v>0</v>
      </c>
      <c r="AO57" s="680"/>
      <c r="AP57" s="676"/>
      <c r="AQ57" s="461"/>
      <c r="AT57" s="696">
        <f t="shared" si="7"/>
        <v>0</v>
      </c>
      <c r="AU57" s="697"/>
      <c r="AV57" s="696">
        <f t="shared" si="8"/>
        <v>0</v>
      </c>
      <c r="AW57" s="697"/>
    </row>
    <row r="58" spans="3:54" s="51" customFormat="1" ht="19" customHeight="1" x14ac:dyDescent="0.15">
      <c r="C58" s="698">
        <f t="shared" si="6"/>
        <v>47</v>
      </c>
      <c r="D58" s="699"/>
      <c r="E58" s="700"/>
      <c r="F58" s="700"/>
      <c r="G58" s="700"/>
      <c r="H58" s="700"/>
      <c r="I58" s="700"/>
      <c r="J58" s="700"/>
      <c r="K58" s="700"/>
      <c r="L58" s="700"/>
      <c r="M58" s="700"/>
      <c r="N58" s="309"/>
      <c r="O58" s="309" t="s">
        <v>116</v>
      </c>
      <c r="P58" s="310" t="s">
        <v>117</v>
      </c>
      <c r="Q58" s="687"/>
      <c r="R58" s="687"/>
      <c r="S58" s="311" t="s">
        <v>143</v>
      </c>
      <c r="T58" s="309"/>
      <c r="U58" s="309"/>
      <c r="V58" s="309"/>
      <c r="W58" s="664">
        <f t="shared" si="0"/>
        <v>0</v>
      </c>
      <c r="X58" s="664"/>
      <c r="Y58" s="664"/>
      <c r="Z58" s="665"/>
      <c r="AB58" s="663">
        <v>0</v>
      </c>
      <c r="AC58" s="664"/>
      <c r="AD58" s="665"/>
      <c r="AF58" s="663">
        <f t="shared" si="1"/>
        <v>0</v>
      </c>
      <c r="AG58" s="664"/>
      <c r="AH58" s="665"/>
      <c r="AJ58" s="681">
        <v>10</v>
      </c>
      <c r="AK58" s="682"/>
      <c r="AL58" s="677">
        <f t="shared" si="5"/>
        <v>0</v>
      </c>
      <c r="AM58" s="678"/>
      <c r="AN58" s="679">
        <f t="shared" si="2"/>
        <v>0</v>
      </c>
      <c r="AO58" s="680"/>
      <c r="AP58" s="676"/>
      <c r="AQ58" s="461"/>
      <c r="AT58" s="696">
        <f t="shared" si="7"/>
        <v>0</v>
      </c>
      <c r="AU58" s="697"/>
      <c r="AV58" s="696">
        <f t="shared" si="8"/>
        <v>0</v>
      </c>
      <c r="AW58" s="697"/>
    </row>
    <row r="59" spans="3:54" s="51" customFormat="1" ht="19" customHeight="1" x14ac:dyDescent="0.15">
      <c r="C59" s="698">
        <f t="shared" si="6"/>
        <v>48</v>
      </c>
      <c r="D59" s="699"/>
      <c r="E59" s="700"/>
      <c r="F59" s="700"/>
      <c r="G59" s="700"/>
      <c r="H59" s="700"/>
      <c r="I59" s="700"/>
      <c r="J59" s="700"/>
      <c r="K59" s="700"/>
      <c r="L59" s="700"/>
      <c r="M59" s="700"/>
      <c r="N59" s="309"/>
      <c r="O59" s="309" t="s">
        <v>116</v>
      </c>
      <c r="P59" s="310" t="s">
        <v>117</v>
      </c>
      <c r="Q59" s="687"/>
      <c r="R59" s="687"/>
      <c r="S59" s="311" t="s">
        <v>143</v>
      </c>
      <c r="T59" s="309"/>
      <c r="U59" s="309"/>
      <c r="V59" s="309"/>
      <c r="W59" s="664">
        <f t="shared" si="0"/>
        <v>0</v>
      </c>
      <c r="X59" s="664"/>
      <c r="Y59" s="664"/>
      <c r="Z59" s="665"/>
      <c r="AB59" s="663">
        <v>0</v>
      </c>
      <c r="AC59" s="664"/>
      <c r="AD59" s="665"/>
      <c r="AF59" s="663">
        <f t="shared" si="1"/>
        <v>0</v>
      </c>
      <c r="AG59" s="664"/>
      <c r="AH59" s="665"/>
      <c r="AJ59" s="681">
        <v>10</v>
      </c>
      <c r="AK59" s="682"/>
      <c r="AL59" s="677">
        <f t="shared" si="5"/>
        <v>0</v>
      </c>
      <c r="AM59" s="678"/>
      <c r="AN59" s="679">
        <f t="shared" si="2"/>
        <v>0</v>
      </c>
      <c r="AO59" s="680"/>
      <c r="AP59" s="676"/>
      <c r="AQ59" s="461"/>
      <c r="AT59" s="696">
        <f t="shared" si="7"/>
        <v>0</v>
      </c>
      <c r="AU59" s="697"/>
      <c r="AV59" s="696">
        <f t="shared" si="8"/>
        <v>0</v>
      </c>
      <c r="AW59" s="697"/>
    </row>
    <row r="60" spans="3:54" s="51" customFormat="1" ht="19" customHeight="1" x14ac:dyDescent="0.15">
      <c r="C60" s="698">
        <f t="shared" si="6"/>
        <v>49</v>
      </c>
      <c r="D60" s="699"/>
      <c r="E60" s="700"/>
      <c r="F60" s="700"/>
      <c r="G60" s="700"/>
      <c r="H60" s="700"/>
      <c r="I60" s="700"/>
      <c r="J60" s="700"/>
      <c r="K60" s="700"/>
      <c r="L60" s="700"/>
      <c r="M60" s="700"/>
      <c r="N60" s="309"/>
      <c r="O60" s="309" t="s">
        <v>116</v>
      </c>
      <c r="P60" s="310" t="s">
        <v>117</v>
      </c>
      <c r="Q60" s="687"/>
      <c r="R60" s="687"/>
      <c r="S60" s="311" t="s">
        <v>143</v>
      </c>
      <c r="T60" s="309"/>
      <c r="U60" s="309"/>
      <c r="V60" s="309"/>
      <c r="W60" s="664">
        <f t="shared" si="0"/>
        <v>0</v>
      </c>
      <c r="X60" s="664"/>
      <c r="Y60" s="664"/>
      <c r="Z60" s="665"/>
      <c r="AB60" s="663">
        <v>0</v>
      </c>
      <c r="AC60" s="664"/>
      <c r="AD60" s="665"/>
      <c r="AF60" s="663">
        <f t="shared" si="1"/>
        <v>0</v>
      </c>
      <c r="AG60" s="664"/>
      <c r="AH60" s="665"/>
      <c r="AJ60" s="681">
        <v>10</v>
      </c>
      <c r="AK60" s="682"/>
      <c r="AL60" s="677">
        <f t="shared" si="5"/>
        <v>0</v>
      </c>
      <c r="AM60" s="678"/>
      <c r="AN60" s="679">
        <f t="shared" si="2"/>
        <v>0</v>
      </c>
      <c r="AO60" s="680"/>
      <c r="AP60" s="676"/>
      <c r="AQ60" s="461"/>
      <c r="AT60" s="696">
        <f t="shared" si="7"/>
        <v>0</v>
      </c>
      <c r="AU60" s="697"/>
      <c r="AV60" s="696">
        <f t="shared" si="8"/>
        <v>0</v>
      </c>
      <c r="AW60" s="697"/>
    </row>
    <row r="61" spans="3:54" s="322" customFormat="1" ht="19" customHeight="1" x14ac:dyDescent="0.2">
      <c r="C61" s="384"/>
      <c r="O61" s="654" t="str">
        <f>"Sub Total "&amp;P_TITLE</f>
        <v>Sub Total Labor</v>
      </c>
      <c r="P61" s="654"/>
      <c r="Q61" s="654"/>
      <c r="R61" s="654"/>
      <c r="S61" s="654"/>
      <c r="T61" s="654"/>
      <c r="U61" s="654"/>
      <c r="V61" s="655"/>
      <c r="W61" s="658">
        <f>SUM(W11:Z60)</f>
        <v>0</v>
      </c>
      <c r="X61" s="659"/>
      <c r="Y61" s="659"/>
      <c r="Z61" s="660"/>
      <c r="AB61" s="658">
        <f>SUM(AB11:AD60)</f>
        <v>0</v>
      </c>
      <c r="AC61" s="659"/>
      <c r="AD61" s="660"/>
      <c r="AF61" s="658">
        <f>AB61-W61</f>
        <v>0</v>
      </c>
      <c r="AG61" s="659"/>
      <c r="AH61" s="660"/>
      <c r="AJ61" s="385"/>
      <c r="AK61" s="385"/>
      <c r="AM61" s="386"/>
      <c r="AN61" s="386"/>
      <c r="AO61" s="386"/>
    </row>
    <row r="62" spans="3:54" s="322" customFormat="1" ht="19" customHeight="1" x14ac:dyDescent="0.2">
      <c r="C62" s="384"/>
      <c r="O62" s="656" t="str">
        <f>"Fringes "&amp;P_TITLE</f>
        <v>Fringes Labor</v>
      </c>
      <c r="P62" s="656"/>
      <c r="Q62" s="656"/>
      <c r="R62" s="656"/>
      <c r="S62" s="656"/>
      <c r="T62" s="656"/>
      <c r="U62" s="656"/>
      <c r="V62" s="657"/>
      <c r="W62" s="658">
        <f>IFERROR(W61*AP11,0)</f>
        <v>0</v>
      </c>
      <c r="X62" s="659"/>
      <c r="Y62" s="659"/>
      <c r="Z62" s="660"/>
      <c r="AB62" s="658">
        <v>0</v>
      </c>
      <c r="AC62" s="659"/>
      <c r="AD62" s="660"/>
      <c r="AF62" s="658">
        <f t="shared" ref="AF62:AF63" si="9">AB62-W62</f>
        <v>0</v>
      </c>
      <c r="AG62" s="659"/>
      <c r="AH62" s="660"/>
      <c r="AS62" s="387"/>
      <c r="AT62" s="387"/>
      <c r="AU62" s="387"/>
    </row>
    <row r="63" spans="3:54" s="322" customFormat="1" ht="19" customHeight="1" x14ac:dyDescent="0.2">
      <c r="C63" s="384"/>
      <c r="O63" s="656" t="str">
        <f>"Total "&amp;P_TITLE</f>
        <v>Total Labor</v>
      </c>
      <c r="P63" s="656"/>
      <c r="Q63" s="656"/>
      <c r="R63" s="656"/>
      <c r="S63" s="656"/>
      <c r="T63" s="656"/>
      <c r="U63" s="656"/>
      <c r="V63" s="657"/>
      <c r="W63" s="658">
        <f>W62+W61</f>
        <v>0</v>
      </c>
      <c r="X63" s="659"/>
      <c r="Y63" s="659"/>
      <c r="Z63" s="660"/>
      <c r="AB63" s="658">
        <f>SUM(AB61:AD62)</f>
        <v>0</v>
      </c>
      <c r="AC63" s="659"/>
      <c r="AD63" s="660"/>
      <c r="AF63" s="658">
        <f t="shared" si="9"/>
        <v>0</v>
      </c>
      <c r="AG63" s="659"/>
      <c r="AH63" s="660"/>
    </row>
    <row r="64" spans="3:54" ht="16.25" customHeight="1" x14ac:dyDescent="0.2"/>
    <row r="65" spans="6:6" ht="16.25" customHeight="1" x14ac:dyDescent="0.2"/>
    <row r="68" spans="6:6" x14ac:dyDescent="0.2">
      <c r="F68" s="81"/>
    </row>
    <row r="69" spans="6:6" x14ac:dyDescent="0.2">
      <c r="F69" s="81"/>
    </row>
    <row r="70" spans="6:6" x14ac:dyDescent="0.2">
      <c r="F70" s="81"/>
    </row>
    <row r="71" spans="6:6" x14ac:dyDescent="0.2">
      <c r="F71" s="81"/>
    </row>
  </sheetData>
  <sheetProtection selectLockedCells="1"/>
  <mergeCells count="635">
    <mergeCell ref="AT57:AU57"/>
    <mergeCell ref="AV57:AW57"/>
    <mergeCell ref="AT58:AU58"/>
    <mergeCell ref="AV58:AW58"/>
    <mergeCell ref="AT59:AU59"/>
    <mergeCell ref="AV59:AW59"/>
    <mergeCell ref="AT60:AU60"/>
    <mergeCell ref="AV60:AW60"/>
    <mergeCell ref="AT52:AU52"/>
    <mergeCell ref="AV52:AW52"/>
    <mergeCell ref="AT53:AU53"/>
    <mergeCell ref="AV53:AW53"/>
    <mergeCell ref="AT54:AU54"/>
    <mergeCell ref="AV54:AW54"/>
    <mergeCell ref="AT55:AU55"/>
    <mergeCell ref="AV55:AW55"/>
    <mergeCell ref="AT56:AU56"/>
    <mergeCell ref="AV56:AW56"/>
    <mergeCell ref="AT47:AU47"/>
    <mergeCell ref="AV47:AW47"/>
    <mergeCell ref="AT48:AU48"/>
    <mergeCell ref="AV48:AW48"/>
    <mergeCell ref="AT49:AU49"/>
    <mergeCell ref="AV49:AW49"/>
    <mergeCell ref="AT50:AU50"/>
    <mergeCell ref="AV50:AW50"/>
    <mergeCell ref="AT51:AU51"/>
    <mergeCell ref="AV51:AW51"/>
    <mergeCell ref="AT42:AU42"/>
    <mergeCell ref="AV42:AW42"/>
    <mergeCell ref="AT43:AU43"/>
    <mergeCell ref="AV43:AW43"/>
    <mergeCell ref="AT44:AU44"/>
    <mergeCell ref="AV44:AW44"/>
    <mergeCell ref="AT45:AU45"/>
    <mergeCell ref="AV45:AW45"/>
    <mergeCell ref="AT46:AU46"/>
    <mergeCell ref="AV46:AW46"/>
    <mergeCell ref="AT37:AU37"/>
    <mergeCell ref="AV37:AW37"/>
    <mergeCell ref="AT38:AU38"/>
    <mergeCell ref="AV38:AW38"/>
    <mergeCell ref="AT39:AU39"/>
    <mergeCell ref="AV39:AW39"/>
    <mergeCell ref="AT40:AU40"/>
    <mergeCell ref="AV40:AW40"/>
    <mergeCell ref="AT41:AU41"/>
    <mergeCell ref="AV41:AW41"/>
    <mergeCell ref="AT32:AU32"/>
    <mergeCell ref="AV32:AW32"/>
    <mergeCell ref="AT33:AU33"/>
    <mergeCell ref="AV33:AW33"/>
    <mergeCell ref="AT34:AU34"/>
    <mergeCell ref="AV34:AW34"/>
    <mergeCell ref="AT35:AU35"/>
    <mergeCell ref="AV35:AW35"/>
    <mergeCell ref="AT36:AU36"/>
    <mergeCell ref="AV36:AW36"/>
    <mergeCell ref="AT27:AU27"/>
    <mergeCell ref="AV27:AW27"/>
    <mergeCell ref="AT28:AU28"/>
    <mergeCell ref="AV28:AW28"/>
    <mergeCell ref="AT29:AU29"/>
    <mergeCell ref="AV29:AW29"/>
    <mergeCell ref="AT30:AU30"/>
    <mergeCell ref="AV30:AW30"/>
    <mergeCell ref="AT31:AU31"/>
    <mergeCell ref="AV31:AW31"/>
    <mergeCell ref="AT22:AU22"/>
    <mergeCell ref="AV22:AW22"/>
    <mergeCell ref="AT23:AU23"/>
    <mergeCell ref="AV23:AW23"/>
    <mergeCell ref="AT24:AU24"/>
    <mergeCell ref="AV24:AW24"/>
    <mergeCell ref="AT25:AU25"/>
    <mergeCell ref="AV25:AW25"/>
    <mergeCell ref="AT26:AU26"/>
    <mergeCell ref="AV26:AW26"/>
    <mergeCell ref="AT17:AU17"/>
    <mergeCell ref="AV17:AW17"/>
    <mergeCell ref="AT18:AU18"/>
    <mergeCell ref="AV18:AW18"/>
    <mergeCell ref="AT19:AU19"/>
    <mergeCell ref="AV19:AW19"/>
    <mergeCell ref="AT20:AU20"/>
    <mergeCell ref="AV20:AW20"/>
    <mergeCell ref="AT21:AU21"/>
    <mergeCell ref="AV21:AW21"/>
    <mergeCell ref="AT12:AU12"/>
    <mergeCell ref="AV12:AW12"/>
    <mergeCell ref="AT13:AU13"/>
    <mergeCell ref="AV13:AW13"/>
    <mergeCell ref="AT14:AU14"/>
    <mergeCell ref="AV14:AW14"/>
    <mergeCell ref="AT15:AU15"/>
    <mergeCell ref="AV15:AW15"/>
    <mergeCell ref="AT16:AU16"/>
    <mergeCell ref="AV16:AW16"/>
    <mergeCell ref="AP60:AQ60"/>
    <mergeCell ref="W61:Z61"/>
    <mergeCell ref="AB61:AD61"/>
    <mergeCell ref="AF61:AH61"/>
    <mergeCell ref="AF59:AH59"/>
    <mergeCell ref="AJ59:AK59"/>
    <mergeCell ref="AL59:AM59"/>
    <mergeCell ref="AN59:AO59"/>
    <mergeCell ref="AP59:AQ59"/>
    <mergeCell ref="AF60:AH60"/>
    <mergeCell ref="AJ60:AK60"/>
    <mergeCell ref="AL60:AM60"/>
    <mergeCell ref="C60:D60"/>
    <mergeCell ref="E60:M60"/>
    <mergeCell ref="Q60:R60"/>
    <mergeCell ref="W60:Z60"/>
    <mergeCell ref="AB60:AD60"/>
    <mergeCell ref="AF58:AH58"/>
    <mergeCell ref="AJ58:AK58"/>
    <mergeCell ref="AL58:AM58"/>
    <mergeCell ref="AN58:AO58"/>
    <mergeCell ref="AN60:AO60"/>
    <mergeCell ref="C57:D57"/>
    <mergeCell ref="E57:M57"/>
    <mergeCell ref="Q57:R57"/>
    <mergeCell ref="W57:Z57"/>
    <mergeCell ref="AB57:AD57"/>
    <mergeCell ref="AP58:AQ58"/>
    <mergeCell ref="C59:D59"/>
    <mergeCell ref="E59:M59"/>
    <mergeCell ref="Q59:R59"/>
    <mergeCell ref="W59:Z59"/>
    <mergeCell ref="AB59:AD59"/>
    <mergeCell ref="AF57:AH57"/>
    <mergeCell ref="AJ57:AK57"/>
    <mergeCell ref="AL57:AM57"/>
    <mergeCell ref="AN57:AO57"/>
    <mergeCell ref="AP57:AQ57"/>
    <mergeCell ref="C58:D58"/>
    <mergeCell ref="E58:M58"/>
    <mergeCell ref="Q58:R58"/>
    <mergeCell ref="W58:Z58"/>
    <mergeCell ref="AB58:AD58"/>
    <mergeCell ref="AP55:AQ55"/>
    <mergeCell ref="C56:D56"/>
    <mergeCell ref="E56:M56"/>
    <mergeCell ref="Q56:R56"/>
    <mergeCell ref="W56:Z56"/>
    <mergeCell ref="AB56:AD56"/>
    <mergeCell ref="AF56:AH56"/>
    <mergeCell ref="AJ56:AK56"/>
    <mergeCell ref="AL56:AM56"/>
    <mergeCell ref="AN56:AO56"/>
    <mergeCell ref="AP56:AQ56"/>
    <mergeCell ref="C55:D55"/>
    <mergeCell ref="E55:M55"/>
    <mergeCell ref="Q55:R55"/>
    <mergeCell ref="W55:Z55"/>
    <mergeCell ref="AB55:AD55"/>
    <mergeCell ref="AF55:AH55"/>
    <mergeCell ref="AJ55:AK55"/>
    <mergeCell ref="AL55:AM55"/>
    <mergeCell ref="AN55:AO55"/>
    <mergeCell ref="AP53:AQ53"/>
    <mergeCell ref="C54:D54"/>
    <mergeCell ref="E54:M54"/>
    <mergeCell ref="Q54:R54"/>
    <mergeCell ref="W54:Z54"/>
    <mergeCell ref="AB54:AD54"/>
    <mergeCell ref="AF54:AH54"/>
    <mergeCell ref="AJ54:AK54"/>
    <mergeCell ref="AL54:AM54"/>
    <mergeCell ref="AN54:AO54"/>
    <mergeCell ref="AP54:AQ54"/>
    <mergeCell ref="C53:D53"/>
    <mergeCell ref="E53:M53"/>
    <mergeCell ref="Q53:R53"/>
    <mergeCell ref="W53:Z53"/>
    <mergeCell ref="AB53:AD53"/>
    <mergeCell ref="AF53:AH53"/>
    <mergeCell ref="AJ53:AK53"/>
    <mergeCell ref="AL53:AM53"/>
    <mergeCell ref="AN53:AO53"/>
    <mergeCell ref="AP51:AQ51"/>
    <mergeCell ref="C52:D52"/>
    <mergeCell ref="E52:M52"/>
    <mergeCell ref="Q52:R52"/>
    <mergeCell ref="W52:Z52"/>
    <mergeCell ref="AB52:AD52"/>
    <mergeCell ref="AF52:AH52"/>
    <mergeCell ref="AJ52:AK52"/>
    <mergeCell ref="AL52:AM52"/>
    <mergeCell ref="AN52:AO52"/>
    <mergeCell ref="AP52:AQ52"/>
    <mergeCell ref="C51:D51"/>
    <mergeCell ref="E51:M51"/>
    <mergeCell ref="Q51:R51"/>
    <mergeCell ref="W51:Z51"/>
    <mergeCell ref="AB51:AD51"/>
    <mergeCell ref="AF51:AH51"/>
    <mergeCell ref="AJ51:AK51"/>
    <mergeCell ref="AL51:AM51"/>
    <mergeCell ref="AN51:AO51"/>
    <mergeCell ref="AP49:AQ49"/>
    <mergeCell ref="C50:D50"/>
    <mergeCell ref="E50:M50"/>
    <mergeCell ref="Q50:R50"/>
    <mergeCell ref="W50:Z50"/>
    <mergeCell ref="AB50:AD50"/>
    <mergeCell ref="AF50:AH50"/>
    <mergeCell ref="AJ50:AK50"/>
    <mergeCell ref="AL50:AM50"/>
    <mergeCell ref="AN50:AO50"/>
    <mergeCell ref="AP50:AQ50"/>
    <mergeCell ref="C49:D49"/>
    <mergeCell ref="E49:M49"/>
    <mergeCell ref="Q49:R49"/>
    <mergeCell ref="W49:Z49"/>
    <mergeCell ref="AB49:AD49"/>
    <mergeCell ref="AF49:AH49"/>
    <mergeCell ref="AJ49:AK49"/>
    <mergeCell ref="AL49:AM49"/>
    <mergeCell ref="AN49:AO49"/>
    <mergeCell ref="AP47:AQ47"/>
    <mergeCell ref="C48:D48"/>
    <mergeCell ref="E48:M48"/>
    <mergeCell ref="Q48:R48"/>
    <mergeCell ref="W48:Z48"/>
    <mergeCell ref="AB48:AD48"/>
    <mergeCell ref="AF48:AH48"/>
    <mergeCell ref="AJ48:AK48"/>
    <mergeCell ref="AL48:AM48"/>
    <mergeCell ref="AN48:AO48"/>
    <mergeCell ref="AP48:AQ48"/>
    <mergeCell ref="C47:D47"/>
    <mergeCell ref="E47:M47"/>
    <mergeCell ref="Q47:R47"/>
    <mergeCell ref="W47:Z47"/>
    <mergeCell ref="AB47:AD47"/>
    <mergeCell ref="AF47:AH47"/>
    <mergeCell ref="AJ47:AK47"/>
    <mergeCell ref="AL47:AM47"/>
    <mergeCell ref="AN47:AO47"/>
    <mergeCell ref="AP45:AQ45"/>
    <mergeCell ref="C46:D46"/>
    <mergeCell ref="E46:M46"/>
    <mergeCell ref="Q46:R46"/>
    <mergeCell ref="W46:Z46"/>
    <mergeCell ref="AB46:AD46"/>
    <mergeCell ref="AF46:AH46"/>
    <mergeCell ref="AJ46:AK46"/>
    <mergeCell ref="AL46:AM46"/>
    <mergeCell ref="AN46:AO46"/>
    <mergeCell ref="AP46:AQ46"/>
    <mergeCell ref="C45:D45"/>
    <mergeCell ref="E45:M45"/>
    <mergeCell ref="Q45:R45"/>
    <mergeCell ref="W45:Z45"/>
    <mergeCell ref="AB45:AD45"/>
    <mergeCell ref="AF45:AH45"/>
    <mergeCell ref="AJ45:AK45"/>
    <mergeCell ref="AL45:AM45"/>
    <mergeCell ref="AN45:AO45"/>
    <mergeCell ref="AP43:AQ43"/>
    <mergeCell ref="C44:D44"/>
    <mergeCell ref="E44:M44"/>
    <mergeCell ref="Q44:R44"/>
    <mergeCell ref="W44:Z44"/>
    <mergeCell ref="AB44:AD44"/>
    <mergeCell ref="AF44:AH44"/>
    <mergeCell ref="AJ44:AK44"/>
    <mergeCell ref="AL44:AM44"/>
    <mergeCell ref="AN44:AO44"/>
    <mergeCell ref="AP44:AQ44"/>
    <mergeCell ref="C43:D43"/>
    <mergeCell ref="E43:M43"/>
    <mergeCell ref="Q43:R43"/>
    <mergeCell ref="W43:Z43"/>
    <mergeCell ref="AB43:AD43"/>
    <mergeCell ref="AF43:AH43"/>
    <mergeCell ref="AJ43:AK43"/>
    <mergeCell ref="AL43:AM43"/>
    <mergeCell ref="AN43:AO43"/>
    <mergeCell ref="AP41:AQ41"/>
    <mergeCell ref="C42:D42"/>
    <mergeCell ref="E42:M42"/>
    <mergeCell ref="Q42:R42"/>
    <mergeCell ref="W42:Z42"/>
    <mergeCell ref="AB42:AD42"/>
    <mergeCell ref="AF42:AH42"/>
    <mergeCell ref="AJ42:AK42"/>
    <mergeCell ref="AL42:AM42"/>
    <mergeCell ref="AN42:AO42"/>
    <mergeCell ref="AP42:AQ42"/>
    <mergeCell ref="C41:D41"/>
    <mergeCell ref="E41:M41"/>
    <mergeCell ref="Q41:R41"/>
    <mergeCell ref="W41:Z41"/>
    <mergeCell ref="AB41:AD41"/>
    <mergeCell ref="AF41:AH41"/>
    <mergeCell ref="AJ41:AK41"/>
    <mergeCell ref="AL41:AM41"/>
    <mergeCell ref="AN41:AO41"/>
    <mergeCell ref="AP39:AQ39"/>
    <mergeCell ref="C40:D40"/>
    <mergeCell ref="E40:M40"/>
    <mergeCell ref="Q40:R40"/>
    <mergeCell ref="W40:Z40"/>
    <mergeCell ref="AB40:AD40"/>
    <mergeCell ref="AF40:AH40"/>
    <mergeCell ref="AJ40:AK40"/>
    <mergeCell ref="AL40:AM40"/>
    <mergeCell ref="AN40:AO40"/>
    <mergeCell ref="AP40:AQ40"/>
    <mergeCell ref="C39:D39"/>
    <mergeCell ref="E39:M39"/>
    <mergeCell ref="Q39:R39"/>
    <mergeCell ref="W39:Z39"/>
    <mergeCell ref="AB39:AD39"/>
    <mergeCell ref="AF39:AH39"/>
    <mergeCell ref="AJ39:AK39"/>
    <mergeCell ref="AL39:AM39"/>
    <mergeCell ref="AN39:AO39"/>
    <mergeCell ref="AP37:AQ37"/>
    <mergeCell ref="C38:D38"/>
    <mergeCell ref="E38:M38"/>
    <mergeCell ref="Q38:R38"/>
    <mergeCell ref="W38:Z38"/>
    <mergeCell ref="AB38:AD38"/>
    <mergeCell ref="AF38:AH38"/>
    <mergeCell ref="AJ38:AK38"/>
    <mergeCell ref="AL38:AM38"/>
    <mergeCell ref="AN38:AO38"/>
    <mergeCell ref="AP38:AQ38"/>
    <mergeCell ref="C37:D37"/>
    <mergeCell ref="E37:M37"/>
    <mergeCell ref="Q37:R37"/>
    <mergeCell ref="W37:Z37"/>
    <mergeCell ref="AB37:AD37"/>
    <mergeCell ref="AF37:AH37"/>
    <mergeCell ref="AJ37:AK37"/>
    <mergeCell ref="AL37:AM37"/>
    <mergeCell ref="AN37:AO37"/>
    <mergeCell ref="AP35:AQ35"/>
    <mergeCell ref="C36:D36"/>
    <mergeCell ref="E36:M36"/>
    <mergeCell ref="Q36:R36"/>
    <mergeCell ref="W36:Z36"/>
    <mergeCell ref="AB36:AD36"/>
    <mergeCell ref="AF36:AH36"/>
    <mergeCell ref="AJ36:AK36"/>
    <mergeCell ref="AL36:AM36"/>
    <mergeCell ref="AN36:AO36"/>
    <mergeCell ref="AP36:AQ36"/>
    <mergeCell ref="C35:D35"/>
    <mergeCell ref="E35:M35"/>
    <mergeCell ref="Q35:R35"/>
    <mergeCell ref="W35:Z35"/>
    <mergeCell ref="AB35:AD35"/>
    <mergeCell ref="AF35:AH35"/>
    <mergeCell ref="AJ35:AK35"/>
    <mergeCell ref="AL35:AM35"/>
    <mergeCell ref="AN35:AO35"/>
    <mergeCell ref="AP33:AQ33"/>
    <mergeCell ref="C34:D34"/>
    <mergeCell ref="E34:M34"/>
    <mergeCell ref="Q34:R34"/>
    <mergeCell ref="W34:Z34"/>
    <mergeCell ref="AB34:AD34"/>
    <mergeCell ref="AF34:AH34"/>
    <mergeCell ref="AJ34:AK34"/>
    <mergeCell ref="AL34:AM34"/>
    <mergeCell ref="AN34:AO34"/>
    <mergeCell ref="AP34:AQ34"/>
    <mergeCell ref="C33:D33"/>
    <mergeCell ref="E33:M33"/>
    <mergeCell ref="Q33:R33"/>
    <mergeCell ref="W33:Z33"/>
    <mergeCell ref="AB33:AD33"/>
    <mergeCell ref="AF33:AH33"/>
    <mergeCell ref="AJ33:AK33"/>
    <mergeCell ref="AL33:AM33"/>
    <mergeCell ref="AN33:AO33"/>
    <mergeCell ref="AP31:AQ31"/>
    <mergeCell ref="C32:D32"/>
    <mergeCell ref="E32:M32"/>
    <mergeCell ref="Q32:R32"/>
    <mergeCell ref="W32:Z32"/>
    <mergeCell ref="AB32:AD32"/>
    <mergeCell ref="AF32:AH32"/>
    <mergeCell ref="AJ32:AK32"/>
    <mergeCell ref="AL32:AM32"/>
    <mergeCell ref="AN32:AO32"/>
    <mergeCell ref="AP32:AQ32"/>
    <mergeCell ref="C31:D31"/>
    <mergeCell ref="E31:M31"/>
    <mergeCell ref="Q31:R31"/>
    <mergeCell ref="W31:Z31"/>
    <mergeCell ref="AB31:AD31"/>
    <mergeCell ref="AF31:AH31"/>
    <mergeCell ref="AJ31:AK31"/>
    <mergeCell ref="AL31:AM31"/>
    <mergeCell ref="AN31:AO31"/>
    <mergeCell ref="AP29:AQ29"/>
    <mergeCell ref="C30:D30"/>
    <mergeCell ref="E30:M30"/>
    <mergeCell ref="Q30:R30"/>
    <mergeCell ref="W30:Z30"/>
    <mergeCell ref="AB30:AD30"/>
    <mergeCell ref="AF30:AH30"/>
    <mergeCell ref="AJ30:AK30"/>
    <mergeCell ref="AL30:AM30"/>
    <mergeCell ref="AN30:AO30"/>
    <mergeCell ref="AP30:AQ30"/>
    <mergeCell ref="C29:D29"/>
    <mergeCell ref="E29:M29"/>
    <mergeCell ref="Q29:R29"/>
    <mergeCell ref="W29:Z29"/>
    <mergeCell ref="AB29:AD29"/>
    <mergeCell ref="AF29:AH29"/>
    <mergeCell ref="AJ29:AK29"/>
    <mergeCell ref="AL29:AM29"/>
    <mergeCell ref="AN29:AO29"/>
    <mergeCell ref="AP27:AQ27"/>
    <mergeCell ref="C28:D28"/>
    <mergeCell ref="E28:M28"/>
    <mergeCell ref="Q28:R28"/>
    <mergeCell ref="W28:Z28"/>
    <mergeCell ref="AB28:AD28"/>
    <mergeCell ref="AF28:AH28"/>
    <mergeCell ref="AJ28:AK28"/>
    <mergeCell ref="AL28:AM28"/>
    <mergeCell ref="AN28:AO28"/>
    <mergeCell ref="AP28:AQ28"/>
    <mergeCell ref="C27:D27"/>
    <mergeCell ref="E27:M27"/>
    <mergeCell ref="Q27:R27"/>
    <mergeCell ref="W27:Z27"/>
    <mergeCell ref="AB27:AD27"/>
    <mergeCell ref="AF27:AH27"/>
    <mergeCell ref="AJ27:AK27"/>
    <mergeCell ref="AL27:AM27"/>
    <mergeCell ref="AN27:AO27"/>
    <mergeCell ref="AP25:AQ25"/>
    <mergeCell ref="C26:D26"/>
    <mergeCell ref="E26:M26"/>
    <mergeCell ref="Q26:R26"/>
    <mergeCell ref="W26:Z26"/>
    <mergeCell ref="AB26:AD26"/>
    <mergeCell ref="AF26:AH26"/>
    <mergeCell ref="AJ26:AK26"/>
    <mergeCell ref="AL26:AM26"/>
    <mergeCell ref="AN26:AO26"/>
    <mergeCell ref="AP26:AQ26"/>
    <mergeCell ref="C25:D25"/>
    <mergeCell ref="E25:M25"/>
    <mergeCell ref="Q25:R25"/>
    <mergeCell ref="W25:Z25"/>
    <mergeCell ref="AB25:AD25"/>
    <mergeCell ref="AF25:AH25"/>
    <mergeCell ref="AJ25:AK25"/>
    <mergeCell ref="AL25:AM25"/>
    <mergeCell ref="AN25:AO25"/>
    <mergeCell ref="AP23:AQ23"/>
    <mergeCell ref="C24:D24"/>
    <mergeCell ref="E24:M24"/>
    <mergeCell ref="Q24:R24"/>
    <mergeCell ref="W24:Z24"/>
    <mergeCell ref="AB24:AD24"/>
    <mergeCell ref="AF24:AH24"/>
    <mergeCell ref="AJ24:AK24"/>
    <mergeCell ref="AL24:AM24"/>
    <mergeCell ref="AN24:AO24"/>
    <mergeCell ref="AP24:AQ24"/>
    <mergeCell ref="C23:D23"/>
    <mergeCell ref="E23:M23"/>
    <mergeCell ref="Q23:R23"/>
    <mergeCell ref="W23:Z23"/>
    <mergeCell ref="AB23:AD23"/>
    <mergeCell ref="AF23:AH23"/>
    <mergeCell ref="AJ23:AK23"/>
    <mergeCell ref="AL23:AM23"/>
    <mergeCell ref="AN23:AO23"/>
    <mergeCell ref="AP21:AQ21"/>
    <mergeCell ref="C22:D22"/>
    <mergeCell ref="E22:M22"/>
    <mergeCell ref="Q22:R22"/>
    <mergeCell ref="W22:Z22"/>
    <mergeCell ref="AB22:AD22"/>
    <mergeCell ref="AF22:AH22"/>
    <mergeCell ref="AJ22:AK22"/>
    <mergeCell ref="AL22:AM22"/>
    <mergeCell ref="AN22:AO22"/>
    <mergeCell ref="AP22:AQ22"/>
    <mergeCell ref="C21:D21"/>
    <mergeCell ref="E21:M21"/>
    <mergeCell ref="Q21:R21"/>
    <mergeCell ref="W21:Z21"/>
    <mergeCell ref="AB21:AD21"/>
    <mergeCell ref="AF21:AH21"/>
    <mergeCell ref="AJ21:AK21"/>
    <mergeCell ref="AL21:AM21"/>
    <mergeCell ref="AN21:AO21"/>
    <mergeCell ref="AP19:AQ19"/>
    <mergeCell ref="C20:D20"/>
    <mergeCell ref="E20:M20"/>
    <mergeCell ref="Q20:R20"/>
    <mergeCell ref="W20:Z20"/>
    <mergeCell ref="AB20:AD20"/>
    <mergeCell ref="AF20:AH20"/>
    <mergeCell ref="AJ20:AK20"/>
    <mergeCell ref="AL20:AM20"/>
    <mergeCell ref="AN20:AO20"/>
    <mergeCell ref="AP20:AQ20"/>
    <mergeCell ref="C19:D19"/>
    <mergeCell ref="E19:M19"/>
    <mergeCell ref="Q19:R19"/>
    <mergeCell ref="W19:Z19"/>
    <mergeCell ref="AB19:AD19"/>
    <mergeCell ref="AF19:AH19"/>
    <mergeCell ref="AJ19:AK19"/>
    <mergeCell ref="AL19:AM19"/>
    <mergeCell ref="AN19:AO19"/>
    <mergeCell ref="AP17:AQ17"/>
    <mergeCell ref="C18:D18"/>
    <mergeCell ref="E18:M18"/>
    <mergeCell ref="Q18:R18"/>
    <mergeCell ref="W18:Z18"/>
    <mergeCell ref="AB18:AD18"/>
    <mergeCell ref="AF18:AH18"/>
    <mergeCell ref="AJ18:AK18"/>
    <mergeCell ref="AL18:AM18"/>
    <mergeCell ref="AN18:AO18"/>
    <mergeCell ref="AP18:AQ18"/>
    <mergeCell ref="C17:D17"/>
    <mergeCell ref="E17:M17"/>
    <mergeCell ref="Q17:R17"/>
    <mergeCell ref="W17:Z17"/>
    <mergeCell ref="AB17:AD17"/>
    <mergeCell ref="AF17:AH17"/>
    <mergeCell ref="AJ17:AK17"/>
    <mergeCell ref="AL17:AM17"/>
    <mergeCell ref="AN17:AO17"/>
    <mergeCell ref="AP15:AQ15"/>
    <mergeCell ref="C16:D16"/>
    <mergeCell ref="E16:M16"/>
    <mergeCell ref="Q16:R16"/>
    <mergeCell ref="W16:Z16"/>
    <mergeCell ref="AB16:AD16"/>
    <mergeCell ref="AF16:AH16"/>
    <mergeCell ref="AJ16:AK16"/>
    <mergeCell ref="AL16:AM16"/>
    <mergeCell ref="AN16:AO16"/>
    <mergeCell ref="AP16:AQ16"/>
    <mergeCell ref="C15:D15"/>
    <mergeCell ref="E15:M15"/>
    <mergeCell ref="Q15:R15"/>
    <mergeCell ref="W15:Z15"/>
    <mergeCell ref="AB15:AD15"/>
    <mergeCell ref="AF15:AH15"/>
    <mergeCell ref="AJ15:AK15"/>
    <mergeCell ref="AL15:AM15"/>
    <mergeCell ref="AN15:AO15"/>
    <mergeCell ref="AJ12:AK12"/>
    <mergeCell ref="AL12:AM12"/>
    <mergeCell ref="AN12:AO12"/>
    <mergeCell ref="AP12:AQ12"/>
    <mergeCell ref="AP13:AQ13"/>
    <mergeCell ref="C14:D14"/>
    <mergeCell ref="E14:M14"/>
    <mergeCell ref="Q14:R14"/>
    <mergeCell ref="W14:Z14"/>
    <mergeCell ref="AB14:AD14"/>
    <mergeCell ref="AF14:AH14"/>
    <mergeCell ref="AJ14:AK14"/>
    <mergeCell ref="AL14:AM14"/>
    <mergeCell ref="AN14:AO14"/>
    <mergeCell ref="AP14:AQ14"/>
    <mergeCell ref="C13:D13"/>
    <mergeCell ref="E13:M13"/>
    <mergeCell ref="Q13:R13"/>
    <mergeCell ref="W13:Z13"/>
    <mergeCell ref="AB13:AD13"/>
    <mergeCell ref="AF13:AH13"/>
    <mergeCell ref="AJ13:AK13"/>
    <mergeCell ref="AL13:AM13"/>
    <mergeCell ref="AN13:AO13"/>
    <mergeCell ref="C12:D12"/>
    <mergeCell ref="E12:M12"/>
    <mergeCell ref="Q12:R12"/>
    <mergeCell ref="W12:Z12"/>
    <mergeCell ref="AB12:AD12"/>
    <mergeCell ref="C11:D11"/>
    <mergeCell ref="E11:M11"/>
    <mergeCell ref="Q11:R11"/>
    <mergeCell ref="W11:Z11"/>
    <mergeCell ref="AB11:AD11"/>
    <mergeCell ref="W8:Z8"/>
    <mergeCell ref="AJ8:AW8"/>
    <mergeCell ref="AT9:AU9"/>
    <mergeCell ref="AV9:AW9"/>
    <mergeCell ref="AT10:AU10"/>
    <mergeCell ref="AV10:AW10"/>
    <mergeCell ref="AJ11:AK11"/>
    <mergeCell ref="AL11:AM11"/>
    <mergeCell ref="AN11:AO11"/>
    <mergeCell ref="AP11:AQ11"/>
    <mergeCell ref="AR11:AS11"/>
    <mergeCell ref="AF11:AH11"/>
    <mergeCell ref="AT11:AU11"/>
    <mergeCell ref="AV11:AW11"/>
    <mergeCell ref="AJ9:AK9"/>
    <mergeCell ref="AL9:AM9"/>
    <mergeCell ref="AN9:AO9"/>
    <mergeCell ref="AP9:AQ9"/>
    <mergeCell ref="AR9:AS9"/>
    <mergeCell ref="AJ10:AK10"/>
    <mergeCell ref="AL10:AM10"/>
    <mergeCell ref="AN10:AO10"/>
    <mergeCell ref="AP10:AQ10"/>
    <mergeCell ref="AR10:AS10"/>
    <mergeCell ref="O61:V61"/>
    <mergeCell ref="O62:V62"/>
    <mergeCell ref="O63:V63"/>
    <mergeCell ref="E9:J10"/>
    <mergeCell ref="N9:O10"/>
    <mergeCell ref="Q9:R10"/>
    <mergeCell ref="X9:Z10"/>
    <mergeCell ref="AB9:AD10"/>
    <mergeCell ref="AF9:AH10"/>
    <mergeCell ref="AF12:AH12"/>
    <mergeCell ref="W62:Z62"/>
    <mergeCell ref="AB62:AD62"/>
    <mergeCell ref="AF62:AH62"/>
    <mergeCell ref="W63:Z63"/>
    <mergeCell ref="AB63:AD63"/>
    <mergeCell ref="AF63:AH63"/>
  </mergeCells>
  <pageMargins left="0.7" right="0.7" top="0.75" bottom="0.75" header="0.3" footer="0.3"/>
  <pageSetup scale="70" orientation="portrait" horizontalDpi="1200" verticalDpi="1200" r:id="rId1"/>
  <legacyDrawingHF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879C43-1F00-4747-AB52-DABC8F1554AD}">
  <sheetPr codeName="Sheet13">
    <pageSetUpPr fitToPage="1"/>
  </sheetPr>
  <dimension ref="B1:DD97"/>
  <sheetViews>
    <sheetView zoomScaleNormal="100" workbookViewId="0">
      <selection activeCell="AL15" sqref="AL15:AM15"/>
    </sheetView>
  </sheetViews>
  <sheetFormatPr baseColWidth="10" defaultColWidth="4.6640625" defaultRowHeight="17" x14ac:dyDescent="0.2"/>
  <cols>
    <col min="1" max="1" width="4.6640625" style="7"/>
    <col min="2" max="2" width="4.6640625" style="7" customWidth="1"/>
    <col min="3" max="3" width="4.6640625" style="31"/>
    <col min="4" max="13" width="4.6640625" style="7"/>
    <col min="14" max="16" width="4.6640625" style="7" customWidth="1"/>
    <col min="17" max="18" width="4.6640625" style="44" customWidth="1"/>
    <col min="19" max="23" width="4.6640625" style="7" customWidth="1"/>
    <col min="24" max="26" width="4.6640625" style="24" customWidth="1"/>
    <col min="27" max="27" width="4.6640625" style="7" customWidth="1"/>
    <col min="28" max="30" width="4.6640625" style="24"/>
    <col min="31" max="31" width="4.6640625" style="7"/>
    <col min="32" max="34" width="4.6640625" style="24"/>
    <col min="35" max="35" width="4.6640625" style="7"/>
    <col min="42" max="107" width="4.6640625" style="7"/>
    <col min="108" max="108" width="0" style="7" hidden="1" customWidth="1"/>
    <col min="109" max="16384" width="4.6640625" style="7"/>
  </cols>
  <sheetData>
    <row r="1" spans="2:108" ht="16.5" customHeight="1" x14ac:dyDescent="0.2">
      <c r="B1"/>
      <c r="C1"/>
      <c r="D1"/>
      <c r="E1"/>
      <c r="F1"/>
      <c r="G1"/>
      <c r="H1"/>
      <c r="I1"/>
      <c r="J1"/>
      <c r="K1"/>
      <c r="Q1" s="63"/>
      <c r="R1" s="63"/>
      <c r="AB1" s="7"/>
      <c r="AC1" s="7"/>
      <c r="AD1" s="7"/>
      <c r="AF1" s="7"/>
      <c r="AG1" s="7"/>
      <c r="AH1" s="7"/>
      <c r="AJ1" s="7"/>
      <c r="AK1" s="7"/>
      <c r="AL1" s="7"/>
      <c r="AM1" s="7"/>
      <c r="AN1" s="7"/>
      <c r="AO1" s="24"/>
      <c r="AP1" s="24"/>
      <c r="AQ1" s="24"/>
      <c r="DD1" s="7" t="s">
        <v>276</v>
      </c>
    </row>
    <row r="2" spans="2:108" ht="6.5" customHeight="1" x14ac:dyDescent="0.2">
      <c r="B2"/>
      <c r="C2"/>
      <c r="D2"/>
      <c r="E2"/>
      <c r="F2"/>
      <c r="G2"/>
      <c r="H2"/>
      <c r="I2"/>
      <c r="J2"/>
      <c r="K2"/>
      <c r="L2"/>
      <c r="M2"/>
      <c r="Q2" s="63"/>
      <c r="R2" s="63"/>
      <c r="AB2" s="7"/>
      <c r="AC2" s="7"/>
      <c r="AD2" s="7"/>
      <c r="AF2" s="7"/>
      <c r="AG2" s="7"/>
      <c r="AH2" s="7"/>
      <c r="AJ2" s="7"/>
      <c r="AK2" s="7"/>
      <c r="AL2" s="7"/>
      <c r="AM2" s="7"/>
      <c r="AN2" s="7"/>
      <c r="AO2" s="24"/>
      <c r="AP2" s="24"/>
      <c r="AQ2" s="24"/>
    </row>
    <row r="3" spans="2:108" ht="16.5" customHeight="1" x14ac:dyDescent="0.2">
      <c r="B3"/>
      <c r="C3"/>
      <c r="D3"/>
      <c r="E3"/>
      <c r="F3"/>
      <c r="G3"/>
      <c r="H3"/>
      <c r="I3"/>
      <c r="J3"/>
      <c r="K3"/>
      <c r="L3"/>
      <c r="M3"/>
      <c r="Q3" s="63"/>
      <c r="R3" s="7"/>
      <c r="AB3" s="7"/>
      <c r="AC3" s="7"/>
      <c r="AD3" s="7"/>
      <c r="AF3" s="7"/>
      <c r="AG3" s="7"/>
      <c r="AH3" s="7"/>
      <c r="AJ3" s="7"/>
      <c r="AK3" s="7"/>
      <c r="AL3" s="7"/>
      <c r="AM3" s="7"/>
      <c r="AN3" s="7"/>
      <c r="AO3" s="24"/>
      <c r="AP3" s="24"/>
      <c r="AQ3" s="24"/>
    </row>
    <row r="4" spans="2:108" ht="6.5" customHeight="1" x14ac:dyDescent="0.2">
      <c r="B4"/>
      <c r="C4"/>
      <c r="D4"/>
      <c r="E4"/>
      <c r="F4"/>
      <c r="G4"/>
      <c r="H4"/>
      <c r="I4"/>
      <c r="J4"/>
      <c r="K4"/>
      <c r="Q4" s="63"/>
      <c r="R4" s="7"/>
      <c r="AB4" s="7"/>
      <c r="AC4" s="7"/>
      <c r="AD4" s="7"/>
      <c r="AF4" s="7"/>
      <c r="AG4" s="7"/>
      <c r="AH4" s="7"/>
      <c r="AJ4" s="7"/>
      <c r="AK4" s="7"/>
      <c r="AL4" s="7"/>
      <c r="AM4" s="7"/>
      <c r="AN4" s="7"/>
      <c r="AO4" s="24"/>
      <c r="AP4" s="24"/>
      <c r="AQ4" s="24"/>
    </row>
    <row r="5" spans="2:108" ht="16.5" customHeight="1" x14ac:dyDescent="0.2">
      <c r="B5"/>
      <c r="C5"/>
      <c r="D5"/>
      <c r="E5"/>
      <c r="F5"/>
      <c r="G5"/>
      <c r="H5"/>
      <c r="I5"/>
      <c r="J5"/>
      <c r="K5"/>
      <c r="L5"/>
      <c r="M5"/>
      <c r="Q5" s="63"/>
      <c r="R5" s="63"/>
      <c r="AB5" s="7"/>
      <c r="AC5" s="7"/>
      <c r="AD5" s="7"/>
      <c r="AF5" s="7"/>
      <c r="AG5" s="7"/>
      <c r="AH5" s="7"/>
      <c r="AJ5" s="7"/>
      <c r="AK5" s="7"/>
      <c r="AL5" s="7"/>
      <c r="AM5" s="7"/>
      <c r="AN5" s="7"/>
      <c r="AO5" s="24"/>
      <c r="AP5" s="24"/>
      <c r="AQ5" s="24"/>
    </row>
    <row r="6" spans="2:108" ht="16.25" customHeight="1" x14ac:dyDescent="0.2">
      <c r="B6"/>
      <c r="C6"/>
      <c r="D6"/>
      <c r="E6"/>
      <c r="F6"/>
      <c r="G6"/>
      <c r="H6"/>
      <c r="I6"/>
      <c r="J6"/>
      <c r="K6"/>
    </row>
    <row r="7" spans="2:108" ht="16.25" customHeight="1" x14ac:dyDescent="0.2"/>
    <row r="8" spans="2:108" s="323" customFormat="1" ht="20" customHeight="1" x14ac:dyDescent="0.2">
      <c r="C8" s="184" t="s">
        <v>528</v>
      </c>
      <c r="D8" s="17" t="s">
        <v>276</v>
      </c>
      <c r="E8" s="5"/>
      <c r="F8" s="349"/>
      <c r="G8" s="349"/>
      <c r="H8" s="349"/>
      <c r="I8" s="349"/>
      <c r="J8" s="349"/>
      <c r="K8" s="349"/>
      <c r="L8" s="349"/>
      <c r="M8" s="349"/>
      <c r="N8" s="349"/>
      <c r="O8" s="349"/>
      <c r="P8" s="349"/>
      <c r="Q8" s="360"/>
      <c r="R8" s="360"/>
      <c r="S8" s="349"/>
      <c r="T8" s="349"/>
      <c r="U8" s="349"/>
      <c r="V8" s="349"/>
      <c r="W8" s="787"/>
      <c r="X8" s="787"/>
      <c r="Y8" s="787"/>
      <c r="Z8" s="788"/>
      <c r="AB8" s="351"/>
      <c r="AC8" s="352"/>
      <c r="AD8" s="361"/>
      <c r="AF8" s="351"/>
      <c r="AG8" s="352"/>
      <c r="AH8" s="361"/>
      <c r="AJ8" s="651" t="s">
        <v>148</v>
      </c>
      <c r="AK8" s="652"/>
      <c r="AL8" s="652"/>
      <c r="AM8" s="652"/>
      <c r="AN8" s="652"/>
      <c r="AO8" s="652"/>
      <c r="AP8" s="359"/>
      <c r="AQ8" s="359"/>
      <c r="AR8" s="653" t="s">
        <v>857</v>
      </c>
      <c r="AS8" s="652"/>
      <c r="AT8" s="652"/>
      <c r="AU8" s="652"/>
      <c r="AV8" s="652"/>
      <c r="AW8" s="652"/>
    </row>
    <row r="9" spans="2:108" s="115" customFormat="1" ht="16.25" customHeight="1" x14ac:dyDescent="0.15">
      <c r="C9" s="163"/>
      <c r="D9" s="124"/>
      <c r="E9" s="792" t="s">
        <v>384</v>
      </c>
      <c r="F9" s="792"/>
      <c r="G9" s="792"/>
      <c r="H9" s="792"/>
      <c r="I9" s="792"/>
      <c r="J9" s="145"/>
      <c r="K9" s="145"/>
      <c r="L9" s="145"/>
      <c r="M9" s="145"/>
      <c r="N9" s="668" t="s">
        <v>375</v>
      </c>
      <c r="O9" s="668"/>
      <c r="P9" s="145"/>
      <c r="Q9" s="790" t="s">
        <v>220</v>
      </c>
      <c r="R9" s="790"/>
      <c r="S9" s="145"/>
      <c r="T9" s="796" t="s">
        <v>400</v>
      </c>
      <c r="U9" s="758" t="s">
        <v>144</v>
      </c>
      <c r="V9" s="758"/>
      <c r="W9" s="794" t="s">
        <v>370</v>
      </c>
      <c r="X9" s="794"/>
      <c r="Y9" s="794"/>
      <c r="Z9" s="795"/>
      <c r="AB9" s="781" t="s">
        <v>363</v>
      </c>
      <c r="AC9" s="782"/>
      <c r="AD9" s="783"/>
      <c r="AF9" s="781" t="s">
        <v>447</v>
      </c>
      <c r="AG9" s="782"/>
      <c r="AH9" s="783"/>
      <c r="AJ9" s="688" t="s">
        <v>147</v>
      </c>
      <c r="AK9" s="688"/>
      <c r="AL9" s="688" t="s">
        <v>221</v>
      </c>
      <c r="AM9" s="688"/>
      <c r="AN9" s="688" t="s">
        <v>856</v>
      </c>
      <c r="AO9" s="688"/>
      <c r="AP9" s="683" t="s">
        <v>89</v>
      </c>
      <c r="AQ9" s="683"/>
      <c r="AR9" s="683" t="s">
        <v>353</v>
      </c>
      <c r="AS9" s="683"/>
      <c r="AT9" s="683" t="s">
        <v>858</v>
      </c>
      <c r="AU9" s="683"/>
      <c r="AV9" s="683" t="s">
        <v>858</v>
      </c>
      <c r="AW9" s="683"/>
      <c r="AX9" s="110"/>
    </row>
    <row r="10" spans="2:108" s="115" customFormat="1" ht="16.25" customHeight="1" x14ac:dyDescent="0.15">
      <c r="C10" s="164"/>
      <c r="D10" s="177"/>
      <c r="E10" s="793"/>
      <c r="F10" s="793"/>
      <c r="G10" s="793"/>
      <c r="H10" s="793"/>
      <c r="I10" s="793"/>
      <c r="J10" s="148"/>
      <c r="K10" s="148"/>
      <c r="L10" s="148"/>
      <c r="M10" s="148"/>
      <c r="N10" s="669"/>
      <c r="O10" s="669"/>
      <c r="P10" s="148"/>
      <c r="Q10" s="791"/>
      <c r="R10" s="791"/>
      <c r="S10" s="148"/>
      <c r="T10" s="797"/>
      <c r="U10" s="149">
        <v>1.5</v>
      </c>
      <c r="V10" s="149">
        <v>2</v>
      </c>
      <c r="W10" s="691"/>
      <c r="X10" s="691"/>
      <c r="Y10" s="691"/>
      <c r="Z10" s="692"/>
      <c r="AB10" s="673"/>
      <c r="AC10" s="674"/>
      <c r="AD10" s="675"/>
      <c r="AF10" s="673"/>
      <c r="AG10" s="674"/>
      <c r="AH10" s="675"/>
      <c r="AJ10" s="695" t="s">
        <v>223</v>
      </c>
      <c r="AK10" s="695"/>
      <c r="AL10" s="695" t="s">
        <v>220</v>
      </c>
      <c r="AM10" s="695"/>
      <c r="AN10" s="695" t="s">
        <v>220</v>
      </c>
      <c r="AO10" s="695"/>
      <c r="AP10" s="684" t="s">
        <v>220</v>
      </c>
      <c r="AQ10" s="684"/>
      <c r="AR10" s="684" t="s">
        <v>222</v>
      </c>
      <c r="AS10" s="684"/>
      <c r="AT10" s="684" t="s">
        <v>859</v>
      </c>
      <c r="AU10" s="684"/>
      <c r="AV10" s="684" t="s">
        <v>807</v>
      </c>
      <c r="AW10" s="684"/>
      <c r="AX10" s="110"/>
    </row>
    <row r="11" spans="2:108" s="51" customFormat="1" ht="19.5" customHeight="1" x14ac:dyDescent="0.15">
      <c r="C11" s="757">
        <v>0</v>
      </c>
      <c r="D11" s="419"/>
      <c r="E11" s="700" t="s">
        <v>308</v>
      </c>
      <c r="F11" s="700"/>
      <c r="G11" s="700"/>
      <c r="H11" s="700"/>
      <c r="I11" s="700"/>
      <c r="J11" s="700"/>
      <c r="K11" s="700"/>
      <c r="L11" s="700"/>
      <c r="M11" s="700"/>
      <c r="N11" s="309">
        <v>1</v>
      </c>
      <c r="O11" s="309" t="s">
        <v>116</v>
      </c>
      <c r="P11" s="310" t="s">
        <v>117</v>
      </c>
      <c r="Q11" s="789">
        <v>1000</v>
      </c>
      <c r="R11" s="789"/>
      <c r="S11" s="311" t="s">
        <v>143</v>
      </c>
      <c r="T11" s="309"/>
      <c r="U11" s="309">
        <v>1</v>
      </c>
      <c r="V11" s="309">
        <v>1</v>
      </c>
      <c r="W11" s="664">
        <f t="shared" ref="W11" si="0">IF(ISNUMBER(N11),(N11*Q11*IF(ISNUMBER(T11),T11,1)+(IFERROR(U11*(Q11/AJ11)*1.5,0))+(IFERROR(V11*(Q11/AJ11)*2,0))),0)</f>
        <v>1350</v>
      </c>
      <c r="X11" s="664"/>
      <c r="Y11" s="664"/>
      <c r="Z11" s="665"/>
      <c r="AB11" s="663">
        <v>0</v>
      </c>
      <c r="AC11" s="664"/>
      <c r="AD11" s="665"/>
      <c r="AF11" s="663">
        <f t="shared" ref="AF11:AF40" si="1">AB11-W11</f>
        <v>-1350</v>
      </c>
      <c r="AG11" s="664"/>
      <c r="AH11" s="665"/>
      <c r="AJ11" s="681">
        <v>10</v>
      </c>
      <c r="AK11" s="682"/>
      <c r="AL11" s="677">
        <f t="shared" ref="AL11:AL12" si="2">IFERROR(Q11/(AJ11+((AJ11-HourlyState_M)*0.5)),0)</f>
        <v>66.666666666666671</v>
      </c>
      <c r="AM11" s="678"/>
      <c r="AN11" s="677">
        <f t="shared" ref="AN11" si="3">AL11*1.5</f>
        <v>100</v>
      </c>
      <c r="AO11" s="678"/>
      <c r="AP11" s="880">
        <v>0</v>
      </c>
      <c r="AQ11" s="880"/>
      <c r="AR11" s="881">
        <v>8</v>
      </c>
      <c r="AS11" s="881"/>
      <c r="AT11" s="696">
        <f t="shared" ref="AT11" si="4">AL11*ThisSheetState</f>
        <v>533.33333333333337</v>
      </c>
      <c r="AU11" s="697"/>
      <c r="AV11" s="696">
        <f t="shared" ref="AV11" si="5">(AJ11-ThisSheetState)*AN11</f>
        <v>200</v>
      </c>
      <c r="AW11" s="697"/>
    </row>
    <row r="12" spans="2:108" s="51" customFormat="1" ht="19.5" customHeight="1" x14ac:dyDescent="0.15">
      <c r="C12" s="757">
        <f>C11+1</f>
        <v>1</v>
      </c>
      <c r="D12" s="419"/>
      <c r="E12" s="700" t="s">
        <v>308</v>
      </c>
      <c r="F12" s="700"/>
      <c r="G12" s="700"/>
      <c r="H12" s="700"/>
      <c r="I12" s="700"/>
      <c r="J12" s="700"/>
      <c r="K12" s="700"/>
      <c r="L12" s="700"/>
      <c r="M12" s="700"/>
      <c r="N12" s="309"/>
      <c r="O12" s="309" t="s">
        <v>116</v>
      </c>
      <c r="P12" s="310" t="s">
        <v>117</v>
      </c>
      <c r="Q12" s="789"/>
      <c r="R12" s="789"/>
      <c r="S12" s="311" t="s">
        <v>143</v>
      </c>
      <c r="T12" s="309"/>
      <c r="U12" s="309"/>
      <c r="V12" s="309"/>
      <c r="W12" s="664">
        <f t="shared" ref="W12:W38" si="6">IF(ISNUMBER(N12),(N12*Q12*IF(ISNUMBER(T12),T12,1)+(IFERROR(U12*(Q12/AJ12)*1.5,0))+(IFERROR(V12*(Q12/AJ12)*2,0))),0)</f>
        <v>0</v>
      </c>
      <c r="X12" s="664"/>
      <c r="Y12" s="664"/>
      <c r="Z12" s="665"/>
      <c r="AB12" s="663">
        <v>0</v>
      </c>
      <c r="AC12" s="664"/>
      <c r="AD12" s="665"/>
      <c r="AF12" s="663">
        <f t="shared" si="1"/>
        <v>0</v>
      </c>
      <c r="AG12" s="664"/>
      <c r="AH12" s="665"/>
      <c r="AJ12" s="710">
        <v>10</v>
      </c>
      <c r="AK12" s="711"/>
      <c r="AL12" s="677">
        <f t="shared" si="2"/>
        <v>0</v>
      </c>
      <c r="AM12" s="678"/>
      <c r="AN12" s="677">
        <f t="shared" ref="AN12:AN33" si="7">AL12*1.5</f>
        <v>0</v>
      </c>
      <c r="AO12" s="678"/>
      <c r="AP12" s="676"/>
      <c r="AQ12" s="461"/>
      <c r="AT12" s="696">
        <f t="shared" ref="AT12:AT38" si="8">AL12*ThisSheetState</f>
        <v>0</v>
      </c>
      <c r="AU12" s="697"/>
      <c r="AV12" s="696">
        <f t="shared" ref="AV12:AV38" si="9">(AJ12-ThisSheetState)*AN12</f>
        <v>0</v>
      </c>
      <c r="AW12" s="697"/>
    </row>
    <row r="13" spans="2:108" s="51" customFormat="1" ht="19.5" customHeight="1" x14ac:dyDescent="0.15">
      <c r="C13" s="757">
        <f t="shared" ref="C13:C17" si="10">C12+1</f>
        <v>2</v>
      </c>
      <c r="D13" s="419"/>
      <c r="E13" s="700" t="s">
        <v>308</v>
      </c>
      <c r="F13" s="700"/>
      <c r="G13" s="700"/>
      <c r="H13" s="700"/>
      <c r="I13" s="700"/>
      <c r="J13" s="700"/>
      <c r="K13" s="700"/>
      <c r="L13" s="700"/>
      <c r="M13" s="700"/>
      <c r="N13" s="309">
        <v>1</v>
      </c>
      <c r="O13" s="309" t="s">
        <v>116</v>
      </c>
      <c r="P13" s="310" t="s">
        <v>117</v>
      </c>
      <c r="Q13" s="789">
        <v>1000</v>
      </c>
      <c r="R13" s="789"/>
      <c r="S13" s="311" t="s">
        <v>143</v>
      </c>
      <c r="T13" s="309"/>
      <c r="U13" s="309">
        <v>1</v>
      </c>
      <c r="V13" s="309"/>
      <c r="W13" s="664">
        <f t="shared" si="6"/>
        <v>1150</v>
      </c>
      <c r="X13" s="664"/>
      <c r="Y13" s="664"/>
      <c r="Z13" s="665"/>
      <c r="AB13" s="663">
        <v>0</v>
      </c>
      <c r="AC13" s="664"/>
      <c r="AD13" s="665"/>
      <c r="AF13" s="663">
        <f t="shared" si="1"/>
        <v>-1150</v>
      </c>
      <c r="AG13" s="664"/>
      <c r="AH13" s="665"/>
      <c r="AJ13" s="710">
        <v>10</v>
      </c>
      <c r="AK13" s="711"/>
      <c r="AL13" s="677">
        <f t="shared" ref="AL13:AL38" si="11">IFERROR(Q13/(AJ13+((AJ13-HourlyState_M)*0.5)),0)</f>
        <v>66.666666666666671</v>
      </c>
      <c r="AM13" s="678"/>
      <c r="AN13" s="677">
        <f t="shared" si="7"/>
        <v>100</v>
      </c>
      <c r="AO13" s="678"/>
      <c r="AP13" s="676"/>
      <c r="AQ13" s="461"/>
      <c r="AT13" s="696">
        <f t="shared" si="8"/>
        <v>533.33333333333337</v>
      </c>
      <c r="AU13" s="697"/>
      <c r="AV13" s="696">
        <f t="shared" si="9"/>
        <v>200</v>
      </c>
      <c r="AW13" s="697"/>
    </row>
    <row r="14" spans="2:108" s="51" customFormat="1" ht="19.5" customHeight="1" x14ac:dyDescent="0.15">
      <c r="C14" s="757">
        <f t="shared" si="10"/>
        <v>3</v>
      </c>
      <c r="D14" s="419"/>
      <c r="E14" s="700" t="s">
        <v>308</v>
      </c>
      <c r="F14" s="700"/>
      <c r="G14" s="700"/>
      <c r="H14" s="700"/>
      <c r="I14" s="700"/>
      <c r="J14" s="700"/>
      <c r="K14" s="700"/>
      <c r="L14" s="700"/>
      <c r="M14" s="700"/>
      <c r="N14" s="309"/>
      <c r="O14" s="309" t="s">
        <v>116</v>
      </c>
      <c r="P14" s="310" t="s">
        <v>117</v>
      </c>
      <c r="Q14" s="789"/>
      <c r="R14" s="789"/>
      <c r="S14" s="311" t="s">
        <v>143</v>
      </c>
      <c r="T14" s="309"/>
      <c r="U14" s="309"/>
      <c r="V14" s="309"/>
      <c r="W14" s="664">
        <f t="shared" si="6"/>
        <v>0</v>
      </c>
      <c r="X14" s="664"/>
      <c r="Y14" s="664"/>
      <c r="Z14" s="665"/>
      <c r="AB14" s="663">
        <v>0</v>
      </c>
      <c r="AC14" s="664"/>
      <c r="AD14" s="665"/>
      <c r="AF14" s="663">
        <f t="shared" si="1"/>
        <v>0</v>
      </c>
      <c r="AG14" s="664"/>
      <c r="AH14" s="665"/>
      <c r="AJ14" s="710">
        <v>10</v>
      </c>
      <c r="AK14" s="711"/>
      <c r="AL14" s="677">
        <f t="shared" si="11"/>
        <v>0</v>
      </c>
      <c r="AM14" s="678"/>
      <c r="AN14" s="677">
        <f t="shared" si="7"/>
        <v>0</v>
      </c>
      <c r="AO14" s="678"/>
      <c r="AP14" s="676"/>
      <c r="AQ14" s="461"/>
      <c r="AT14" s="696">
        <f t="shared" si="8"/>
        <v>0</v>
      </c>
      <c r="AU14" s="697"/>
      <c r="AV14" s="696">
        <f t="shared" si="9"/>
        <v>0</v>
      </c>
      <c r="AW14" s="697"/>
    </row>
    <row r="15" spans="2:108" s="51" customFormat="1" ht="19.5" customHeight="1" x14ac:dyDescent="0.15">
      <c r="C15" s="757">
        <f t="shared" si="10"/>
        <v>4</v>
      </c>
      <c r="D15" s="419"/>
      <c r="E15" s="700" t="s">
        <v>308</v>
      </c>
      <c r="F15" s="700"/>
      <c r="G15" s="700"/>
      <c r="H15" s="700"/>
      <c r="I15" s="700"/>
      <c r="J15" s="700"/>
      <c r="K15" s="700"/>
      <c r="L15" s="700"/>
      <c r="M15" s="700"/>
      <c r="N15" s="309"/>
      <c r="O15" s="309" t="s">
        <v>116</v>
      </c>
      <c r="P15" s="310" t="s">
        <v>117</v>
      </c>
      <c r="Q15" s="789"/>
      <c r="R15" s="789"/>
      <c r="S15" s="311" t="s">
        <v>143</v>
      </c>
      <c r="T15" s="309"/>
      <c r="U15" s="309"/>
      <c r="V15" s="309"/>
      <c r="W15" s="664">
        <f t="shared" si="6"/>
        <v>0</v>
      </c>
      <c r="X15" s="664"/>
      <c r="Y15" s="664"/>
      <c r="Z15" s="665"/>
      <c r="AB15" s="663">
        <v>0</v>
      </c>
      <c r="AC15" s="664"/>
      <c r="AD15" s="665"/>
      <c r="AF15" s="663">
        <f t="shared" si="1"/>
        <v>0</v>
      </c>
      <c r="AG15" s="664"/>
      <c r="AH15" s="665"/>
      <c r="AJ15" s="710">
        <v>10</v>
      </c>
      <c r="AK15" s="711"/>
      <c r="AL15" s="677">
        <f t="shared" si="11"/>
        <v>0</v>
      </c>
      <c r="AM15" s="678"/>
      <c r="AN15" s="677">
        <f t="shared" si="7"/>
        <v>0</v>
      </c>
      <c r="AO15" s="678"/>
      <c r="AP15" s="676"/>
      <c r="AQ15" s="461"/>
      <c r="AT15" s="696">
        <f t="shared" si="8"/>
        <v>0</v>
      </c>
      <c r="AU15" s="697"/>
      <c r="AV15" s="696">
        <f t="shared" si="9"/>
        <v>0</v>
      </c>
      <c r="AW15" s="697"/>
    </row>
    <row r="16" spans="2:108" s="51" customFormat="1" ht="19.5" customHeight="1" x14ac:dyDescent="0.15">
      <c r="C16" s="757">
        <f t="shared" si="10"/>
        <v>5</v>
      </c>
      <c r="D16" s="419"/>
      <c r="E16" s="700" t="s">
        <v>308</v>
      </c>
      <c r="F16" s="700"/>
      <c r="G16" s="700"/>
      <c r="H16" s="700"/>
      <c r="I16" s="700"/>
      <c r="J16" s="700"/>
      <c r="K16" s="700"/>
      <c r="L16" s="700"/>
      <c r="M16" s="700"/>
      <c r="N16" s="309"/>
      <c r="O16" s="309" t="s">
        <v>116</v>
      </c>
      <c r="P16" s="310" t="s">
        <v>117</v>
      </c>
      <c r="Q16" s="789"/>
      <c r="R16" s="789"/>
      <c r="S16" s="311" t="s">
        <v>143</v>
      </c>
      <c r="T16" s="309"/>
      <c r="U16" s="309"/>
      <c r="V16" s="309"/>
      <c r="W16" s="664">
        <f t="shared" si="6"/>
        <v>0</v>
      </c>
      <c r="X16" s="664"/>
      <c r="Y16" s="664"/>
      <c r="Z16" s="665"/>
      <c r="AB16" s="663">
        <v>0</v>
      </c>
      <c r="AC16" s="664"/>
      <c r="AD16" s="665"/>
      <c r="AF16" s="663">
        <f t="shared" si="1"/>
        <v>0</v>
      </c>
      <c r="AG16" s="664"/>
      <c r="AH16" s="665"/>
      <c r="AJ16" s="710">
        <v>10</v>
      </c>
      <c r="AK16" s="711"/>
      <c r="AL16" s="677">
        <f t="shared" si="11"/>
        <v>0</v>
      </c>
      <c r="AM16" s="678"/>
      <c r="AN16" s="677">
        <f t="shared" si="7"/>
        <v>0</v>
      </c>
      <c r="AO16" s="678"/>
      <c r="AP16" s="676"/>
      <c r="AQ16" s="461"/>
      <c r="AT16" s="696">
        <f t="shared" si="8"/>
        <v>0</v>
      </c>
      <c r="AU16" s="697"/>
      <c r="AV16" s="696">
        <f t="shared" si="9"/>
        <v>0</v>
      </c>
      <c r="AW16" s="697"/>
    </row>
    <row r="17" spans="3:49" s="51" customFormat="1" ht="19.5" customHeight="1" x14ac:dyDescent="0.15">
      <c r="C17" s="757">
        <f t="shared" si="10"/>
        <v>6</v>
      </c>
      <c r="D17" s="419"/>
      <c r="E17" s="700" t="s">
        <v>308</v>
      </c>
      <c r="F17" s="700"/>
      <c r="G17" s="700"/>
      <c r="H17" s="700"/>
      <c r="I17" s="700"/>
      <c r="J17" s="700"/>
      <c r="K17" s="700"/>
      <c r="L17" s="700"/>
      <c r="M17" s="700"/>
      <c r="N17" s="309"/>
      <c r="O17" s="309" t="s">
        <v>116</v>
      </c>
      <c r="P17" s="310" t="s">
        <v>117</v>
      </c>
      <c r="Q17" s="789"/>
      <c r="R17" s="789"/>
      <c r="S17" s="311" t="s">
        <v>143</v>
      </c>
      <c r="T17" s="309"/>
      <c r="U17" s="309"/>
      <c r="V17" s="309"/>
      <c r="W17" s="664">
        <f t="shared" si="6"/>
        <v>0</v>
      </c>
      <c r="X17" s="664"/>
      <c r="Y17" s="664"/>
      <c r="Z17" s="665"/>
      <c r="AB17" s="663">
        <v>0</v>
      </c>
      <c r="AC17" s="664"/>
      <c r="AD17" s="665"/>
      <c r="AF17" s="663">
        <f t="shared" si="1"/>
        <v>0</v>
      </c>
      <c r="AG17" s="664"/>
      <c r="AH17" s="665"/>
      <c r="AJ17" s="710">
        <v>10</v>
      </c>
      <c r="AK17" s="711"/>
      <c r="AL17" s="677">
        <f t="shared" si="11"/>
        <v>0</v>
      </c>
      <c r="AM17" s="678"/>
      <c r="AN17" s="677">
        <f t="shared" si="7"/>
        <v>0</v>
      </c>
      <c r="AO17" s="678"/>
      <c r="AP17" s="676"/>
      <c r="AQ17" s="461"/>
      <c r="AT17" s="696">
        <f t="shared" si="8"/>
        <v>0</v>
      </c>
      <c r="AU17" s="697"/>
      <c r="AV17" s="696">
        <f t="shared" si="9"/>
        <v>0</v>
      </c>
      <c r="AW17" s="697"/>
    </row>
    <row r="18" spans="3:49" s="51" customFormat="1" ht="19.5" customHeight="1" x14ac:dyDescent="0.15">
      <c r="C18" s="757">
        <f t="shared" ref="C18:C38" si="12">C17+1</f>
        <v>7</v>
      </c>
      <c r="D18" s="419"/>
      <c r="E18" s="700"/>
      <c r="F18" s="700"/>
      <c r="G18" s="700"/>
      <c r="H18" s="700"/>
      <c r="I18" s="700"/>
      <c r="J18" s="700"/>
      <c r="K18" s="700"/>
      <c r="L18" s="700"/>
      <c r="M18" s="700"/>
      <c r="N18" s="309"/>
      <c r="O18" s="309" t="s">
        <v>116</v>
      </c>
      <c r="P18" s="310" t="s">
        <v>117</v>
      </c>
      <c r="Q18" s="789"/>
      <c r="R18" s="789"/>
      <c r="S18" s="311" t="s">
        <v>143</v>
      </c>
      <c r="T18" s="309"/>
      <c r="U18" s="309"/>
      <c r="V18" s="309"/>
      <c r="W18" s="664">
        <f t="shared" si="6"/>
        <v>0</v>
      </c>
      <c r="X18" s="664"/>
      <c r="Y18" s="664"/>
      <c r="Z18" s="665"/>
      <c r="AB18" s="663">
        <v>0</v>
      </c>
      <c r="AC18" s="664"/>
      <c r="AD18" s="665"/>
      <c r="AF18" s="663">
        <f t="shared" si="1"/>
        <v>0</v>
      </c>
      <c r="AG18" s="664"/>
      <c r="AH18" s="665"/>
      <c r="AJ18" s="710">
        <v>10</v>
      </c>
      <c r="AK18" s="711"/>
      <c r="AL18" s="677">
        <f t="shared" si="11"/>
        <v>0</v>
      </c>
      <c r="AM18" s="678"/>
      <c r="AN18" s="677">
        <f t="shared" si="7"/>
        <v>0</v>
      </c>
      <c r="AO18" s="678"/>
      <c r="AT18" s="696">
        <f t="shared" si="8"/>
        <v>0</v>
      </c>
      <c r="AU18" s="697"/>
      <c r="AV18" s="696">
        <f t="shared" si="9"/>
        <v>0</v>
      </c>
      <c r="AW18" s="697"/>
    </row>
    <row r="19" spans="3:49" s="51" customFormat="1" ht="19.5" customHeight="1" x14ac:dyDescent="0.15">
      <c r="C19" s="757">
        <f t="shared" si="12"/>
        <v>8</v>
      </c>
      <c r="D19" s="419"/>
      <c r="E19" s="700" t="s">
        <v>309</v>
      </c>
      <c r="F19" s="700"/>
      <c r="G19" s="700"/>
      <c r="H19" s="700"/>
      <c r="I19" s="700"/>
      <c r="J19" s="700"/>
      <c r="K19" s="700"/>
      <c r="L19" s="700"/>
      <c r="M19" s="700"/>
      <c r="N19" s="309"/>
      <c r="O19" s="309" t="s">
        <v>116</v>
      </c>
      <c r="P19" s="310" t="s">
        <v>117</v>
      </c>
      <c r="Q19" s="789"/>
      <c r="R19" s="789"/>
      <c r="S19" s="311" t="s">
        <v>143</v>
      </c>
      <c r="T19" s="309"/>
      <c r="U19" s="309"/>
      <c r="V19" s="309"/>
      <c r="W19" s="664">
        <f t="shared" si="6"/>
        <v>0</v>
      </c>
      <c r="X19" s="664"/>
      <c r="Y19" s="664"/>
      <c r="Z19" s="665"/>
      <c r="AB19" s="663">
        <v>0</v>
      </c>
      <c r="AC19" s="664"/>
      <c r="AD19" s="665"/>
      <c r="AF19" s="663">
        <f t="shared" si="1"/>
        <v>0</v>
      </c>
      <c r="AG19" s="664"/>
      <c r="AH19" s="665"/>
      <c r="AJ19" s="710">
        <v>10</v>
      </c>
      <c r="AK19" s="711"/>
      <c r="AL19" s="677">
        <f t="shared" si="11"/>
        <v>0</v>
      </c>
      <c r="AM19" s="678"/>
      <c r="AN19" s="677">
        <f t="shared" si="7"/>
        <v>0</v>
      </c>
      <c r="AO19" s="678"/>
      <c r="AT19" s="696">
        <f t="shared" si="8"/>
        <v>0</v>
      </c>
      <c r="AU19" s="697"/>
      <c r="AV19" s="696">
        <f t="shared" si="9"/>
        <v>0</v>
      </c>
      <c r="AW19" s="697"/>
    </row>
    <row r="20" spans="3:49" s="51" customFormat="1" ht="19.5" customHeight="1" x14ac:dyDescent="0.15">
      <c r="C20" s="757">
        <f t="shared" si="12"/>
        <v>9</v>
      </c>
      <c r="D20" s="419"/>
      <c r="E20" s="700"/>
      <c r="F20" s="700"/>
      <c r="G20" s="700"/>
      <c r="H20" s="700"/>
      <c r="I20" s="700"/>
      <c r="J20" s="700"/>
      <c r="K20" s="700"/>
      <c r="L20" s="700"/>
      <c r="M20" s="700"/>
      <c r="N20" s="309"/>
      <c r="O20" s="309" t="s">
        <v>116</v>
      </c>
      <c r="P20" s="310" t="s">
        <v>117</v>
      </c>
      <c r="Q20" s="789"/>
      <c r="R20" s="789"/>
      <c r="S20" s="311" t="s">
        <v>143</v>
      </c>
      <c r="T20" s="309"/>
      <c r="U20" s="309"/>
      <c r="V20" s="309"/>
      <c r="W20" s="664">
        <f t="shared" si="6"/>
        <v>0</v>
      </c>
      <c r="X20" s="664"/>
      <c r="Y20" s="664"/>
      <c r="Z20" s="665"/>
      <c r="AB20" s="663">
        <v>0</v>
      </c>
      <c r="AC20" s="664"/>
      <c r="AD20" s="665"/>
      <c r="AF20" s="663">
        <f t="shared" si="1"/>
        <v>0</v>
      </c>
      <c r="AG20" s="664"/>
      <c r="AH20" s="665"/>
      <c r="AJ20" s="710">
        <v>10</v>
      </c>
      <c r="AK20" s="711"/>
      <c r="AL20" s="677">
        <f t="shared" si="11"/>
        <v>0</v>
      </c>
      <c r="AM20" s="678"/>
      <c r="AN20" s="677">
        <f t="shared" si="7"/>
        <v>0</v>
      </c>
      <c r="AO20" s="678"/>
      <c r="AT20" s="696">
        <f t="shared" si="8"/>
        <v>0</v>
      </c>
      <c r="AU20" s="697"/>
      <c r="AV20" s="696">
        <f t="shared" si="9"/>
        <v>0</v>
      </c>
      <c r="AW20" s="697"/>
    </row>
    <row r="21" spans="3:49" s="51" customFormat="1" ht="19.5" customHeight="1" x14ac:dyDescent="0.15">
      <c r="C21" s="757">
        <f t="shared" si="12"/>
        <v>10</v>
      </c>
      <c r="D21" s="419"/>
      <c r="E21" s="700" t="s">
        <v>310</v>
      </c>
      <c r="F21" s="700"/>
      <c r="G21" s="700"/>
      <c r="H21" s="700"/>
      <c r="I21" s="700"/>
      <c r="J21" s="700"/>
      <c r="K21" s="700"/>
      <c r="L21" s="700"/>
      <c r="M21" s="700"/>
      <c r="N21" s="309"/>
      <c r="O21" s="309" t="s">
        <v>116</v>
      </c>
      <c r="P21" s="310" t="s">
        <v>117</v>
      </c>
      <c r="Q21" s="789"/>
      <c r="R21" s="789"/>
      <c r="S21" s="311" t="s">
        <v>143</v>
      </c>
      <c r="T21" s="309"/>
      <c r="U21" s="309"/>
      <c r="V21" s="309"/>
      <c r="W21" s="664">
        <f t="shared" si="6"/>
        <v>0</v>
      </c>
      <c r="X21" s="664"/>
      <c r="Y21" s="664"/>
      <c r="Z21" s="665"/>
      <c r="AB21" s="663">
        <v>0</v>
      </c>
      <c r="AC21" s="664"/>
      <c r="AD21" s="665"/>
      <c r="AF21" s="663">
        <f t="shared" si="1"/>
        <v>0</v>
      </c>
      <c r="AG21" s="664"/>
      <c r="AH21" s="665"/>
      <c r="AJ21" s="710">
        <v>10</v>
      </c>
      <c r="AK21" s="711"/>
      <c r="AL21" s="677">
        <f t="shared" si="11"/>
        <v>0</v>
      </c>
      <c r="AM21" s="678"/>
      <c r="AN21" s="677">
        <f t="shared" si="7"/>
        <v>0</v>
      </c>
      <c r="AO21" s="678"/>
      <c r="AT21" s="696">
        <f t="shared" si="8"/>
        <v>0</v>
      </c>
      <c r="AU21" s="697"/>
      <c r="AV21" s="696">
        <f t="shared" si="9"/>
        <v>0</v>
      </c>
      <c r="AW21" s="697"/>
    </row>
    <row r="22" spans="3:49" s="51" customFormat="1" ht="19.5" customHeight="1" x14ac:dyDescent="0.15">
      <c r="C22" s="757">
        <f t="shared" si="12"/>
        <v>11</v>
      </c>
      <c r="D22" s="419"/>
      <c r="E22" s="700" t="s">
        <v>311</v>
      </c>
      <c r="F22" s="700"/>
      <c r="G22" s="700"/>
      <c r="H22" s="700"/>
      <c r="I22" s="700"/>
      <c r="J22" s="700"/>
      <c r="K22" s="700"/>
      <c r="L22" s="700"/>
      <c r="M22" s="700"/>
      <c r="N22" s="309"/>
      <c r="O22" s="309" t="s">
        <v>116</v>
      </c>
      <c r="P22" s="310" t="s">
        <v>117</v>
      </c>
      <c r="Q22" s="789"/>
      <c r="R22" s="789"/>
      <c r="S22" s="311" t="s">
        <v>143</v>
      </c>
      <c r="T22" s="309"/>
      <c r="U22" s="309"/>
      <c r="V22" s="309"/>
      <c r="W22" s="664">
        <f t="shared" si="6"/>
        <v>0</v>
      </c>
      <c r="X22" s="664"/>
      <c r="Y22" s="664"/>
      <c r="Z22" s="665"/>
      <c r="AB22" s="663">
        <v>0</v>
      </c>
      <c r="AC22" s="664"/>
      <c r="AD22" s="665"/>
      <c r="AF22" s="663">
        <f t="shared" si="1"/>
        <v>0</v>
      </c>
      <c r="AG22" s="664"/>
      <c r="AH22" s="665"/>
      <c r="AJ22" s="710">
        <v>10</v>
      </c>
      <c r="AK22" s="711"/>
      <c r="AL22" s="677">
        <f t="shared" si="11"/>
        <v>0</v>
      </c>
      <c r="AM22" s="678"/>
      <c r="AN22" s="677">
        <f t="shared" si="7"/>
        <v>0</v>
      </c>
      <c r="AO22" s="678"/>
      <c r="AT22" s="696">
        <f t="shared" si="8"/>
        <v>0</v>
      </c>
      <c r="AU22" s="697"/>
      <c r="AV22" s="696">
        <f t="shared" si="9"/>
        <v>0</v>
      </c>
      <c r="AW22" s="697"/>
    </row>
    <row r="23" spans="3:49" s="51" customFormat="1" ht="19.5" customHeight="1" x14ac:dyDescent="0.15">
      <c r="C23" s="757">
        <f t="shared" si="12"/>
        <v>12</v>
      </c>
      <c r="D23" s="419"/>
      <c r="E23" s="700" t="s">
        <v>311</v>
      </c>
      <c r="F23" s="700"/>
      <c r="G23" s="700"/>
      <c r="H23" s="700"/>
      <c r="I23" s="700"/>
      <c r="J23" s="700"/>
      <c r="K23" s="700"/>
      <c r="L23" s="700"/>
      <c r="M23" s="700"/>
      <c r="N23" s="309"/>
      <c r="O23" s="309" t="s">
        <v>116</v>
      </c>
      <c r="P23" s="310" t="s">
        <v>117</v>
      </c>
      <c r="Q23" s="789"/>
      <c r="R23" s="789"/>
      <c r="S23" s="311" t="s">
        <v>143</v>
      </c>
      <c r="T23" s="309"/>
      <c r="U23" s="309"/>
      <c r="V23" s="309"/>
      <c r="W23" s="664">
        <f t="shared" si="6"/>
        <v>0</v>
      </c>
      <c r="X23" s="664"/>
      <c r="Y23" s="664"/>
      <c r="Z23" s="665"/>
      <c r="AB23" s="663">
        <v>0</v>
      </c>
      <c r="AC23" s="664"/>
      <c r="AD23" s="665"/>
      <c r="AF23" s="663">
        <f t="shared" si="1"/>
        <v>0</v>
      </c>
      <c r="AG23" s="664"/>
      <c r="AH23" s="665"/>
      <c r="AJ23" s="710">
        <v>10</v>
      </c>
      <c r="AK23" s="711"/>
      <c r="AL23" s="677">
        <f t="shared" si="11"/>
        <v>0</v>
      </c>
      <c r="AM23" s="678"/>
      <c r="AN23" s="677">
        <f t="shared" si="7"/>
        <v>0</v>
      </c>
      <c r="AO23" s="678"/>
      <c r="AT23" s="696">
        <f t="shared" si="8"/>
        <v>0</v>
      </c>
      <c r="AU23" s="697"/>
      <c r="AV23" s="696">
        <f t="shared" si="9"/>
        <v>0</v>
      </c>
      <c r="AW23" s="697"/>
    </row>
    <row r="24" spans="3:49" s="51" customFormat="1" ht="19.5" customHeight="1" x14ac:dyDescent="0.15">
      <c r="C24" s="757">
        <f t="shared" si="12"/>
        <v>13</v>
      </c>
      <c r="D24" s="419"/>
      <c r="E24" s="700" t="s">
        <v>311</v>
      </c>
      <c r="F24" s="700"/>
      <c r="G24" s="700"/>
      <c r="H24" s="700"/>
      <c r="I24" s="700"/>
      <c r="J24" s="700"/>
      <c r="K24" s="700"/>
      <c r="L24" s="700"/>
      <c r="M24" s="700"/>
      <c r="N24" s="309"/>
      <c r="O24" s="309" t="s">
        <v>116</v>
      </c>
      <c r="P24" s="310" t="s">
        <v>117</v>
      </c>
      <c r="Q24" s="789"/>
      <c r="R24" s="789"/>
      <c r="S24" s="311" t="s">
        <v>143</v>
      </c>
      <c r="T24" s="309"/>
      <c r="U24" s="309"/>
      <c r="V24" s="309"/>
      <c r="W24" s="664">
        <f t="shared" si="6"/>
        <v>0</v>
      </c>
      <c r="X24" s="664"/>
      <c r="Y24" s="664"/>
      <c r="Z24" s="665"/>
      <c r="AB24" s="663">
        <v>0</v>
      </c>
      <c r="AC24" s="664"/>
      <c r="AD24" s="665"/>
      <c r="AF24" s="663">
        <f t="shared" si="1"/>
        <v>0</v>
      </c>
      <c r="AG24" s="664"/>
      <c r="AH24" s="665"/>
      <c r="AJ24" s="710">
        <v>10</v>
      </c>
      <c r="AK24" s="711"/>
      <c r="AL24" s="677">
        <f t="shared" si="11"/>
        <v>0</v>
      </c>
      <c r="AM24" s="678"/>
      <c r="AN24" s="677">
        <f t="shared" si="7"/>
        <v>0</v>
      </c>
      <c r="AO24" s="678"/>
      <c r="AT24" s="696">
        <f t="shared" si="8"/>
        <v>0</v>
      </c>
      <c r="AU24" s="697"/>
      <c r="AV24" s="696">
        <f t="shared" si="9"/>
        <v>0</v>
      </c>
      <c r="AW24" s="697"/>
    </row>
    <row r="25" spans="3:49" s="51" customFormat="1" ht="19.5" customHeight="1" x14ac:dyDescent="0.15">
      <c r="C25" s="757">
        <f t="shared" si="12"/>
        <v>14</v>
      </c>
      <c r="D25" s="419"/>
      <c r="E25" s="700"/>
      <c r="F25" s="700"/>
      <c r="G25" s="700"/>
      <c r="H25" s="700"/>
      <c r="I25" s="700"/>
      <c r="J25" s="700"/>
      <c r="K25" s="700"/>
      <c r="L25" s="700"/>
      <c r="M25" s="700"/>
      <c r="N25" s="309"/>
      <c r="O25" s="309" t="s">
        <v>116</v>
      </c>
      <c r="P25" s="310" t="s">
        <v>117</v>
      </c>
      <c r="Q25" s="789"/>
      <c r="R25" s="789"/>
      <c r="S25" s="311" t="s">
        <v>143</v>
      </c>
      <c r="T25" s="309"/>
      <c r="U25" s="309"/>
      <c r="V25" s="309"/>
      <c r="W25" s="664">
        <f t="shared" si="6"/>
        <v>0</v>
      </c>
      <c r="X25" s="664"/>
      <c r="Y25" s="664"/>
      <c r="Z25" s="665"/>
      <c r="AB25" s="663">
        <v>0</v>
      </c>
      <c r="AC25" s="664"/>
      <c r="AD25" s="665"/>
      <c r="AF25" s="663">
        <f t="shared" si="1"/>
        <v>0</v>
      </c>
      <c r="AG25" s="664"/>
      <c r="AH25" s="665"/>
      <c r="AJ25" s="710">
        <v>10</v>
      </c>
      <c r="AK25" s="711"/>
      <c r="AL25" s="677">
        <f t="shared" si="11"/>
        <v>0</v>
      </c>
      <c r="AM25" s="678"/>
      <c r="AN25" s="677">
        <f t="shared" si="7"/>
        <v>0</v>
      </c>
      <c r="AO25" s="678"/>
      <c r="AT25" s="696">
        <f t="shared" si="8"/>
        <v>0</v>
      </c>
      <c r="AU25" s="697"/>
      <c r="AV25" s="696">
        <f t="shared" si="9"/>
        <v>0</v>
      </c>
      <c r="AW25" s="697"/>
    </row>
    <row r="26" spans="3:49" s="51" customFormat="1" ht="19.5" customHeight="1" x14ac:dyDescent="0.15">
      <c r="C26" s="757">
        <f t="shared" si="12"/>
        <v>15</v>
      </c>
      <c r="D26" s="419"/>
      <c r="E26" s="700"/>
      <c r="F26" s="700"/>
      <c r="G26" s="700"/>
      <c r="H26" s="700"/>
      <c r="I26" s="700"/>
      <c r="J26" s="700"/>
      <c r="K26" s="700"/>
      <c r="L26" s="700"/>
      <c r="M26" s="700"/>
      <c r="N26" s="309"/>
      <c r="O26" s="309" t="s">
        <v>116</v>
      </c>
      <c r="P26" s="310" t="s">
        <v>117</v>
      </c>
      <c r="Q26" s="789"/>
      <c r="R26" s="789"/>
      <c r="S26" s="311" t="s">
        <v>143</v>
      </c>
      <c r="T26" s="309"/>
      <c r="U26" s="309"/>
      <c r="V26" s="309"/>
      <c r="W26" s="664">
        <f t="shared" si="6"/>
        <v>0</v>
      </c>
      <c r="X26" s="664"/>
      <c r="Y26" s="664"/>
      <c r="Z26" s="665"/>
      <c r="AB26" s="663">
        <v>0</v>
      </c>
      <c r="AC26" s="664"/>
      <c r="AD26" s="665"/>
      <c r="AF26" s="663">
        <f t="shared" si="1"/>
        <v>0</v>
      </c>
      <c r="AG26" s="664"/>
      <c r="AH26" s="665"/>
      <c r="AJ26" s="710">
        <v>10</v>
      </c>
      <c r="AK26" s="711"/>
      <c r="AL26" s="677">
        <f t="shared" si="11"/>
        <v>0</v>
      </c>
      <c r="AM26" s="678"/>
      <c r="AN26" s="677">
        <f t="shared" si="7"/>
        <v>0</v>
      </c>
      <c r="AO26" s="678"/>
      <c r="AT26" s="696">
        <f t="shared" si="8"/>
        <v>0</v>
      </c>
      <c r="AU26" s="697"/>
      <c r="AV26" s="696">
        <f t="shared" si="9"/>
        <v>0</v>
      </c>
      <c r="AW26" s="697"/>
    </row>
    <row r="27" spans="3:49" s="51" customFormat="1" ht="19.5" customHeight="1" x14ac:dyDescent="0.15">
      <c r="C27" s="757">
        <f t="shared" si="12"/>
        <v>16</v>
      </c>
      <c r="D27" s="419"/>
      <c r="E27" s="700"/>
      <c r="F27" s="700"/>
      <c r="G27" s="700"/>
      <c r="H27" s="700"/>
      <c r="I27" s="700"/>
      <c r="J27" s="700"/>
      <c r="K27" s="700"/>
      <c r="L27" s="700"/>
      <c r="M27" s="700"/>
      <c r="N27" s="309"/>
      <c r="O27" s="309" t="s">
        <v>116</v>
      </c>
      <c r="P27" s="310" t="s">
        <v>117</v>
      </c>
      <c r="Q27" s="789"/>
      <c r="R27" s="789"/>
      <c r="S27" s="311" t="s">
        <v>143</v>
      </c>
      <c r="T27" s="309"/>
      <c r="U27" s="309"/>
      <c r="V27" s="309"/>
      <c r="W27" s="664">
        <f t="shared" si="6"/>
        <v>0</v>
      </c>
      <c r="X27" s="664"/>
      <c r="Y27" s="664"/>
      <c r="Z27" s="665"/>
      <c r="AB27" s="663">
        <v>0</v>
      </c>
      <c r="AC27" s="664"/>
      <c r="AD27" s="665"/>
      <c r="AF27" s="663">
        <f t="shared" si="1"/>
        <v>0</v>
      </c>
      <c r="AG27" s="664"/>
      <c r="AH27" s="665"/>
      <c r="AJ27" s="710">
        <v>10</v>
      </c>
      <c r="AK27" s="711"/>
      <c r="AL27" s="677">
        <f t="shared" si="11"/>
        <v>0</v>
      </c>
      <c r="AM27" s="678"/>
      <c r="AN27" s="677">
        <f t="shared" si="7"/>
        <v>0</v>
      </c>
      <c r="AO27" s="678"/>
      <c r="AT27" s="696">
        <f t="shared" si="8"/>
        <v>0</v>
      </c>
      <c r="AU27" s="697"/>
      <c r="AV27" s="696">
        <f t="shared" si="9"/>
        <v>0</v>
      </c>
      <c r="AW27" s="697"/>
    </row>
    <row r="28" spans="3:49" s="51" customFormat="1" ht="19.5" customHeight="1" x14ac:dyDescent="0.15">
      <c r="C28" s="757">
        <f t="shared" si="12"/>
        <v>17</v>
      </c>
      <c r="D28" s="419"/>
      <c r="E28" s="700" t="s">
        <v>312</v>
      </c>
      <c r="F28" s="700"/>
      <c r="G28" s="700"/>
      <c r="H28" s="700"/>
      <c r="I28" s="700"/>
      <c r="J28" s="700"/>
      <c r="K28" s="700"/>
      <c r="L28" s="700"/>
      <c r="M28" s="700"/>
      <c r="N28" s="309"/>
      <c r="O28" s="309" t="s">
        <v>116</v>
      </c>
      <c r="P28" s="310" t="s">
        <v>117</v>
      </c>
      <c r="Q28" s="789"/>
      <c r="R28" s="789"/>
      <c r="S28" s="311" t="s">
        <v>143</v>
      </c>
      <c r="T28" s="309"/>
      <c r="U28" s="309"/>
      <c r="V28" s="309"/>
      <c r="W28" s="664">
        <f t="shared" si="6"/>
        <v>0</v>
      </c>
      <c r="X28" s="664"/>
      <c r="Y28" s="664"/>
      <c r="Z28" s="665"/>
      <c r="AB28" s="663">
        <v>0</v>
      </c>
      <c r="AC28" s="664"/>
      <c r="AD28" s="665"/>
      <c r="AF28" s="663">
        <f t="shared" si="1"/>
        <v>0</v>
      </c>
      <c r="AG28" s="664"/>
      <c r="AH28" s="665"/>
      <c r="AJ28" s="710">
        <v>10</v>
      </c>
      <c r="AK28" s="711"/>
      <c r="AL28" s="677">
        <f t="shared" si="11"/>
        <v>0</v>
      </c>
      <c r="AM28" s="678"/>
      <c r="AN28" s="677">
        <f t="shared" si="7"/>
        <v>0</v>
      </c>
      <c r="AO28" s="678"/>
      <c r="AT28" s="696">
        <f t="shared" si="8"/>
        <v>0</v>
      </c>
      <c r="AU28" s="697"/>
      <c r="AV28" s="696">
        <f t="shared" si="9"/>
        <v>0</v>
      </c>
      <c r="AW28" s="697"/>
    </row>
    <row r="29" spans="3:49" s="51" customFormat="1" ht="19.5" customHeight="1" x14ac:dyDescent="0.15">
      <c r="C29" s="757">
        <f t="shared" si="12"/>
        <v>18</v>
      </c>
      <c r="D29" s="419"/>
      <c r="E29" s="700"/>
      <c r="F29" s="700"/>
      <c r="G29" s="700"/>
      <c r="H29" s="700"/>
      <c r="I29" s="700"/>
      <c r="J29" s="700"/>
      <c r="K29" s="700"/>
      <c r="L29" s="700"/>
      <c r="M29" s="700"/>
      <c r="N29" s="309"/>
      <c r="O29" s="309" t="s">
        <v>116</v>
      </c>
      <c r="P29" s="310" t="s">
        <v>117</v>
      </c>
      <c r="Q29" s="789"/>
      <c r="R29" s="789"/>
      <c r="S29" s="311" t="s">
        <v>143</v>
      </c>
      <c r="T29" s="309"/>
      <c r="U29" s="309"/>
      <c r="V29" s="309"/>
      <c r="W29" s="664">
        <f t="shared" si="6"/>
        <v>0</v>
      </c>
      <c r="X29" s="664"/>
      <c r="Y29" s="664"/>
      <c r="Z29" s="665"/>
      <c r="AB29" s="663">
        <v>0</v>
      </c>
      <c r="AC29" s="664"/>
      <c r="AD29" s="665"/>
      <c r="AF29" s="663">
        <f t="shared" si="1"/>
        <v>0</v>
      </c>
      <c r="AG29" s="664"/>
      <c r="AH29" s="665"/>
      <c r="AJ29" s="710">
        <v>10</v>
      </c>
      <c r="AK29" s="711"/>
      <c r="AL29" s="677">
        <f t="shared" si="11"/>
        <v>0</v>
      </c>
      <c r="AM29" s="678"/>
      <c r="AN29" s="677">
        <f t="shared" si="7"/>
        <v>0</v>
      </c>
      <c r="AO29" s="678"/>
      <c r="AT29" s="696">
        <f t="shared" si="8"/>
        <v>0</v>
      </c>
      <c r="AU29" s="697"/>
      <c r="AV29" s="696">
        <f t="shared" si="9"/>
        <v>0</v>
      </c>
      <c r="AW29" s="697"/>
    </row>
    <row r="30" spans="3:49" s="51" customFormat="1" ht="19.5" customHeight="1" x14ac:dyDescent="0.15">
      <c r="C30" s="757">
        <f t="shared" si="12"/>
        <v>19</v>
      </c>
      <c r="D30" s="419"/>
      <c r="E30" s="700"/>
      <c r="F30" s="700"/>
      <c r="G30" s="700"/>
      <c r="H30" s="700"/>
      <c r="I30" s="700"/>
      <c r="J30" s="700"/>
      <c r="K30" s="700"/>
      <c r="L30" s="700"/>
      <c r="M30" s="700"/>
      <c r="N30" s="309"/>
      <c r="O30" s="309" t="s">
        <v>116</v>
      </c>
      <c r="P30" s="310" t="s">
        <v>117</v>
      </c>
      <c r="Q30" s="789"/>
      <c r="R30" s="789"/>
      <c r="S30" s="311" t="s">
        <v>143</v>
      </c>
      <c r="T30" s="309"/>
      <c r="U30" s="309"/>
      <c r="V30" s="309"/>
      <c r="W30" s="664">
        <f t="shared" si="6"/>
        <v>0</v>
      </c>
      <c r="X30" s="664"/>
      <c r="Y30" s="664"/>
      <c r="Z30" s="665"/>
      <c r="AB30" s="663">
        <v>0</v>
      </c>
      <c r="AC30" s="664"/>
      <c r="AD30" s="665"/>
      <c r="AF30" s="663">
        <f t="shared" si="1"/>
        <v>0</v>
      </c>
      <c r="AG30" s="664"/>
      <c r="AH30" s="665"/>
      <c r="AJ30" s="710">
        <v>10</v>
      </c>
      <c r="AK30" s="711"/>
      <c r="AL30" s="677">
        <f t="shared" si="11"/>
        <v>0</v>
      </c>
      <c r="AM30" s="678"/>
      <c r="AN30" s="677">
        <f t="shared" si="7"/>
        <v>0</v>
      </c>
      <c r="AO30" s="678"/>
      <c r="AT30" s="696">
        <f t="shared" si="8"/>
        <v>0</v>
      </c>
      <c r="AU30" s="697"/>
      <c r="AV30" s="696">
        <f t="shared" si="9"/>
        <v>0</v>
      </c>
      <c r="AW30" s="697"/>
    </row>
    <row r="31" spans="3:49" s="51" customFormat="1" ht="19.5" customHeight="1" x14ac:dyDescent="0.15">
      <c r="C31" s="757">
        <f t="shared" si="12"/>
        <v>20</v>
      </c>
      <c r="D31" s="419"/>
      <c r="E31" s="700" t="s">
        <v>313</v>
      </c>
      <c r="F31" s="700"/>
      <c r="G31" s="700"/>
      <c r="H31" s="700"/>
      <c r="I31" s="700"/>
      <c r="J31" s="700"/>
      <c r="K31" s="700"/>
      <c r="L31" s="700"/>
      <c r="M31" s="700"/>
      <c r="N31" s="309"/>
      <c r="O31" s="309" t="s">
        <v>116</v>
      </c>
      <c r="P31" s="310" t="s">
        <v>117</v>
      </c>
      <c r="Q31" s="789"/>
      <c r="R31" s="789"/>
      <c r="S31" s="311" t="s">
        <v>143</v>
      </c>
      <c r="T31" s="309"/>
      <c r="U31" s="309"/>
      <c r="V31" s="309"/>
      <c r="W31" s="664">
        <f t="shared" si="6"/>
        <v>0</v>
      </c>
      <c r="X31" s="664"/>
      <c r="Y31" s="664"/>
      <c r="Z31" s="665"/>
      <c r="AB31" s="663">
        <v>0</v>
      </c>
      <c r="AC31" s="664"/>
      <c r="AD31" s="665"/>
      <c r="AF31" s="663">
        <f t="shared" si="1"/>
        <v>0</v>
      </c>
      <c r="AG31" s="664"/>
      <c r="AH31" s="665"/>
      <c r="AJ31" s="710">
        <v>10</v>
      </c>
      <c r="AK31" s="711"/>
      <c r="AL31" s="677">
        <f t="shared" si="11"/>
        <v>0</v>
      </c>
      <c r="AM31" s="678"/>
      <c r="AN31" s="677">
        <f t="shared" si="7"/>
        <v>0</v>
      </c>
      <c r="AO31" s="678"/>
      <c r="AT31" s="696">
        <f t="shared" si="8"/>
        <v>0</v>
      </c>
      <c r="AU31" s="697"/>
      <c r="AV31" s="696">
        <f t="shared" si="9"/>
        <v>0</v>
      </c>
      <c r="AW31" s="697"/>
    </row>
    <row r="32" spans="3:49" s="51" customFormat="1" ht="19.5" customHeight="1" x14ac:dyDescent="0.15">
      <c r="C32" s="757">
        <f t="shared" si="12"/>
        <v>21</v>
      </c>
      <c r="D32" s="419"/>
      <c r="E32" s="700" t="s">
        <v>314</v>
      </c>
      <c r="F32" s="700"/>
      <c r="G32" s="700"/>
      <c r="H32" s="700"/>
      <c r="I32" s="700"/>
      <c r="J32" s="700"/>
      <c r="K32" s="700"/>
      <c r="L32" s="700"/>
      <c r="M32" s="700"/>
      <c r="N32" s="309"/>
      <c r="O32" s="309" t="s">
        <v>116</v>
      </c>
      <c r="P32" s="310" t="s">
        <v>117</v>
      </c>
      <c r="Q32" s="789"/>
      <c r="R32" s="789"/>
      <c r="S32" s="311" t="s">
        <v>143</v>
      </c>
      <c r="T32" s="309"/>
      <c r="U32" s="309"/>
      <c r="V32" s="309"/>
      <c r="W32" s="664">
        <f t="shared" si="6"/>
        <v>0</v>
      </c>
      <c r="X32" s="664"/>
      <c r="Y32" s="664"/>
      <c r="Z32" s="665"/>
      <c r="AB32" s="663">
        <v>0</v>
      </c>
      <c r="AC32" s="664"/>
      <c r="AD32" s="665"/>
      <c r="AF32" s="663">
        <f t="shared" si="1"/>
        <v>0</v>
      </c>
      <c r="AG32" s="664"/>
      <c r="AH32" s="665"/>
      <c r="AJ32" s="710">
        <v>10</v>
      </c>
      <c r="AK32" s="711"/>
      <c r="AL32" s="677">
        <f t="shared" si="11"/>
        <v>0</v>
      </c>
      <c r="AM32" s="678"/>
      <c r="AN32" s="677">
        <f t="shared" si="7"/>
        <v>0</v>
      </c>
      <c r="AO32" s="678"/>
      <c r="AT32" s="696">
        <f t="shared" si="8"/>
        <v>0</v>
      </c>
      <c r="AU32" s="697"/>
      <c r="AV32" s="696">
        <f t="shared" si="9"/>
        <v>0</v>
      </c>
      <c r="AW32" s="697"/>
    </row>
    <row r="33" spans="3:49" s="51" customFormat="1" ht="19.5" customHeight="1" x14ac:dyDescent="0.15">
      <c r="C33" s="757">
        <f t="shared" si="12"/>
        <v>22</v>
      </c>
      <c r="D33" s="419"/>
      <c r="E33" s="700" t="s">
        <v>314</v>
      </c>
      <c r="F33" s="700"/>
      <c r="G33" s="700"/>
      <c r="H33" s="700"/>
      <c r="I33" s="700"/>
      <c r="J33" s="700"/>
      <c r="K33" s="700"/>
      <c r="L33" s="700"/>
      <c r="M33" s="700"/>
      <c r="N33" s="309"/>
      <c r="O33" s="309" t="s">
        <v>116</v>
      </c>
      <c r="P33" s="310" t="s">
        <v>117</v>
      </c>
      <c r="Q33" s="789"/>
      <c r="R33" s="789"/>
      <c r="S33" s="311" t="s">
        <v>143</v>
      </c>
      <c r="T33" s="309"/>
      <c r="U33" s="309"/>
      <c r="V33" s="309"/>
      <c r="W33" s="664">
        <f t="shared" si="6"/>
        <v>0</v>
      </c>
      <c r="X33" s="664"/>
      <c r="Y33" s="664"/>
      <c r="Z33" s="665"/>
      <c r="AB33" s="663">
        <v>0</v>
      </c>
      <c r="AC33" s="664"/>
      <c r="AD33" s="665"/>
      <c r="AF33" s="663">
        <f t="shared" si="1"/>
        <v>0</v>
      </c>
      <c r="AG33" s="664"/>
      <c r="AH33" s="665"/>
      <c r="AJ33" s="710">
        <v>10</v>
      </c>
      <c r="AK33" s="711"/>
      <c r="AL33" s="677">
        <f t="shared" si="11"/>
        <v>0</v>
      </c>
      <c r="AM33" s="678"/>
      <c r="AN33" s="677">
        <f t="shared" si="7"/>
        <v>0</v>
      </c>
      <c r="AO33" s="678"/>
      <c r="AT33" s="696">
        <f t="shared" si="8"/>
        <v>0</v>
      </c>
      <c r="AU33" s="697"/>
      <c r="AV33" s="696">
        <f t="shared" si="9"/>
        <v>0</v>
      </c>
      <c r="AW33" s="697"/>
    </row>
    <row r="34" spans="3:49" s="51" customFormat="1" ht="19.5" customHeight="1" x14ac:dyDescent="0.15">
      <c r="C34" s="757">
        <f t="shared" si="12"/>
        <v>23</v>
      </c>
      <c r="D34" s="419"/>
      <c r="E34" s="700"/>
      <c r="F34" s="700"/>
      <c r="G34" s="700"/>
      <c r="H34" s="700"/>
      <c r="I34" s="700"/>
      <c r="J34" s="700"/>
      <c r="K34" s="700"/>
      <c r="L34" s="700"/>
      <c r="M34" s="700"/>
      <c r="N34" s="309"/>
      <c r="O34" s="309" t="s">
        <v>116</v>
      </c>
      <c r="P34" s="310" t="s">
        <v>117</v>
      </c>
      <c r="Q34" s="789"/>
      <c r="R34" s="789"/>
      <c r="S34" s="311" t="s">
        <v>143</v>
      </c>
      <c r="T34" s="309"/>
      <c r="U34" s="309"/>
      <c r="V34" s="309"/>
      <c r="W34" s="664">
        <f t="shared" si="6"/>
        <v>0</v>
      </c>
      <c r="X34" s="664"/>
      <c r="Y34" s="664"/>
      <c r="Z34" s="665"/>
      <c r="AB34" s="663">
        <v>0</v>
      </c>
      <c r="AC34" s="664"/>
      <c r="AD34" s="665"/>
      <c r="AF34" s="663">
        <f t="shared" si="1"/>
        <v>0</v>
      </c>
      <c r="AG34" s="664"/>
      <c r="AH34" s="665"/>
      <c r="AJ34" s="710">
        <v>10</v>
      </c>
      <c r="AK34" s="711"/>
      <c r="AL34" s="677">
        <f t="shared" si="11"/>
        <v>0</v>
      </c>
      <c r="AM34" s="678"/>
      <c r="AN34" s="677">
        <f>AL34*1.5</f>
        <v>0</v>
      </c>
      <c r="AO34" s="678"/>
      <c r="AT34" s="696">
        <f t="shared" si="8"/>
        <v>0</v>
      </c>
      <c r="AU34" s="697"/>
      <c r="AV34" s="696">
        <f t="shared" si="9"/>
        <v>0</v>
      </c>
      <c r="AW34" s="697"/>
    </row>
    <row r="35" spans="3:49" s="51" customFormat="1" ht="19.5" customHeight="1" x14ac:dyDescent="0.15">
      <c r="C35" s="757">
        <f t="shared" si="12"/>
        <v>24</v>
      </c>
      <c r="D35" s="419"/>
      <c r="E35" s="700" t="s">
        <v>315</v>
      </c>
      <c r="F35" s="700"/>
      <c r="G35" s="700"/>
      <c r="H35" s="700"/>
      <c r="I35" s="700"/>
      <c r="J35" s="700"/>
      <c r="K35" s="700"/>
      <c r="L35" s="700"/>
      <c r="M35" s="700"/>
      <c r="N35" s="309"/>
      <c r="O35" s="309" t="s">
        <v>116</v>
      </c>
      <c r="P35" s="310" t="s">
        <v>117</v>
      </c>
      <c r="Q35" s="789"/>
      <c r="R35" s="789"/>
      <c r="S35" s="311" t="s">
        <v>143</v>
      </c>
      <c r="T35" s="309"/>
      <c r="U35" s="309"/>
      <c r="V35" s="309"/>
      <c r="W35" s="664">
        <f t="shared" si="6"/>
        <v>0</v>
      </c>
      <c r="X35" s="664"/>
      <c r="Y35" s="664"/>
      <c r="Z35" s="665"/>
      <c r="AB35" s="663">
        <v>0</v>
      </c>
      <c r="AC35" s="664"/>
      <c r="AD35" s="665"/>
      <c r="AF35" s="663">
        <f t="shared" si="1"/>
        <v>0</v>
      </c>
      <c r="AG35" s="664"/>
      <c r="AH35" s="665"/>
      <c r="AJ35" s="710">
        <v>10</v>
      </c>
      <c r="AK35" s="711"/>
      <c r="AL35" s="677">
        <f t="shared" si="11"/>
        <v>0</v>
      </c>
      <c r="AM35" s="678"/>
      <c r="AN35" s="677">
        <f>AL35*1.5</f>
        <v>0</v>
      </c>
      <c r="AO35" s="678"/>
      <c r="AT35" s="696">
        <f t="shared" si="8"/>
        <v>0</v>
      </c>
      <c r="AU35" s="697"/>
      <c r="AV35" s="696">
        <f t="shared" si="9"/>
        <v>0</v>
      </c>
      <c r="AW35" s="697"/>
    </row>
    <row r="36" spans="3:49" s="51" customFormat="1" ht="19.5" customHeight="1" x14ac:dyDescent="0.15">
      <c r="C36" s="757">
        <f t="shared" si="12"/>
        <v>25</v>
      </c>
      <c r="D36" s="419"/>
      <c r="E36" s="700" t="s">
        <v>315</v>
      </c>
      <c r="F36" s="700"/>
      <c r="G36" s="700"/>
      <c r="H36" s="700"/>
      <c r="I36" s="700"/>
      <c r="J36" s="700"/>
      <c r="K36" s="700"/>
      <c r="L36" s="700"/>
      <c r="M36" s="700"/>
      <c r="N36" s="309"/>
      <c r="O36" s="309" t="s">
        <v>116</v>
      </c>
      <c r="P36" s="310" t="s">
        <v>117</v>
      </c>
      <c r="Q36" s="789"/>
      <c r="R36" s="789"/>
      <c r="S36" s="311" t="s">
        <v>143</v>
      </c>
      <c r="T36" s="309"/>
      <c r="U36" s="309"/>
      <c r="V36" s="309"/>
      <c r="W36" s="664">
        <f t="shared" si="6"/>
        <v>0</v>
      </c>
      <c r="X36" s="664"/>
      <c r="Y36" s="664"/>
      <c r="Z36" s="665"/>
      <c r="AB36" s="663">
        <v>0</v>
      </c>
      <c r="AC36" s="664"/>
      <c r="AD36" s="665"/>
      <c r="AF36" s="663">
        <f t="shared" si="1"/>
        <v>0</v>
      </c>
      <c r="AG36" s="664"/>
      <c r="AH36" s="665"/>
      <c r="AJ36" s="710">
        <v>10</v>
      </c>
      <c r="AK36" s="711"/>
      <c r="AL36" s="677">
        <f t="shared" si="11"/>
        <v>0</v>
      </c>
      <c r="AM36" s="678"/>
      <c r="AN36" s="677">
        <f>AL36*1.5</f>
        <v>0</v>
      </c>
      <c r="AO36" s="678"/>
      <c r="AT36" s="696">
        <f t="shared" si="8"/>
        <v>0</v>
      </c>
      <c r="AU36" s="697"/>
      <c r="AV36" s="696">
        <f t="shared" si="9"/>
        <v>0</v>
      </c>
      <c r="AW36" s="697"/>
    </row>
    <row r="37" spans="3:49" s="51" customFormat="1" ht="19.5" customHeight="1" x14ac:dyDescent="0.15">
      <c r="C37" s="757">
        <f t="shared" si="12"/>
        <v>26</v>
      </c>
      <c r="D37" s="419"/>
      <c r="E37" s="700"/>
      <c r="F37" s="700"/>
      <c r="G37" s="700"/>
      <c r="H37" s="700"/>
      <c r="I37" s="700"/>
      <c r="J37" s="700"/>
      <c r="K37" s="700"/>
      <c r="L37" s="700"/>
      <c r="M37" s="700"/>
      <c r="N37" s="309">
        <v>1</v>
      </c>
      <c r="O37" s="309" t="s">
        <v>116</v>
      </c>
      <c r="P37" s="310" t="s">
        <v>117</v>
      </c>
      <c r="Q37" s="789">
        <v>1000</v>
      </c>
      <c r="R37" s="789"/>
      <c r="S37" s="311" t="s">
        <v>143</v>
      </c>
      <c r="T37" s="309">
        <v>1</v>
      </c>
      <c r="U37" s="309">
        <v>1</v>
      </c>
      <c r="V37" s="309">
        <v>1</v>
      </c>
      <c r="W37" s="664">
        <f t="shared" si="6"/>
        <v>1350</v>
      </c>
      <c r="X37" s="664"/>
      <c r="Y37" s="664"/>
      <c r="Z37" s="665"/>
      <c r="AB37" s="663">
        <v>0</v>
      </c>
      <c r="AC37" s="664"/>
      <c r="AD37" s="665"/>
      <c r="AF37" s="663">
        <f t="shared" si="1"/>
        <v>-1350</v>
      </c>
      <c r="AG37" s="664"/>
      <c r="AH37" s="665"/>
      <c r="AJ37" s="710">
        <v>10</v>
      </c>
      <c r="AK37" s="711"/>
      <c r="AL37" s="677">
        <f t="shared" si="11"/>
        <v>66.666666666666671</v>
      </c>
      <c r="AM37" s="678"/>
      <c r="AN37" s="677">
        <f>AL37*1.5</f>
        <v>100</v>
      </c>
      <c r="AO37" s="678"/>
      <c r="AT37" s="696">
        <f t="shared" si="8"/>
        <v>533.33333333333337</v>
      </c>
      <c r="AU37" s="697"/>
      <c r="AV37" s="696">
        <f t="shared" si="9"/>
        <v>200</v>
      </c>
      <c r="AW37" s="697"/>
    </row>
    <row r="38" spans="3:49" s="51" customFormat="1" ht="19.5" customHeight="1" x14ac:dyDescent="0.15">
      <c r="C38" s="757">
        <f t="shared" si="12"/>
        <v>27</v>
      </c>
      <c r="D38" s="419"/>
      <c r="E38" s="700"/>
      <c r="F38" s="700"/>
      <c r="G38" s="700"/>
      <c r="H38" s="700"/>
      <c r="I38" s="700"/>
      <c r="J38" s="700"/>
      <c r="K38" s="700"/>
      <c r="L38" s="700"/>
      <c r="M38" s="700"/>
      <c r="N38" s="309"/>
      <c r="O38" s="309" t="s">
        <v>116</v>
      </c>
      <c r="P38" s="310" t="s">
        <v>117</v>
      </c>
      <c r="Q38" s="789"/>
      <c r="R38" s="789"/>
      <c r="S38" s="311" t="s">
        <v>143</v>
      </c>
      <c r="T38" s="309"/>
      <c r="U38" s="309"/>
      <c r="V38" s="309"/>
      <c r="W38" s="664">
        <f t="shared" si="6"/>
        <v>0</v>
      </c>
      <c r="X38" s="664"/>
      <c r="Y38" s="664"/>
      <c r="Z38" s="665"/>
      <c r="AB38" s="663">
        <v>0</v>
      </c>
      <c r="AC38" s="664"/>
      <c r="AD38" s="665"/>
      <c r="AF38" s="663">
        <f t="shared" si="1"/>
        <v>0</v>
      </c>
      <c r="AG38" s="664"/>
      <c r="AH38" s="665"/>
      <c r="AJ38" s="710">
        <v>10</v>
      </c>
      <c r="AK38" s="711"/>
      <c r="AL38" s="677">
        <f t="shared" si="11"/>
        <v>0</v>
      </c>
      <c r="AM38" s="678"/>
      <c r="AN38" s="677">
        <f>AL38*1.5</f>
        <v>0</v>
      </c>
      <c r="AO38" s="678"/>
      <c r="AT38" s="696">
        <f t="shared" si="8"/>
        <v>0</v>
      </c>
      <c r="AU38" s="697"/>
      <c r="AV38" s="696">
        <f t="shared" si="9"/>
        <v>0</v>
      </c>
      <c r="AW38" s="697"/>
    </row>
    <row r="39" spans="3:49" s="322" customFormat="1" ht="19.5" customHeight="1" x14ac:dyDescent="0.2">
      <c r="C39" s="388"/>
      <c r="D39" s="389"/>
      <c r="E39" s="389"/>
      <c r="F39" s="389"/>
      <c r="G39" s="389"/>
      <c r="H39" s="389"/>
      <c r="I39" s="389"/>
      <c r="J39" s="389"/>
      <c r="K39" s="389"/>
      <c r="L39" s="389"/>
      <c r="M39" s="389"/>
      <c r="N39" s="281"/>
      <c r="O39" s="654" t="str">
        <f>"Sub Total "&amp;P_TITLE</f>
        <v>Sub Total Talent</v>
      </c>
      <c r="P39" s="654"/>
      <c r="Q39" s="654"/>
      <c r="R39" s="654"/>
      <c r="S39" s="654"/>
      <c r="T39" s="654"/>
      <c r="U39" s="654"/>
      <c r="V39" s="655"/>
      <c r="W39" s="658">
        <f>SUM(W11:Z38)</f>
        <v>3850</v>
      </c>
      <c r="X39" s="659"/>
      <c r="Y39" s="659"/>
      <c r="Z39" s="660"/>
      <c r="AB39" s="658">
        <f>SUM(AB11:AD38)</f>
        <v>0</v>
      </c>
      <c r="AC39" s="659"/>
      <c r="AD39" s="660"/>
      <c r="AF39" s="714">
        <f t="shared" si="1"/>
        <v>-3850</v>
      </c>
      <c r="AG39" s="715"/>
      <c r="AH39" s="716"/>
    </row>
    <row r="40" spans="3:49" s="322" customFormat="1" ht="19.5" customHeight="1" x14ac:dyDescent="0.2">
      <c r="C40" s="390"/>
      <c r="N40" s="278"/>
      <c r="O40" s="656" t="str">
        <f>"Fringes "&amp;P_TITLE</f>
        <v>Fringes Talent</v>
      </c>
      <c r="P40" s="656"/>
      <c r="Q40" s="656"/>
      <c r="R40" s="656"/>
      <c r="S40" s="656"/>
      <c r="T40" s="656"/>
      <c r="U40" s="656"/>
      <c r="V40" s="657"/>
      <c r="W40" s="658">
        <f>W39*thisSheetFringes</f>
        <v>0</v>
      </c>
      <c r="X40" s="659"/>
      <c r="Y40" s="659"/>
      <c r="Z40" s="660"/>
      <c r="AB40" s="658">
        <v>0</v>
      </c>
      <c r="AC40" s="659"/>
      <c r="AD40" s="660"/>
      <c r="AF40" s="714">
        <f t="shared" si="1"/>
        <v>0</v>
      </c>
      <c r="AG40" s="715"/>
      <c r="AH40" s="716"/>
    </row>
    <row r="41" spans="3:49" ht="16.25" customHeight="1" x14ac:dyDescent="0.2">
      <c r="C41" s="33"/>
      <c r="D41" s="10"/>
      <c r="E41" s="10"/>
      <c r="F41" s="10"/>
      <c r="G41" s="10"/>
      <c r="H41" s="10"/>
      <c r="I41" s="10"/>
      <c r="J41" s="10"/>
      <c r="K41" s="10"/>
      <c r="L41" s="10"/>
      <c r="M41" s="10"/>
      <c r="N41" s="10"/>
      <c r="O41" s="10"/>
      <c r="P41" s="14"/>
      <c r="Q41" s="16"/>
      <c r="R41" s="16"/>
      <c r="S41" s="15"/>
      <c r="T41" s="10"/>
      <c r="U41" s="10"/>
      <c r="V41" s="10"/>
      <c r="W41" s="10"/>
      <c r="X41" s="179"/>
      <c r="Y41" s="179"/>
      <c r="Z41" s="175"/>
      <c r="AB41" s="78"/>
      <c r="AC41" s="78"/>
      <c r="AD41" s="174"/>
      <c r="AF41" s="78"/>
      <c r="AG41" s="78"/>
      <c r="AH41" s="174"/>
    </row>
    <row r="42" spans="3:49" s="110" customFormat="1" ht="16.25" customHeight="1" x14ac:dyDescent="0.2">
      <c r="C42" s="152"/>
      <c r="D42" s="116"/>
      <c r="E42" s="116" t="s">
        <v>146</v>
      </c>
      <c r="F42" s="130"/>
      <c r="G42" s="130"/>
      <c r="H42" s="130"/>
      <c r="I42" s="130"/>
      <c r="J42" s="130"/>
      <c r="K42" s="130"/>
      <c r="L42" s="130"/>
      <c r="M42" s="130"/>
      <c r="N42" s="800"/>
      <c r="O42" s="800"/>
      <c r="P42" s="130"/>
      <c r="Q42" s="800"/>
      <c r="R42" s="800"/>
      <c r="S42" s="130"/>
      <c r="T42" s="130"/>
      <c r="U42" s="130"/>
      <c r="V42" s="130"/>
      <c r="W42" s="130"/>
      <c r="X42" s="724" t="s">
        <v>370</v>
      </c>
      <c r="Y42" s="724"/>
      <c r="Z42" s="725"/>
      <c r="AA42" s="7"/>
      <c r="AB42" s="746" t="s">
        <v>363</v>
      </c>
      <c r="AC42" s="747"/>
      <c r="AD42" s="748"/>
      <c r="AF42" s="746" t="s">
        <v>447</v>
      </c>
      <c r="AG42" s="747"/>
      <c r="AH42" s="748"/>
      <c r="AJ42" s="811" t="s">
        <v>389</v>
      </c>
      <c r="AK42" s="812"/>
      <c r="AL42" s="812"/>
      <c r="AM42" s="812"/>
      <c r="AN42" s="812"/>
      <c r="AO42" s="812"/>
    </row>
    <row r="43" spans="3:49" s="51" customFormat="1" ht="19.5" customHeight="1" x14ac:dyDescent="0.15">
      <c r="C43" s="757">
        <f>C38+1</f>
        <v>28</v>
      </c>
      <c r="D43" s="419"/>
      <c r="E43" s="700" t="s">
        <v>305</v>
      </c>
      <c r="F43" s="700"/>
      <c r="G43" s="700"/>
      <c r="H43" s="700"/>
      <c r="I43" s="700"/>
      <c r="J43" s="700"/>
      <c r="K43" s="700"/>
      <c r="L43" s="700"/>
      <c r="M43" s="700"/>
      <c r="N43" s="700"/>
      <c r="O43" s="700"/>
      <c r="P43" s="310" t="s">
        <v>415</v>
      </c>
      <c r="Q43" s="321"/>
      <c r="R43" s="321"/>
      <c r="S43" s="321"/>
      <c r="T43" s="321"/>
      <c r="U43" s="321"/>
      <c r="V43" s="321"/>
      <c r="W43" s="664">
        <f>W39*N43*0.01</f>
        <v>0</v>
      </c>
      <c r="X43" s="664"/>
      <c r="Y43" s="664"/>
      <c r="Z43" s="665"/>
      <c r="AB43" s="663">
        <v>0</v>
      </c>
      <c r="AC43" s="664"/>
      <c r="AD43" s="665"/>
      <c r="AF43" s="663">
        <f t="shared" ref="AF43:AF49" si="13">AB43-W43</f>
        <v>0</v>
      </c>
      <c r="AG43" s="664"/>
      <c r="AH43" s="665"/>
      <c r="AJ43" s="813" t="s">
        <v>390</v>
      </c>
      <c r="AK43" s="814"/>
      <c r="AL43" s="814"/>
      <c r="AM43" s="813" t="s">
        <v>391</v>
      </c>
      <c r="AN43" s="814"/>
      <c r="AO43" s="815"/>
    </row>
    <row r="44" spans="3:49" s="51" customFormat="1" ht="19.5" customHeight="1" x14ac:dyDescent="0.15">
      <c r="C44" s="757">
        <f>C43+1</f>
        <v>29</v>
      </c>
      <c r="D44" s="419"/>
      <c r="E44" s="700" t="s">
        <v>306</v>
      </c>
      <c r="F44" s="700"/>
      <c r="G44" s="700"/>
      <c r="H44" s="700"/>
      <c r="I44" s="700"/>
      <c r="J44" s="700"/>
      <c r="K44" s="700"/>
      <c r="L44" s="700"/>
      <c r="M44" s="700"/>
      <c r="N44" s="700"/>
      <c r="O44" s="700"/>
      <c r="P44" s="310" t="s">
        <v>415</v>
      </c>
      <c r="Q44" s="321"/>
      <c r="R44" s="321"/>
      <c r="S44" s="321"/>
      <c r="T44" s="321"/>
      <c r="U44" s="321"/>
      <c r="V44" s="321"/>
      <c r="W44" s="664">
        <f>W39*N44*0.01</f>
        <v>0</v>
      </c>
      <c r="X44" s="664"/>
      <c r="Y44" s="664"/>
      <c r="Z44" s="665"/>
      <c r="AB44" s="663">
        <v>0</v>
      </c>
      <c r="AC44" s="664"/>
      <c r="AD44" s="665"/>
      <c r="AF44" s="663">
        <f t="shared" si="13"/>
        <v>0</v>
      </c>
      <c r="AG44" s="664"/>
      <c r="AH44" s="665"/>
      <c r="AJ44" s="816">
        <v>0</v>
      </c>
      <c r="AK44" s="817"/>
      <c r="AL44" s="818"/>
      <c r="AM44" s="816">
        <v>0</v>
      </c>
      <c r="AN44" s="817"/>
      <c r="AO44" s="818"/>
    </row>
    <row r="45" spans="3:49" s="51" customFormat="1" ht="19.5" customHeight="1" x14ac:dyDescent="0.15">
      <c r="C45" s="757">
        <f t="shared" ref="C45:C47" si="14">C44+1</f>
        <v>30</v>
      </c>
      <c r="D45" s="419"/>
      <c r="E45" s="700" t="s">
        <v>307</v>
      </c>
      <c r="F45" s="700"/>
      <c r="G45" s="700"/>
      <c r="H45" s="700"/>
      <c r="I45" s="700"/>
      <c r="J45" s="700"/>
      <c r="K45" s="700"/>
      <c r="L45" s="700"/>
      <c r="M45" s="700"/>
      <c r="N45" s="309"/>
      <c r="O45" s="309" t="s">
        <v>140</v>
      </c>
      <c r="P45" s="310" t="s">
        <v>117</v>
      </c>
      <c r="Q45" s="789"/>
      <c r="R45" s="789"/>
      <c r="S45" s="311" t="s">
        <v>143</v>
      </c>
      <c r="T45" s="309"/>
      <c r="U45" s="279"/>
      <c r="V45" s="279"/>
      <c r="W45" s="664">
        <f>N45*Q45*(IF(ISNUMBER(T45),T45,IF(ISNUMBER(N45),1,0)))</f>
        <v>0</v>
      </c>
      <c r="X45" s="664"/>
      <c r="Y45" s="664"/>
      <c r="Z45" s="665"/>
      <c r="AB45" s="663">
        <v>0</v>
      </c>
      <c r="AC45" s="664"/>
      <c r="AD45" s="665"/>
      <c r="AF45" s="663">
        <f t="shared" si="13"/>
        <v>0</v>
      </c>
      <c r="AG45" s="664"/>
      <c r="AH45" s="665"/>
    </row>
    <row r="46" spans="3:49" s="51" customFormat="1" ht="19.5" customHeight="1" x14ac:dyDescent="0.15">
      <c r="C46" s="757">
        <f t="shared" si="14"/>
        <v>31</v>
      </c>
      <c r="D46" s="419"/>
      <c r="E46" s="700"/>
      <c r="F46" s="700"/>
      <c r="G46" s="700"/>
      <c r="H46" s="700"/>
      <c r="I46" s="700"/>
      <c r="J46" s="700"/>
      <c r="K46" s="700"/>
      <c r="L46" s="700"/>
      <c r="M46" s="700"/>
      <c r="N46" s="309"/>
      <c r="O46" s="309" t="s">
        <v>140</v>
      </c>
      <c r="P46" s="310" t="s">
        <v>117</v>
      </c>
      <c r="Q46" s="789"/>
      <c r="R46" s="789"/>
      <c r="S46" s="311" t="s">
        <v>143</v>
      </c>
      <c r="T46" s="309"/>
      <c r="U46" s="279"/>
      <c r="V46" s="279"/>
      <c r="W46" s="664">
        <f>N46*Q46*(IF(ISNUMBER(T46),T46,IF(ISNUMBER(N46),1,0)))</f>
        <v>0</v>
      </c>
      <c r="X46" s="664"/>
      <c r="Y46" s="664"/>
      <c r="Z46" s="665"/>
      <c r="AB46" s="663">
        <v>0</v>
      </c>
      <c r="AC46" s="664"/>
      <c r="AD46" s="665"/>
      <c r="AF46" s="663">
        <f t="shared" si="13"/>
        <v>0</v>
      </c>
      <c r="AG46" s="664"/>
      <c r="AH46" s="665"/>
      <c r="AJ46" s="819" t="s">
        <v>387</v>
      </c>
      <c r="AK46" s="820"/>
      <c r="AL46" s="820"/>
      <c r="AM46" s="820"/>
      <c r="AN46" s="820"/>
      <c r="AO46" s="820"/>
    </row>
    <row r="47" spans="3:49" s="51" customFormat="1" ht="19.5" customHeight="1" x14ac:dyDescent="0.15">
      <c r="C47" s="757">
        <f t="shared" si="14"/>
        <v>32</v>
      </c>
      <c r="D47" s="419"/>
      <c r="E47" s="700"/>
      <c r="F47" s="700"/>
      <c r="G47" s="700"/>
      <c r="H47" s="700"/>
      <c r="I47" s="700"/>
      <c r="J47" s="700"/>
      <c r="K47" s="700"/>
      <c r="L47" s="700"/>
      <c r="M47" s="700"/>
      <c r="N47" s="309"/>
      <c r="O47" s="309" t="s">
        <v>140</v>
      </c>
      <c r="P47" s="310" t="s">
        <v>117</v>
      </c>
      <c r="Q47" s="789"/>
      <c r="R47" s="789"/>
      <c r="S47" s="311" t="s">
        <v>143</v>
      </c>
      <c r="T47" s="309"/>
      <c r="U47" s="279"/>
      <c r="V47" s="279"/>
      <c r="W47" s="664">
        <f>N47*Q47*(IF(ISNUMBER(T47),T47,IF(ISNUMBER(N47),1,0)))</f>
        <v>0</v>
      </c>
      <c r="X47" s="664"/>
      <c r="Y47" s="664"/>
      <c r="Z47" s="665"/>
      <c r="AB47" s="663">
        <v>0</v>
      </c>
      <c r="AC47" s="664"/>
      <c r="AD47" s="665"/>
      <c r="AF47" s="663">
        <f t="shared" si="13"/>
        <v>0</v>
      </c>
      <c r="AG47" s="664"/>
      <c r="AH47" s="665"/>
      <c r="AJ47" s="813" t="str">
        <f>C8</f>
        <v>P1a.</v>
      </c>
      <c r="AK47" s="814"/>
      <c r="AL47" s="814"/>
      <c r="AM47" s="813" t="str">
        <f>C51</f>
        <v>P1b.</v>
      </c>
      <c r="AN47" s="814"/>
      <c r="AO47" s="815"/>
    </row>
    <row r="48" spans="3:49" s="322" customFormat="1" ht="19.5" customHeight="1" x14ac:dyDescent="0.2">
      <c r="C48" s="390"/>
      <c r="N48" s="308"/>
      <c r="O48" s="779" t="str">
        <f>"Handling Fee "&amp;P_TITLE</f>
        <v>Handling Fee Talent</v>
      </c>
      <c r="P48" s="779"/>
      <c r="Q48" s="779"/>
      <c r="R48" s="779"/>
      <c r="S48" s="779"/>
      <c r="T48" s="779"/>
      <c r="U48" s="779"/>
      <c r="V48" s="780"/>
      <c r="W48" s="803">
        <f>(SUM(W43:Z47)+(W39+W40))*AJ48</f>
        <v>0</v>
      </c>
      <c r="X48" s="804"/>
      <c r="Y48" s="804"/>
      <c r="Z48" s="805"/>
      <c r="AB48" s="806">
        <f>W48</f>
        <v>0</v>
      </c>
      <c r="AC48" s="807"/>
      <c r="AD48" s="808"/>
      <c r="AF48" s="806">
        <f t="shared" si="13"/>
        <v>0</v>
      </c>
      <c r="AG48" s="807"/>
      <c r="AH48" s="808"/>
      <c r="AJ48" s="821">
        <v>0</v>
      </c>
      <c r="AK48" s="822"/>
      <c r="AL48" s="823"/>
      <c r="AM48" s="821">
        <v>0</v>
      </c>
      <c r="AN48" s="822"/>
      <c r="AO48" s="823"/>
    </row>
    <row r="49" spans="3:42" s="322" customFormat="1" ht="19.5" customHeight="1" x14ac:dyDescent="0.2">
      <c r="C49" s="390"/>
      <c r="N49" s="71"/>
      <c r="O49" s="777" t="str">
        <f>"Total "&amp;P_TITLE</f>
        <v>Total Talent</v>
      </c>
      <c r="P49" s="777"/>
      <c r="Q49" s="777"/>
      <c r="R49" s="777"/>
      <c r="S49" s="777"/>
      <c r="T49" s="777"/>
      <c r="U49" s="777"/>
      <c r="V49" s="778"/>
      <c r="W49" s="784">
        <f>W48+W40+W39+SUM(W43:Z47)</f>
        <v>3850</v>
      </c>
      <c r="X49" s="785"/>
      <c r="Y49" s="785"/>
      <c r="Z49" s="786"/>
      <c r="AB49" s="714">
        <f>AB48+AB40+AB39+SUM(AB43:AD47)</f>
        <v>0</v>
      </c>
      <c r="AC49" s="715"/>
      <c r="AD49" s="716"/>
      <c r="AF49" s="806">
        <f t="shared" si="13"/>
        <v>-3850</v>
      </c>
      <c r="AG49" s="807"/>
      <c r="AH49" s="808"/>
    </row>
    <row r="50" spans="3:42" ht="16.25" customHeight="1" x14ac:dyDescent="0.2">
      <c r="C50" s="32"/>
      <c r="D50" s="10"/>
      <c r="E50" s="10"/>
      <c r="F50" s="11"/>
      <c r="G50" s="11"/>
      <c r="H50" s="11"/>
      <c r="I50" s="11"/>
      <c r="J50" s="11"/>
      <c r="K50" s="11"/>
      <c r="L50" s="11"/>
      <c r="M50" s="11"/>
      <c r="N50" s="10"/>
      <c r="O50" s="10"/>
      <c r="P50" s="10"/>
      <c r="Q50" s="16"/>
      <c r="R50" s="16"/>
      <c r="S50" s="10"/>
      <c r="T50" s="10"/>
      <c r="U50" s="10"/>
      <c r="V50" s="10"/>
      <c r="W50" s="10"/>
      <c r="X50" s="26"/>
      <c r="Y50" s="26"/>
      <c r="Z50" s="26"/>
      <c r="AB50" s="52"/>
      <c r="AC50" s="52"/>
      <c r="AD50" s="52"/>
      <c r="AF50" s="52"/>
      <c r="AG50" s="52"/>
      <c r="AH50" s="52"/>
      <c r="AP50"/>
    </row>
    <row r="51" spans="3:42" s="323" customFormat="1" ht="20" customHeight="1" x14ac:dyDescent="0.2">
      <c r="C51" s="184" t="s">
        <v>529</v>
      </c>
      <c r="D51" s="17" t="str">
        <f>P_TITLE&amp;" Expenses"</f>
        <v>Talent Expenses</v>
      </c>
      <c r="E51" s="5"/>
      <c r="F51" s="349"/>
      <c r="G51" s="349"/>
      <c r="H51" s="349"/>
      <c r="I51" s="349"/>
      <c r="J51" s="349"/>
      <c r="K51" s="349"/>
      <c r="L51" s="349"/>
      <c r="M51" s="349"/>
      <c r="N51" s="349"/>
      <c r="O51" s="349"/>
      <c r="P51" s="349"/>
      <c r="Q51" s="360"/>
      <c r="R51" s="360"/>
      <c r="S51" s="349"/>
      <c r="T51" s="349"/>
      <c r="U51" s="349"/>
      <c r="V51" s="349"/>
      <c r="W51" s="809"/>
      <c r="X51" s="809"/>
      <c r="Y51" s="809"/>
      <c r="Z51" s="810"/>
      <c r="AB51" s="354"/>
      <c r="AC51" s="354"/>
      <c r="AD51" s="354"/>
      <c r="AF51" s="354"/>
      <c r="AG51" s="354"/>
      <c r="AH51" s="354"/>
    </row>
    <row r="52" spans="3:42" s="110" customFormat="1" ht="16.25" customHeight="1" x14ac:dyDescent="0.15">
      <c r="C52" s="152"/>
      <c r="D52" s="116"/>
      <c r="E52" s="116" t="s">
        <v>384</v>
      </c>
      <c r="F52" s="130"/>
      <c r="G52" s="130"/>
      <c r="H52" s="130"/>
      <c r="I52" s="130"/>
      <c r="J52" s="130"/>
      <c r="K52" s="130"/>
      <c r="L52" s="130"/>
      <c r="M52" s="130"/>
      <c r="N52" s="800" t="s">
        <v>400</v>
      </c>
      <c r="O52" s="800"/>
      <c r="P52" s="130"/>
      <c r="Q52" s="800" t="s">
        <v>220</v>
      </c>
      <c r="R52" s="800"/>
      <c r="S52" s="130"/>
      <c r="T52" s="116" t="s">
        <v>375</v>
      </c>
      <c r="U52" s="130"/>
      <c r="V52" s="130"/>
      <c r="W52" s="130"/>
      <c r="X52" s="724" t="s">
        <v>370</v>
      </c>
      <c r="Y52" s="724"/>
      <c r="Z52" s="725"/>
      <c r="AB52" s="746" t="s">
        <v>363</v>
      </c>
      <c r="AC52" s="747"/>
      <c r="AD52" s="748"/>
      <c r="AF52" s="746" t="s">
        <v>447</v>
      </c>
      <c r="AG52" s="747"/>
      <c r="AH52" s="748"/>
    </row>
    <row r="53" spans="3:42" s="51" customFormat="1" ht="19.5" customHeight="1" x14ac:dyDescent="0.15">
      <c r="C53" s="757">
        <f>C47+1</f>
        <v>33</v>
      </c>
      <c r="D53" s="419"/>
      <c r="E53" s="419" t="s">
        <v>90</v>
      </c>
      <c r="F53" s="419"/>
      <c r="G53" s="419"/>
      <c r="H53" s="419"/>
      <c r="I53" s="419"/>
      <c r="J53" s="419"/>
      <c r="K53" s="419"/>
      <c r="L53" s="419"/>
      <c r="M53" s="419"/>
      <c r="N53" s="318"/>
      <c r="O53" s="318" t="s">
        <v>140</v>
      </c>
      <c r="P53" s="318" t="s">
        <v>117</v>
      </c>
      <c r="Q53" s="798"/>
      <c r="R53" s="798"/>
      <c r="S53" s="319" t="s">
        <v>143</v>
      </c>
      <c r="T53" s="318"/>
      <c r="U53" s="320"/>
      <c r="V53" s="320"/>
      <c r="W53" s="663">
        <f t="shared" ref="W53:W58" si="15">N53*Q53*(IF(ISNUMBER(T53),T53,IF(ISNUMBER(N53),1,0)))</f>
        <v>0</v>
      </c>
      <c r="X53" s="664"/>
      <c r="Y53" s="664"/>
      <c r="Z53" s="665"/>
      <c r="AB53" s="663">
        <v>0</v>
      </c>
      <c r="AC53" s="664"/>
      <c r="AD53" s="665"/>
      <c r="AF53" s="663">
        <f t="shared" ref="AF53:AF61" si="16">AB53-W53</f>
        <v>0</v>
      </c>
      <c r="AG53" s="664"/>
      <c r="AH53" s="665"/>
    </row>
    <row r="54" spans="3:42" s="51" customFormat="1" ht="19.5" customHeight="1" x14ac:dyDescent="0.15">
      <c r="C54" s="757">
        <f t="shared" ref="C54:C58" si="17">C53+1</f>
        <v>34</v>
      </c>
      <c r="D54" s="419"/>
      <c r="E54" s="419" t="s">
        <v>91</v>
      </c>
      <c r="F54" s="419"/>
      <c r="G54" s="419"/>
      <c r="H54" s="419"/>
      <c r="I54" s="419"/>
      <c r="J54" s="419"/>
      <c r="K54" s="419"/>
      <c r="L54" s="419"/>
      <c r="M54" s="419"/>
      <c r="N54" s="318"/>
      <c r="O54" s="318" t="s">
        <v>140</v>
      </c>
      <c r="P54" s="318" t="s">
        <v>117</v>
      </c>
      <c r="Q54" s="798"/>
      <c r="R54" s="798"/>
      <c r="S54" s="319" t="s">
        <v>143</v>
      </c>
      <c r="T54" s="318"/>
      <c r="U54" s="318"/>
      <c r="V54" s="318"/>
      <c r="W54" s="663">
        <f t="shared" si="15"/>
        <v>0</v>
      </c>
      <c r="X54" s="664"/>
      <c r="Y54" s="664"/>
      <c r="Z54" s="665"/>
      <c r="AB54" s="663">
        <v>0</v>
      </c>
      <c r="AC54" s="664"/>
      <c r="AD54" s="665"/>
      <c r="AF54" s="663">
        <f t="shared" si="16"/>
        <v>0</v>
      </c>
      <c r="AG54" s="664"/>
      <c r="AH54" s="665"/>
    </row>
    <row r="55" spans="3:42" s="51" customFormat="1" ht="19.5" customHeight="1" x14ac:dyDescent="0.15">
      <c r="C55" s="757">
        <f t="shared" si="17"/>
        <v>35</v>
      </c>
      <c r="D55" s="419"/>
      <c r="E55" s="419" t="s">
        <v>229</v>
      </c>
      <c r="F55" s="419"/>
      <c r="G55" s="419"/>
      <c r="H55" s="419"/>
      <c r="I55" s="419"/>
      <c r="J55" s="419"/>
      <c r="K55" s="419"/>
      <c r="L55" s="419"/>
      <c r="M55" s="419"/>
      <c r="N55" s="318"/>
      <c r="O55" s="318" t="s">
        <v>140</v>
      </c>
      <c r="P55" s="318" t="s">
        <v>117</v>
      </c>
      <c r="Q55" s="798"/>
      <c r="R55" s="798"/>
      <c r="S55" s="319" t="s">
        <v>143</v>
      </c>
      <c r="T55" s="318"/>
      <c r="U55" s="318"/>
      <c r="V55" s="318"/>
      <c r="W55" s="663">
        <f t="shared" si="15"/>
        <v>0</v>
      </c>
      <c r="X55" s="664"/>
      <c r="Y55" s="664"/>
      <c r="Z55" s="665"/>
      <c r="AB55" s="663">
        <v>0</v>
      </c>
      <c r="AC55" s="664"/>
      <c r="AD55" s="665"/>
      <c r="AF55" s="663">
        <f t="shared" si="16"/>
        <v>0</v>
      </c>
      <c r="AG55" s="664"/>
      <c r="AH55" s="665"/>
    </row>
    <row r="56" spans="3:42" s="51" customFormat="1" ht="19.5" customHeight="1" x14ac:dyDescent="0.15">
      <c r="C56" s="757">
        <f t="shared" si="17"/>
        <v>36</v>
      </c>
      <c r="D56" s="419"/>
      <c r="E56" s="419"/>
      <c r="F56" s="419"/>
      <c r="G56" s="419"/>
      <c r="H56" s="419"/>
      <c r="I56" s="419"/>
      <c r="J56" s="419"/>
      <c r="K56" s="419"/>
      <c r="L56" s="419"/>
      <c r="M56" s="419"/>
      <c r="N56" s="318"/>
      <c r="O56" s="318" t="s">
        <v>140</v>
      </c>
      <c r="P56" s="318" t="s">
        <v>117</v>
      </c>
      <c r="Q56" s="798"/>
      <c r="R56" s="798"/>
      <c r="S56" s="319" t="s">
        <v>143</v>
      </c>
      <c r="T56" s="318"/>
      <c r="U56" s="318"/>
      <c r="V56" s="318"/>
      <c r="W56" s="663">
        <f t="shared" si="15"/>
        <v>0</v>
      </c>
      <c r="X56" s="664"/>
      <c r="Y56" s="664"/>
      <c r="Z56" s="665"/>
      <c r="AB56" s="663">
        <v>0</v>
      </c>
      <c r="AC56" s="664"/>
      <c r="AD56" s="665"/>
      <c r="AF56" s="663">
        <f t="shared" si="16"/>
        <v>0</v>
      </c>
      <c r="AG56" s="664"/>
      <c r="AH56" s="665"/>
    </row>
    <row r="57" spans="3:42" s="51" customFormat="1" ht="19.5" customHeight="1" x14ac:dyDescent="0.15">
      <c r="C57" s="757">
        <f t="shared" si="17"/>
        <v>37</v>
      </c>
      <c r="D57" s="419"/>
      <c r="E57" s="419"/>
      <c r="F57" s="419"/>
      <c r="G57" s="419"/>
      <c r="H57" s="419"/>
      <c r="I57" s="419"/>
      <c r="J57" s="419"/>
      <c r="K57" s="419"/>
      <c r="L57" s="419"/>
      <c r="M57" s="419"/>
      <c r="N57" s="318"/>
      <c r="O57" s="318" t="s">
        <v>140</v>
      </c>
      <c r="P57" s="318" t="s">
        <v>117</v>
      </c>
      <c r="Q57" s="798"/>
      <c r="R57" s="798"/>
      <c r="S57" s="319" t="s">
        <v>143</v>
      </c>
      <c r="T57" s="318"/>
      <c r="U57" s="318"/>
      <c r="V57" s="318"/>
      <c r="W57" s="663">
        <f t="shared" si="15"/>
        <v>0</v>
      </c>
      <c r="X57" s="664"/>
      <c r="Y57" s="664"/>
      <c r="Z57" s="665"/>
      <c r="AB57" s="663">
        <v>0</v>
      </c>
      <c r="AC57" s="664"/>
      <c r="AD57" s="665"/>
      <c r="AF57" s="663">
        <f t="shared" si="16"/>
        <v>0</v>
      </c>
      <c r="AG57" s="664"/>
      <c r="AH57" s="665"/>
    </row>
    <row r="58" spans="3:42" s="51" customFormat="1" ht="19.5" customHeight="1" x14ac:dyDescent="0.15">
      <c r="C58" s="757">
        <f t="shared" si="17"/>
        <v>38</v>
      </c>
      <c r="D58" s="419"/>
      <c r="E58" s="419"/>
      <c r="F58" s="419"/>
      <c r="G58" s="419"/>
      <c r="H58" s="419"/>
      <c r="I58" s="419"/>
      <c r="J58" s="419"/>
      <c r="K58" s="419"/>
      <c r="L58" s="419"/>
      <c r="M58" s="419"/>
      <c r="N58" s="318"/>
      <c r="O58" s="318" t="s">
        <v>140</v>
      </c>
      <c r="P58" s="318" t="s">
        <v>117</v>
      </c>
      <c r="Q58" s="798"/>
      <c r="R58" s="798"/>
      <c r="S58" s="319" t="s">
        <v>143</v>
      </c>
      <c r="T58" s="318"/>
      <c r="U58" s="318"/>
      <c r="V58" s="318"/>
      <c r="W58" s="663">
        <f t="shared" si="15"/>
        <v>0</v>
      </c>
      <c r="X58" s="664"/>
      <c r="Y58" s="664"/>
      <c r="Z58" s="665"/>
      <c r="AB58" s="663">
        <v>0</v>
      </c>
      <c r="AC58" s="664"/>
      <c r="AD58" s="665"/>
      <c r="AF58" s="663">
        <f t="shared" si="16"/>
        <v>0</v>
      </c>
      <c r="AG58" s="664"/>
      <c r="AH58" s="665"/>
    </row>
    <row r="59" spans="3:42" s="322" customFormat="1" ht="19.5" customHeight="1" x14ac:dyDescent="0.2">
      <c r="C59" s="390"/>
      <c r="N59" s="71"/>
      <c r="O59" s="777" t="str">
        <f>"Sub Total "&amp;D51</f>
        <v>Sub Total Talent Expenses</v>
      </c>
      <c r="P59" s="777"/>
      <c r="Q59" s="777"/>
      <c r="R59" s="777"/>
      <c r="S59" s="777"/>
      <c r="T59" s="777"/>
      <c r="U59" s="777"/>
      <c r="V59" s="778"/>
      <c r="W59" s="658">
        <f>SUM(W53:Z58)</f>
        <v>0</v>
      </c>
      <c r="X59" s="659"/>
      <c r="Y59" s="659"/>
      <c r="Z59" s="660"/>
      <c r="AB59" s="714">
        <f>SUM(AB53:AD58)</f>
        <v>0</v>
      </c>
      <c r="AC59" s="715"/>
      <c r="AD59" s="716"/>
      <c r="AF59" s="714">
        <f t="shared" si="16"/>
        <v>0</v>
      </c>
      <c r="AG59" s="715"/>
      <c r="AH59" s="716"/>
    </row>
    <row r="60" spans="3:42" s="322" customFormat="1" ht="19.5" customHeight="1" x14ac:dyDescent="0.2">
      <c r="C60" s="390"/>
      <c r="N60" s="71"/>
      <c r="O60" s="777" t="str">
        <f>"Handling Fee "&amp;D51</f>
        <v>Handling Fee Talent Expenses</v>
      </c>
      <c r="P60" s="777"/>
      <c r="Q60" s="777"/>
      <c r="R60" s="777"/>
      <c r="S60" s="777"/>
      <c r="T60" s="777"/>
      <c r="U60" s="777"/>
      <c r="V60" s="778"/>
      <c r="W60" s="658">
        <f>W59*AM48</f>
        <v>0</v>
      </c>
      <c r="X60" s="659"/>
      <c r="Y60" s="659"/>
      <c r="Z60" s="660"/>
      <c r="AB60" s="714">
        <f>W60</f>
        <v>0</v>
      </c>
      <c r="AC60" s="715"/>
      <c r="AD60" s="716"/>
      <c r="AF60" s="714">
        <f t="shared" si="16"/>
        <v>0</v>
      </c>
      <c r="AG60" s="715"/>
      <c r="AH60" s="716"/>
    </row>
    <row r="61" spans="3:42" s="322" customFormat="1" ht="19.5" customHeight="1" x14ac:dyDescent="0.2">
      <c r="C61" s="390"/>
      <c r="N61" s="71"/>
      <c r="O61" s="777" t="str">
        <f>"Total "&amp;D51</f>
        <v>Total Talent Expenses</v>
      </c>
      <c r="P61" s="777"/>
      <c r="Q61" s="777"/>
      <c r="R61" s="777"/>
      <c r="S61" s="777"/>
      <c r="T61" s="777"/>
      <c r="U61" s="777"/>
      <c r="V61" s="778"/>
      <c r="W61" s="784">
        <f>W59+W60</f>
        <v>0</v>
      </c>
      <c r="X61" s="785"/>
      <c r="Y61" s="785"/>
      <c r="Z61" s="786"/>
      <c r="AB61" s="714">
        <f>SUM(AB59:AD60)</f>
        <v>0</v>
      </c>
      <c r="AC61" s="715"/>
      <c r="AD61" s="716"/>
      <c r="AF61" s="714">
        <f t="shared" si="16"/>
        <v>0</v>
      </c>
      <c r="AG61" s="715"/>
      <c r="AH61" s="716"/>
    </row>
    <row r="62" spans="3:42" s="322" customFormat="1" ht="7.5" customHeight="1" x14ac:dyDescent="0.2">
      <c r="C62" s="390"/>
      <c r="O62" s="766"/>
      <c r="P62" s="766"/>
      <c r="Q62" s="766"/>
      <c r="R62" s="766"/>
      <c r="S62" s="766"/>
      <c r="T62" s="766"/>
      <c r="U62" s="766"/>
      <c r="V62" s="766"/>
      <c r="X62" s="386"/>
      <c r="Y62" s="386"/>
      <c r="Z62" s="386"/>
      <c r="AB62" s="386"/>
      <c r="AC62" s="386"/>
      <c r="AD62" s="386"/>
      <c r="AF62" s="386"/>
      <c r="AG62" s="386"/>
      <c r="AH62" s="386"/>
    </row>
    <row r="63" spans="3:42" s="322" customFormat="1" ht="16.25" customHeight="1" x14ac:dyDescent="0.2">
      <c r="C63" s="390"/>
      <c r="N63" s="71"/>
      <c r="O63" s="777" t="s">
        <v>530</v>
      </c>
      <c r="P63" s="777"/>
      <c r="Q63" s="777"/>
      <c r="R63" s="777"/>
      <c r="S63" s="777"/>
      <c r="T63" s="777"/>
      <c r="U63" s="777"/>
      <c r="V63" s="778"/>
      <c r="W63" s="784">
        <f>W61+W49</f>
        <v>3850</v>
      </c>
      <c r="X63" s="785"/>
      <c r="Y63" s="785"/>
      <c r="Z63" s="786"/>
      <c r="AB63" s="714">
        <f>AB61+AB49</f>
        <v>0</v>
      </c>
      <c r="AC63" s="715"/>
      <c r="AD63" s="716"/>
      <c r="AF63" s="714">
        <f>AB63-P_TOT</f>
        <v>-3850</v>
      </c>
      <c r="AG63" s="715"/>
      <c r="AH63" s="716"/>
    </row>
    <row r="64" spans="3:42" customFormat="1" ht="16.25" customHeight="1" x14ac:dyDescent="0.2">
      <c r="C64" s="27"/>
      <c r="Q64" s="45"/>
      <c r="R64" s="45"/>
      <c r="S64" s="7"/>
      <c r="T64" s="7"/>
      <c r="U64" s="7"/>
      <c r="V64" s="7"/>
      <c r="W64" s="7"/>
      <c r="X64" s="23"/>
      <c r="Y64" s="23"/>
      <c r="Z64" s="23"/>
      <c r="AB64" s="23"/>
      <c r="AC64" s="23"/>
      <c r="AD64" s="23"/>
      <c r="AF64" s="23"/>
      <c r="AG64" s="23"/>
      <c r="AH64" s="23"/>
    </row>
    <row r="65" spans="3:34" customFormat="1" ht="16.25" customHeight="1" x14ac:dyDescent="0.2">
      <c r="C65" s="27"/>
      <c r="Q65" s="45"/>
      <c r="R65" s="45"/>
      <c r="S65" s="7"/>
      <c r="T65" s="7"/>
      <c r="U65" s="7"/>
      <c r="V65" s="7"/>
      <c r="W65" s="7"/>
      <c r="X65" s="23"/>
      <c r="Y65" s="23"/>
      <c r="Z65" s="23"/>
      <c r="AB65" s="23"/>
      <c r="AC65" s="23"/>
      <c r="AD65" s="23"/>
      <c r="AF65" s="23"/>
      <c r="AG65" s="23"/>
      <c r="AH65" s="23"/>
    </row>
    <row r="68" spans="3:34" customFormat="1" ht="16.25" customHeight="1" x14ac:dyDescent="0.2">
      <c r="C68" s="27"/>
      <c r="Q68" s="45"/>
      <c r="R68" s="45"/>
      <c r="X68" s="23"/>
      <c r="Y68" s="23"/>
      <c r="Z68" s="23"/>
      <c r="AB68" s="23"/>
      <c r="AC68" s="23"/>
      <c r="AD68" s="23"/>
      <c r="AF68" s="23"/>
      <c r="AG68" s="23"/>
      <c r="AH68" s="23"/>
    </row>
    <row r="69" spans="3:34" customFormat="1" ht="16.25" customHeight="1" x14ac:dyDescent="0.2">
      <c r="C69" s="27"/>
      <c r="Q69" s="45"/>
      <c r="R69" s="45"/>
      <c r="X69" s="23"/>
      <c r="Y69" s="23"/>
      <c r="Z69" s="23"/>
      <c r="AB69" s="23"/>
      <c r="AC69" s="23"/>
      <c r="AD69" s="23"/>
      <c r="AF69" s="23"/>
      <c r="AG69" s="23"/>
      <c r="AH69" s="23"/>
    </row>
    <row r="70" spans="3:34" customFormat="1" ht="16.25" customHeight="1" x14ac:dyDescent="0.2">
      <c r="C70" s="27"/>
      <c r="Q70" s="45"/>
      <c r="R70" s="45"/>
      <c r="X70" s="23"/>
      <c r="Y70" s="23"/>
      <c r="Z70" s="23"/>
      <c r="AB70" s="23"/>
      <c r="AC70" s="23"/>
      <c r="AD70" s="23"/>
      <c r="AF70" s="23"/>
      <c r="AG70" s="23"/>
      <c r="AH70" s="23"/>
    </row>
    <row r="71" spans="3:34" customFormat="1" ht="16.25" customHeight="1" x14ac:dyDescent="0.2">
      <c r="C71" s="27"/>
      <c r="Q71" s="45"/>
      <c r="R71" s="45"/>
      <c r="X71" s="23"/>
      <c r="Y71" s="23"/>
      <c r="Z71" s="23"/>
      <c r="AB71" s="23"/>
      <c r="AC71" s="23"/>
      <c r="AD71" s="23"/>
      <c r="AF71" s="23"/>
      <c r="AG71" s="23"/>
      <c r="AH71" s="23"/>
    </row>
    <row r="72" spans="3:34" customFormat="1" ht="16.25" customHeight="1" x14ac:dyDescent="0.2">
      <c r="C72" s="27"/>
      <c r="Q72" s="45"/>
      <c r="R72" s="45"/>
      <c r="X72" s="23"/>
      <c r="Y72" s="23"/>
      <c r="Z72" s="23"/>
      <c r="AB72" s="23"/>
      <c r="AC72" s="23"/>
      <c r="AD72" s="23"/>
      <c r="AF72" s="23"/>
      <c r="AG72" s="23"/>
      <c r="AH72" s="23"/>
    </row>
    <row r="73" spans="3:34" customFormat="1" ht="16.25" customHeight="1" x14ac:dyDescent="0.2">
      <c r="C73" s="27"/>
      <c r="Q73" s="45"/>
      <c r="R73" s="45"/>
      <c r="X73" s="23"/>
      <c r="Y73" s="23"/>
      <c r="Z73" s="23"/>
      <c r="AB73" s="23"/>
      <c r="AC73" s="23"/>
      <c r="AD73" s="23"/>
      <c r="AF73" s="23"/>
      <c r="AG73" s="23"/>
      <c r="AH73" s="23"/>
    </row>
    <row r="74" spans="3:34" customFormat="1" ht="16.25" customHeight="1" x14ac:dyDescent="0.2">
      <c r="C74" s="27"/>
      <c r="Q74" s="45"/>
      <c r="R74" s="45"/>
      <c r="X74" s="23"/>
      <c r="Y74" s="23"/>
      <c r="Z74" s="23"/>
      <c r="AB74" s="23"/>
      <c r="AC74" s="23"/>
      <c r="AD74" s="23"/>
      <c r="AF74" s="23"/>
      <c r="AG74" s="23"/>
      <c r="AH74" s="23"/>
    </row>
    <row r="75" spans="3:34" customFormat="1" ht="16.25" customHeight="1" x14ac:dyDescent="0.2">
      <c r="C75" s="27"/>
      <c r="Q75" s="45"/>
      <c r="R75" s="45"/>
      <c r="X75" s="23"/>
      <c r="Y75" s="23"/>
      <c r="Z75" s="23"/>
      <c r="AB75" s="23"/>
      <c r="AC75" s="23"/>
      <c r="AD75" s="23"/>
      <c r="AF75" s="23"/>
      <c r="AG75" s="23"/>
      <c r="AH75" s="23"/>
    </row>
    <row r="76" spans="3:34" customFormat="1" ht="16.25" customHeight="1" x14ac:dyDescent="0.2">
      <c r="C76" s="27"/>
      <c r="Q76" s="45"/>
      <c r="R76" s="45"/>
      <c r="X76" s="23"/>
      <c r="Y76" s="23"/>
      <c r="Z76" s="23"/>
      <c r="AB76" s="23"/>
      <c r="AC76" s="23"/>
      <c r="AD76" s="23"/>
      <c r="AF76" s="23"/>
      <c r="AG76" s="23"/>
      <c r="AH76" s="23"/>
    </row>
    <row r="77" spans="3:34" customFormat="1" ht="15" customHeight="1" x14ac:dyDescent="0.2">
      <c r="C77" s="27"/>
      <c r="Q77" s="45"/>
      <c r="R77" s="45"/>
      <c r="X77" s="23"/>
      <c r="Y77" s="23"/>
      <c r="Z77" s="23"/>
      <c r="AB77" s="23"/>
      <c r="AC77" s="23"/>
      <c r="AD77" s="23"/>
      <c r="AF77" s="23"/>
      <c r="AG77" s="23"/>
      <c r="AH77" s="23"/>
    </row>
    <row r="78" spans="3:34" customFormat="1" ht="15" customHeight="1" x14ac:dyDescent="0.2">
      <c r="C78" s="27"/>
      <c r="Q78" s="45"/>
      <c r="R78" s="45"/>
      <c r="X78" s="23"/>
      <c r="Y78" s="23"/>
      <c r="Z78" s="23"/>
      <c r="AB78" s="23"/>
      <c r="AC78" s="23"/>
      <c r="AD78" s="23"/>
      <c r="AF78" s="23"/>
      <c r="AG78" s="23"/>
      <c r="AH78" s="23"/>
    </row>
    <row r="79" spans="3:34" customFormat="1" ht="15" customHeight="1" x14ac:dyDescent="0.2">
      <c r="C79" s="27"/>
      <c r="Q79" s="45"/>
      <c r="R79" s="45"/>
      <c r="X79" s="23"/>
      <c r="Y79" s="23"/>
      <c r="Z79" s="23"/>
      <c r="AB79" s="23"/>
      <c r="AC79" s="23"/>
      <c r="AD79" s="23"/>
      <c r="AF79" s="23"/>
      <c r="AG79" s="23"/>
      <c r="AH79" s="23"/>
    </row>
    <row r="80" spans="3:34" customFormat="1" ht="15" customHeight="1" x14ac:dyDescent="0.2">
      <c r="C80" s="27"/>
      <c r="Q80" s="45"/>
      <c r="R80" s="45"/>
      <c r="X80" s="23"/>
      <c r="Y80" s="23"/>
      <c r="Z80" s="23"/>
      <c r="AB80" s="23"/>
      <c r="AC80" s="23"/>
      <c r="AD80" s="23"/>
      <c r="AF80" s="23"/>
      <c r="AG80" s="23"/>
      <c r="AH80" s="23"/>
    </row>
    <row r="81" spans="3:34" customFormat="1" ht="15" customHeight="1" x14ac:dyDescent="0.2">
      <c r="C81" s="27"/>
      <c r="Q81" s="45"/>
      <c r="R81" s="45"/>
      <c r="X81" s="23"/>
      <c r="Y81" s="23"/>
      <c r="Z81" s="23"/>
      <c r="AB81" s="23"/>
      <c r="AC81" s="23"/>
      <c r="AD81" s="23"/>
      <c r="AF81" s="23"/>
      <c r="AG81" s="23"/>
      <c r="AH81" s="23"/>
    </row>
    <row r="82" spans="3:34" customFormat="1" ht="15" customHeight="1" x14ac:dyDescent="0.2">
      <c r="C82" s="27"/>
      <c r="Q82" s="45"/>
      <c r="R82" s="45"/>
      <c r="X82" s="23"/>
      <c r="Y82" s="23"/>
      <c r="Z82" s="23"/>
      <c r="AB82" s="23"/>
      <c r="AC82" s="23"/>
      <c r="AD82" s="23"/>
      <c r="AF82" s="23"/>
      <c r="AG82" s="23"/>
      <c r="AH82" s="23"/>
    </row>
    <row r="83" spans="3:34" customFormat="1" ht="16.25" customHeight="1" x14ac:dyDescent="0.2">
      <c r="C83" s="27"/>
      <c r="Q83" s="45"/>
      <c r="R83" s="45"/>
      <c r="X83" s="23"/>
      <c r="Y83" s="23"/>
      <c r="Z83" s="23"/>
      <c r="AB83" s="23"/>
      <c r="AC83" s="23"/>
      <c r="AD83" s="23"/>
      <c r="AF83" s="23"/>
      <c r="AG83" s="23"/>
      <c r="AH83" s="23"/>
    </row>
    <row r="84" spans="3:34" customFormat="1" ht="16" x14ac:dyDescent="0.2">
      <c r="C84" s="27"/>
      <c r="Q84" s="45"/>
      <c r="R84" s="45"/>
      <c r="X84" s="23"/>
      <c r="Y84" s="23"/>
      <c r="Z84" s="23"/>
      <c r="AB84" s="23"/>
      <c r="AC84" s="23"/>
      <c r="AD84" s="23"/>
      <c r="AF84" s="23"/>
      <c r="AG84" s="23"/>
      <c r="AH84" s="23"/>
    </row>
    <row r="85" spans="3:34" customFormat="1" ht="16" x14ac:dyDescent="0.2">
      <c r="C85" s="27"/>
      <c r="Q85" s="45"/>
      <c r="R85" s="45"/>
      <c r="X85" s="23"/>
      <c r="Y85" s="23"/>
      <c r="Z85" s="23"/>
      <c r="AB85" s="23"/>
      <c r="AC85" s="23"/>
      <c r="AD85" s="23"/>
      <c r="AF85" s="23"/>
      <c r="AG85" s="23"/>
      <c r="AH85" s="23"/>
    </row>
    <row r="86" spans="3:34" customFormat="1" ht="16" x14ac:dyDescent="0.2">
      <c r="C86" s="27"/>
      <c r="Q86" s="45"/>
      <c r="R86" s="45"/>
      <c r="X86" s="23"/>
      <c r="Y86" s="23"/>
      <c r="Z86" s="23"/>
      <c r="AB86" s="23"/>
      <c r="AC86" s="23"/>
      <c r="AD86" s="23"/>
      <c r="AF86" s="23"/>
      <c r="AG86" s="23"/>
      <c r="AH86" s="23"/>
    </row>
    <row r="87" spans="3:34" customFormat="1" ht="16" x14ac:dyDescent="0.2">
      <c r="C87" s="27"/>
      <c r="Q87" s="45"/>
      <c r="R87" s="45"/>
      <c r="X87" s="23"/>
      <c r="Y87" s="23"/>
      <c r="Z87" s="23"/>
      <c r="AB87" s="23"/>
      <c r="AC87" s="23"/>
      <c r="AD87" s="23"/>
      <c r="AF87" s="23"/>
      <c r="AG87" s="23"/>
      <c r="AH87" s="23"/>
    </row>
    <row r="88" spans="3:34" customFormat="1" ht="16" x14ac:dyDescent="0.2">
      <c r="C88" s="27"/>
      <c r="Q88" s="45"/>
      <c r="R88" s="45"/>
      <c r="X88" s="23"/>
      <c r="Y88" s="23"/>
      <c r="Z88" s="23"/>
      <c r="AB88" s="23"/>
      <c r="AC88" s="23"/>
      <c r="AD88" s="23"/>
      <c r="AF88" s="23"/>
      <c r="AG88" s="23"/>
      <c r="AH88" s="23"/>
    </row>
    <row r="89" spans="3:34" customFormat="1" ht="16" x14ac:dyDescent="0.2">
      <c r="C89" s="27"/>
      <c r="Q89" s="45"/>
      <c r="R89" s="45"/>
      <c r="X89" s="23"/>
      <c r="Y89" s="23"/>
      <c r="Z89" s="23"/>
      <c r="AB89" s="23"/>
      <c r="AC89" s="23"/>
      <c r="AD89" s="23"/>
      <c r="AF89" s="23"/>
      <c r="AG89" s="23"/>
      <c r="AH89" s="23"/>
    </row>
    <row r="90" spans="3:34" customFormat="1" ht="16" x14ac:dyDescent="0.2">
      <c r="C90" s="27"/>
      <c r="Q90" s="45"/>
      <c r="R90" s="45"/>
      <c r="X90" s="23"/>
      <c r="Y90" s="23"/>
      <c r="Z90" s="23"/>
      <c r="AB90" s="23"/>
      <c r="AC90" s="23"/>
      <c r="AD90" s="23"/>
      <c r="AF90" s="23"/>
      <c r="AG90" s="23"/>
      <c r="AH90" s="23"/>
    </row>
    <row r="91" spans="3:34" customFormat="1" ht="16" x14ac:dyDescent="0.2">
      <c r="C91" s="27"/>
      <c r="Q91" s="45"/>
      <c r="R91" s="45"/>
      <c r="X91" s="23"/>
      <c r="Y91" s="23"/>
      <c r="Z91" s="23"/>
      <c r="AB91" s="23"/>
      <c r="AC91" s="23"/>
      <c r="AD91" s="23"/>
      <c r="AF91" s="23"/>
      <c r="AG91" s="23"/>
      <c r="AH91" s="23"/>
    </row>
    <row r="92" spans="3:34" customFormat="1" ht="16" x14ac:dyDescent="0.2">
      <c r="C92" s="27"/>
      <c r="Q92" s="45"/>
      <c r="R92" s="45"/>
      <c r="X92" s="23"/>
      <c r="Y92" s="23"/>
      <c r="Z92" s="23"/>
      <c r="AB92" s="23"/>
      <c r="AC92" s="23"/>
      <c r="AD92" s="23"/>
      <c r="AF92" s="23"/>
      <c r="AG92" s="23"/>
      <c r="AH92" s="23"/>
    </row>
    <row r="93" spans="3:34" customFormat="1" ht="16" x14ac:dyDescent="0.2">
      <c r="C93" s="27"/>
      <c r="Q93" s="45"/>
      <c r="R93" s="45"/>
      <c r="X93" s="23"/>
      <c r="Y93" s="23"/>
      <c r="Z93" s="23"/>
      <c r="AB93" s="23"/>
      <c r="AC93" s="23"/>
      <c r="AD93" s="23"/>
      <c r="AF93" s="23"/>
      <c r="AG93" s="23"/>
      <c r="AH93" s="23"/>
    </row>
    <row r="94" spans="3:34" customFormat="1" ht="16" x14ac:dyDescent="0.2">
      <c r="C94" s="27"/>
      <c r="Q94" s="45"/>
      <c r="R94" s="45"/>
      <c r="X94" s="23"/>
      <c r="Y94" s="23"/>
      <c r="Z94" s="23"/>
      <c r="AB94" s="23"/>
      <c r="AC94" s="23"/>
      <c r="AD94" s="23"/>
      <c r="AF94" s="23"/>
      <c r="AG94" s="23"/>
      <c r="AH94" s="23"/>
    </row>
    <row r="95" spans="3:34" customFormat="1" ht="16" x14ac:dyDescent="0.2">
      <c r="C95" s="27"/>
      <c r="Q95" s="45"/>
      <c r="R95" s="45"/>
      <c r="X95" s="23"/>
      <c r="Y95" s="23"/>
      <c r="Z95" s="23"/>
      <c r="AB95" s="23"/>
      <c r="AC95" s="23"/>
      <c r="AD95" s="23"/>
      <c r="AF95" s="23"/>
      <c r="AG95" s="23"/>
      <c r="AH95" s="23"/>
    </row>
    <row r="96" spans="3:34" customFormat="1" ht="16" x14ac:dyDescent="0.2">
      <c r="C96" s="27"/>
      <c r="Q96" s="45"/>
      <c r="R96" s="45"/>
      <c r="X96" s="23"/>
      <c r="Y96" s="23"/>
      <c r="Z96" s="23"/>
      <c r="AB96" s="23"/>
      <c r="AC96" s="23"/>
      <c r="AD96" s="23"/>
      <c r="AF96" s="23"/>
      <c r="AG96" s="23"/>
      <c r="AH96" s="23"/>
    </row>
    <row r="97" spans="3:34" customFormat="1" ht="16" x14ac:dyDescent="0.2">
      <c r="C97" s="27"/>
      <c r="Q97" s="45"/>
      <c r="R97" s="45"/>
      <c r="X97" s="23"/>
      <c r="Y97" s="23"/>
      <c r="Z97" s="23"/>
      <c r="AB97" s="23"/>
      <c r="AC97" s="23"/>
      <c r="AD97" s="23"/>
      <c r="AF97" s="23"/>
      <c r="AG97" s="23"/>
      <c r="AH97" s="23"/>
    </row>
  </sheetData>
  <sheetProtection selectLockedCells="1"/>
  <mergeCells count="461">
    <mergeCell ref="AB63:AD63"/>
    <mergeCell ref="AF63:AH63"/>
    <mergeCell ref="C58:D58"/>
    <mergeCell ref="E58:M58"/>
    <mergeCell ref="Q58:R58"/>
    <mergeCell ref="W58:Z58"/>
    <mergeCell ref="AB58:AD58"/>
    <mergeCell ref="AF58:AH58"/>
    <mergeCell ref="C57:D57"/>
    <mergeCell ref="E57:M57"/>
    <mergeCell ref="Q57:R57"/>
    <mergeCell ref="W57:Z57"/>
    <mergeCell ref="AB57:AD57"/>
    <mergeCell ref="AF57:AH57"/>
    <mergeCell ref="AB61:AD61"/>
    <mergeCell ref="AF61:AH61"/>
    <mergeCell ref="W59:Z59"/>
    <mergeCell ref="AB59:AD59"/>
    <mergeCell ref="AF59:AH59"/>
    <mergeCell ref="W60:Z60"/>
    <mergeCell ref="AB60:AD60"/>
    <mergeCell ref="AF60:AH60"/>
    <mergeCell ref="W63:Z63"/>
    <mergeCell ref="W61:Z61"/>
    <mergeCell ref="C56:D56"/>
    <mergeCell ref="E56:M56"/>
    <mergeCell ref="Q56:R56"/>
    <mergeCell ref="W56:Z56"/>
    <mergeCell ref="AB56:AD56"/>
    <mergeCell ref="AF56:AH56"/>
    <mergeCell ref="C55:D55"/>
    <mergeCell ref="E55:M55"/>
    <mergeCell ref="Q55:R55"/>
    <mergeCell ref="W55:Z55"/>
    <mergeCell ref="AB55:AD55"/>
    <mergeCell ref="AF55:AH55"/>
    <mergeCell ref="C54:D54"/>
    <mergeCell ref="E54:M54"/>
    <mergeCell ref="Q54:R54"/>
    <mergeCell ref="W54:Z54"/>
    <mergeCell ref="AB54:AD54"/>
    <mergeCell ref="AF54:AH54"/>
    <mergeCell ref="C53:D53"/>
    <mergeCell ref="E53:M53"/>
    <mergeCell ref="Q53:R53"/>
    <mergeCell ref="W53:Z53"/>
    <mergeCell ref="AB53:AD53"/>
    <mergeCell ref="AF53:AH53"/>
    <mergeCell ref="AB49:AD49"/>
    <mergeCell ref="AF49:AH49"/>
    <mergeCell ref="W51:Z51"/>
    <mergeCell ref="N52:O52"/>
    <mergeCell ref="Q52:R52"/>
    <mergeCell ref="X52:Z52"/>
    <mergeCell ref="AB52:AD52"/>
    <mergeCell ref="AF52:AH52"/>
    <mergeCell ref="W48:Z48"/>
    <mergeCell ref="AB48:AD48"/>
    <mergeCell ref="AF48:AH48"/>
    <mergeCell ref="W49:Z49"/>
    <mergeCell ref="AJ48:AL48"/>
    <mergeCell ref="AM48:AO48"/>
    <mergeCell ref="AJ46:AO46"/>
    <mergeCell ref="C47:D47"/>
    <mergeCell ref="E47:M47"/>
    <mergeCell ref="Q47:R47"/>
    <mergeCell ref="W47:Z47"/>
    <mergeCell ref="AB47:AD47"/>
    <mergeCell ref="AF47:AH47"/>
    <mergeCell ref="AJ47:AL47"/>
    <mergeCell ref="AM47:AO47"/>
    <mergeCell ref="C46:D46"/>
    <mergeCell ref="E46:M46"/>
    <mergeCell ref="Q46:R46"/>
    <mergeCell ref="W46:Z46"/>
    <mergeCell ref="AB46:AD46"/>
    <mergeCell ref="AF46:AH46"/>
    <mergeCell ref="X42:Z42"/>
    <mergeCell ref="C45:D45"/>
    <mergeCell ref="E45:M45"/>
    <mergeCell ref="Q45:R45"/>
    <mergeCell ref="W45:Z45"/>
    <mergeCell ref="AB45:AD45"/>
    <mergeCell ref="AF45:AH45"/>
    <mergeCell ref="AJ43:AL43"/>
    <mergeCell ref="AM43:AO43"/>
    <mergeCell ref="C44:D44"/>
    <mergeCell ref="E44:M44"/>
    <mergeCell ref="N44:O44"/>
    <mergeCell ref="W44:Z44"/>
    <mergeCell ref="AB44:AD44"/>
    <mergeCell ref="AF44:AH44"/>
    <mergeCell ref="AJ44:AL44"/>
    <mergeCell ref="AM44:AO44"/>
    <mergeCell ref="C43:D43"/>
    <mergeCell ref="E43:M43"/>
    <mergeCell ref="N43:O43"/>
    <mergeCell ref="W43:Z43"/>
    <mergeCell ref="AB43:AD43"/>
    <mergeCell ref="AF43:AH43"/>
    <mergeCell ref="C38:D38"/>
    <mergeCell ref="E38:M38"/>
    <mergeCell ref="Q38:R38"/>
    <mergeCell ref="W38:Z38"/>
    <mergeCell ref="AB38:AD38"/>
    <mergeCell ref="AF38:AH38"/>
    <mergeCell ref="AJ38:AK38"/>
    <mergeCell ref="AL38:AM38"/>
    <mergeCell ref="AN38:AO38"/>
    <mergeCell ref="C37:D37"/>
    <mergeCell ref="E37:M37"/>
    <mergeCell ref="Q37:R37"/>
    <mergeCell ref="W37:Z37"/>
    <mergeCell ref="AB37:AD37"/>
    <mergeCell ref="AF37:AH37"/>
    <mergeCell ref="AJ37:AK37"/>
    <mergeCell ref="AL37:AM37"/>
    <mergeCell ref="AN37:AO37"/>
    <mergeCell ref="C36:D36"/>
    <mergeCell ref="E36:M36"/>
    <mergeCell ref="Q36:R36"/>
    <mergeCell ref="W36:Z36"/>
    <mergeCell ref="AB36:AD36"/>
    <mergeCell ref="AF36:AH36"/>
    <mergeCell ref="AJ36:AK36"/>
    <mergeCell ref="C35:D35"/>
    <mergeCell ref="E35:M35"/>
    <mergeCell ref="Q35:R35"/>
    <mergeCell ref="W35:Z35"/>
    <mergeCell ref="AB35:AD35"/>
    <mergeCell ref="AF35:AH35"/>
    <mergeCell ref="C34:D34"/>
    <mergeCell ref="E34:M34"/>
    <mergeCell ref="Q34:R34"/>
    <mergeCell ref="W34:Z34"/>
    <mergeCell ref="AB34:AD34"/>
    <mergeCell ref="AF34:AH34"/>
    <mergeCell ref="AJ34:AK34"/>
    <mergeCell ref="AL34:AM34"/>
    <mergeCell ref="AN34:AO34"/>
    <mergeCell ref="C33:D33"/>
    <mergeCell ref="E33:M33"/>
    <mergeCell ref="Q33:R33"/>
    <mergeCell ref="W33:Z33"/>
    <mergeCell ref="AB33:AD33"/>
    <mergeCell ref="AF33:AH33"/>
    <mergeCell ref="AJ33:AK33"/>
    <mergeCell ref="AL33:AM33"/>
    <mergeCell ref="AN33:AO33"/>
    <mergeCell ref="C32:D32"/>
    <mergeCell ref="E32:M32"/>
    <mergeCell ref="Q32:R32"/>
    <mergeCell ref="W32:Z32"/>
    <mergeCell ref="AB32:AD32"/>
    <mergeCell ref="AF32:AH32"/>
    <mergeCell ref="AJ32:AK32"/>
    <mergeCell ref="C31:D31"/>
    <mergeCell ref="E31:M31"/>
    <mergeCell ref="Q31:R31"/>
    <mergeCell ref="W31:Z31"/>
    <mergeCell ref="AB31:AD31"/>
    <mergeCell ref="AF31:AH31"/>
    <mergeCell ref="C30:D30"/>
    <mergeCell ref="E30:M30"/>
    <mergeCell ref="Q30:R30"/>
    <mergeCell ref="W30:Z30"/>
    <mergeCell ref="AB30:AD30"/>
    <mergeCell ref="AF30:AH30"/>
    <mergeCell ref="AJ30:AK30"/>
    <mergeCell ref="AL30:AM30"/>
    <mergeCell ref="AN30:AO30"/>
    <mergeCell ref="C29:D29"/>
    <mergeCell ref="E29:M29"/>
    <mergeCell ref="Q29:R29"/>
    <mergeCell ref="W29:Z29"/>
    <mergeCell ref="AB29:AD29"/>
    <mergeCell ref="AF29:AH29"/>
    <mergeCell ref="AJ29:AK29"/>
    <mergeCell ref="AL29:AM29"/>
    <mergeCell ref="AN29:AO29"/>
    <mergeCell ref="AJ27:AK27"/>
    <mergeCell ref="AL27:AM27"/>
    <mergeCell ref="AN27:AO27"/>
    <mergeCell ref="C28:D28"/>
    <mergeCell ref="E28:M28"/>
    <mergeCell ref="Q28:R28"/>
    <mergeCell ref="W28:Z28"/>
    <mergeCell ref="AB28:AD28"/>
    <mergeCell ref="AF28:AH28"/>
    <mergeCell ref="AJ28:AK28"/>
    <mergeCell ref="C27:D27"/>
    <mergeCell ref="E27:M27"/>
    <mergeCell ref="Q27:R27"/>
    <mergeCell ref="W27:Z27"/>
    <mergeCell ref="AB27:AD27"/>
    <mergeCell ref="AF27:AH27"/>
    <mergeCell ref="AL28:AM28"/>
    <mergeCell ref="AN28:AO28"/>
    <mergeCell ref="AN25:AO25"/>
    <mergeCell ref="C26:D26"/>
    <mergeCell ref="E26:M26"/>
    <mergeCell ref="Q26:R26"/>
    <mergeCell ref="W26:Z26"/>
    <mergeCell ref="AB26:AD26"/>
    <mergeCell ref="AF26:AH26"/>
    <mergeCell ref="AJ26:AK26"/>
    <mergeCell ref="AL26:AM26"/>
    <mergeCell ref="AN26:AO26"/>
    <mergeCell ref="C25:D25"/>
    <mergeCell ref="E25:M25"/>
    <mergeCell ref="Q25:R25"/>
    <mergeCell ref="W25:Z25"/>
    <mergeCell ref="AB25:AD25"/>
    <mergeCell ref="AF25:AH25"/>
    <mergeCell ref="AJ25:AK25"/>
    <mergeCell ref="AL25:AM25"/>
    <mergeCell ref="C24:D24"/>
    <mergeCell ref="E24:M24"/>
    <mergeCell ref="Q24:R24"/>
    <mergeCell ref="W24:Z24"/>
    <mergeCell ref="AB24:AD24"/>
    <mergeCell ref="AF24:AH24"/>
    <mergeCell ref="AJ24:AK24"/>
    <mergeCell ref="AL24:AM24"/>
    <mergeCell ref="AN24:AO24"/>
    <mergeCell ref="C23:D23"/>
    <mergeCell ref="E23:M23"/>
    <mergeCell ref="Q23:R23"/>
    <mergeCell ref="W23:Z23"/>
    <mergeCell ref="AB23:AD23"/>
    <mergeCell ref="AF23:AH23"/>
    <mergeCell ref="AJ23:AK23"/>
    <mergeCell ref="AL23:AM23"/>
    <mergeCell ref="AN23:AO23"/>
    <mergeCell ref="AJ21:AK21"/>
    <mergeCell ref="AL21:AM21"/>
    <mergeCell ref="AN21:AO21"/>
    <mergeCell ref="C22:D22"/>
    <mergeCell ref="E22:M22"/>
    <mergeCell ref="Q22:R22"/>
    <mergeCell ref="W22:Z22"/>
    <mergeCell ref="AB22:AD22"/>
    <mergeCell ref="AF22:AH22"/>
    <mergeCell ref="AJ22:AK22"/>
    <mergeCell ref="C21:D21"/>
    <mergeCell ref="E21:M21"/>
    <mergeCell ref="Q21:R21"/>
    <mergeCell ref="W21:Z21"/>
    <mergeCell ref="AB21:AD21"/>
    <mergeCell ref="AF21:AH21"/>
    <mergeCell ref="AL22:AM22"/>
    <mergeCell ref="AN22:AO22"/>
    <mergeCell ref="C20:D20"/>
    <mergeCell ref="E20:M20"/>
    <mergeCell ref="Q20:R20"/>
    <mergeCell ref="W20:Z20"/>
    <mergeCell ref="AB20:AD20"/>
    <mergeCell ref="AF20:AH20"/>
    <mergeCell ref="AJ20:AK20"/>
    <mergeCell ref="AL20:AM20"/>
    <mergeCell ref="AN20:AO20"/>
    <mergeCell ref="AP17:AQ17"/>
    <mergeCell ref="AF16:AH16"/>
    <mergeCell ref="AJ16:AK16"/>
    <mergeCell ref="AL16:AM16"/>
    <mergeCell ref="AN16:AO16"/>
    <mergeCell ref="AP16:AQ16"/>
    <mergeCell ref="AL18:AM18"/>
    <mergeCell ref="AN18:AO18"/>
    <mergeCell ref="C19:D19"/>
    <mergeCell ref="E19:M19"/>
    <mergeCell ref="Q19:R19"/>
    <mergeCell ref="W19:Z19"/>
    <mergeCell ref="AB19:AD19"/>
    <mergeCell ref="AF19:AH19"/>
    <mergeCell ref="AJ19:AK19"/>
    <mergeCell ref="AL19:AM19"/>
    <mergeCell ref="C18:D18"/>
    <mergeCell ref="E18:M18"/>
    <mergeCell ref="Q18:R18"/>
    <mergeCell ref="W18:Z18"/>
    <mergeCell ref="AB18:AD18"/>
    <mergeCell ref="AF18:AH18"/>
    <mergeCell ref="AJ18:AK18"/>
    <mergeCell ref="AN19:AO19"/>
    <mergeCell ref="C17:D17"/>
    <mergeCell ref="E17:M17"/>
    <mergeCell ref="Q17:R17"/>
    <mergeCell ref="W17:Z17"/>
    <mergeCell ref="AB17:AD17"/>
    <mergeCell ref="AF15:AH15"/>
    <mergeCell ref="AJ15:AK15"/>
    <mergeCell ref="AL15:AM15"/>
    <mergeCell ref="AN15:AO15"/>
    <mergeCell ref="AF17:AH17"/>
    <mergeCell ref="AJ17:AK17"/>
    <mergeCell ref="AL17:AM17"/>
    <mergeCell ref="AN17:AO17"/>
    <mergeCell ref="AP13:AQ13"/>
    <mergeCell ref="C14:D14"/>
    <mergeCell ref="E14:M14"/>
    <mergeCell ref="Q14:R14"/>
    <mergeCell ref="W14:Z14"/>
    <mergeCell ref="AB14:AD14"/>
    <mergeCell ref="AP15:AQ15"/>
    <mergeCell ref="C16:D16"/>
    <mergeCell ref="E16:M16"/>
    <mergeCell ref="Q16:R16"/>
    <mergeCell ref="W16:Z16"/>
    <mergeCell ref="AB16:AD16"/>
    <mergeCell ref="AF14:AH14"/>
    <mergeCell ref="AJ14:AK14"/>
    <mergeCell ref="AL14:AM14"/>
    <mergeCell ref="AN14:AO14"/>
    <mergeCell ref="AP14:AQ14"/>
    <mergeCell ref="C15:D15"/>
    <mergeCell ref="E15:M15"/>
    <mergeCell ref="Q15:R15"/>
    <mergeCell ref="W15:Z15"/>
    <mergeCell ref="AB15:AD15"/>
    <mergeCell ref="C13:D13"/>
    <mergeCell ref="E13:M13"/>
    <mergeCell ref="Q13:R13"/>
    <mergeCell ref="W13:Z13"/>
    <mergeCell ref="AB13:AD13"/>
    <mergeCell ref="AF13:AH13"/>
    <mergeCell ref="AJ13:AK13"/>
    <mergeCell ref="AL13:AM13"/>
    <mergeCell ref="AN13:AO13"/>
    <mergeCell ref="AJ11:AK11"/>
    <mergeCell ref="AL11:AM11"/>
    <mergeCell ref="AN11:AO11"/>
    <mergeCell ref="AV10:AW10"/>
    <mergeCell ref="AP11:AQ11"/>
    <mergeCell ref="C12:D12"/>
    <mergeCell ref="E12:M12"/>
    <mergeCell ref="Q12:R12"/>
    <mergeCell ref="W12:Z12"/>
    <mergeCell ref="AB12:AD12"/>
    <mergeCell ref="C11:D11"/>
    <mergeCell ref="E11:M11"/>
    <mergeCell ref="Q11:R11"/>
    <mergeCell ref="W11:Z11"/>
    <mergeCell ref="AB11:AD11"/>
    <mergeCell ref="AF11:AH11"/>
    <mergeCell ref="AF12:AH12"/>
    <mergeCell ref="AJ12:AK12"/>
    <mergeCell ref="AL12:AM12"/>
    <mergeCell ref="AN12:AO12"/>
    <mergeCell ref="AP12:AQ12"/>
    <mergeCell ref="AT11:AU11"/>
    <mergeCell ref="AV11:AW11"/>
    <mergeCell ref="AR11:AS11"/>
    <mergeCell ref="AT12:AU12"/>
    <mergeCell ref="AV12:AW12"/>
    <mergeCell ref="AP9:AQ9"/>
    <mergeCell ref="AR9:AS9"/>
    <mergeCell ref="AJ10:AK10"/>
    <mergeCell ref="AL10:AM10"/>
    <mergeCell ref="AN10:AO10"/>
    <mergeCell ref="AP10:AQ10"/>
    <mergeCell ref="AR10:AS10"/>
    <mergeCell ref="W8:Z8"/>
    <mergeCell ref="E9:I10"/>
    <mergeCell ref="N9:O10"/>
    <mergeCell ref="Q9:R10"/>
    <mergeCell ref="T9:T10"/>
    <mergeCell ref="U9:V9"/>
    <mergeCell ref="W9:Z10"/>
    <mergeCell ref="AB9:AD10"/>
    <mergeCell ref="AF9:AH10"/>
    <mergeCell ref="AJ8:AO8"/>
    <mergeCell ref="AR8:AW8"/>
    <mergeCell ref="AT9:AU9"/>
    <mergeCell ref="AV9:AW9"/>
    <mergeCell ref="AT10:AU10"/>
    <mergeCell ref="AJ9:AK9"/>
    <mergeCell ref="AL9:AM9"/>
    <mergeCell ref="AN9:AO9"/>
    <mergeCell ref="AT13:AU13"/>
    <mergeCell ref="AV13:AW13"/>
    <mergeCell ref="AT14:AU14"/>
    <mergeCell ref="AV14:AW14"/>
    <mergeCell ref="AT15:AU15"/>
    <mergeCell ref="AV15:AW15"/>
    <mergeCell ref="AT16:AU16"/>
    <mergeCell ref="AV16:AW16"/>
    <mergeCell ref="AT17:AU17"/>
    <mergeCell ref="AV17:AW17"/>
    <mergeCell ref="AT18:AU18"/>
    <mergeCell ref="AV18:AW18"/>
    <mergeCell ref="AT19:AU19"/>
    <mergeCell ref="AV19:AW19"/>
    <mergeCell ref="AV27:AW27"/>
    <mergeCell ref="AT28:AU28"/>
    <mergeCell ref="AV28:AW28"/>
    <mergeCell ref="AT29:AU29"/>
    <mergeCell ref="AV29:AW29"/>
    <mergeCell ref="AT20:AU20"/>
    <mergeCell ref="AV20:AW20"/>
    <mergeCell ref="AT21:AU21"/>
    <mergeCell ref="AV21:AW21"/>
    <mergeCell ref="AT22:AU22"/>
    <mergeCell ref="AV22:AW22"/>
    <mergeCell ref="AT23:AU23"/>
    <mergeCell ref="AV23:AW23"/>
    <mergeCell ref="AT24:AU24"/>
    <mergeCell ref="AV24:AW24"/>
    <mergeCell ref="AT25:AU25"/>
    <mergeCell ref="AV25:AW25"/>
    <mergeCell ref="AT26:AU26"/>
    <mergeCell ref="AV26:AW26"/>
    <mergeCell ref="AT27:AU27"/>
    <mergeCell ref="O62:V62"/>
    <mergeCell ref="O63:V63"/>
    <mergeCell ref="N42:O42"/>
    <mergeCell ref="Q42:R42"/>
    <mergeCell ref="AT35:AU35"/>
    <mergeCell ref="AV35:AW35"/>
    <mergeCell ref="AT36:AU36"/>
    <mergeCell ref="AV36:AW36"/>
    <mergeCell ref="AT37:AU37"/>
    <mergeCell ref="AV37:AW37"/>
    <mergeCell ref="AT38:AU38"/>
    <mergeCell ref="AV38:AW38"/>
    <mergeCell ref="AJ35:AK35"/>
    <mergeCell ref="AL35:AM35"/>
    <mergeCell ref="AN35:AO35"/>
    <mergeCell ref="AL36:AM36"/>
    <mergeCell ref="AN36:AO36"/>
    <mergeCell ref="AB42:AD42"/>
    <mergeCell ref="AF42:AH42"/>
    <mergeCell ref="AJ42:AO42"/>
    <mergeCell ref="W39:Z39"/>
    <mergeCell ref="AB39:AD39"/>
    <mergeCell ref="AF39:AH39"/>
    <mergeCell ref="W40:Z40"/>
    <mergeCell ref="O39:V39"/>
    <mergeCell ref="O40:V40"/>
    <mergeCell ref="O48:V48"/>
    <mergeCell ref="O49:V49"/>
    <mergeCell ref="O59:V59"/>
    <mergeCell ref="O60:V60"/>
    <mergeCell ref="O61:V61"/>
    <mergeCell ref="AT30:AU30"/>
    <mergeCell ref="AV30:AW30"/>
    <mergeCell ref="AT31:AU31"/>
    <mergeCell ref="AV31:AW31"/>
    <mergeCell ref="AT32:AU32"/>
    <mergeCell ref="AV32:AW32"/>
    <mergeCell ref="AT33:AU33"/>
    <mergeCell ref="AV33:AW33"/>
    <mergeCell ref="AT34:AU34"/>
    <mergeCell ref="AV34:AW34"/>
    <mergeCell ref="AJ31:AK31"/>
    <mergeCell ref="AL31:AM31"/>
    <mergeCell ref="AN31:AO31"/>
    <mergeCell ref="AL32:AM32"/>
    <mergeCell ref="AN32:AO32"/>
    <mergeCell ref="AB40:AD40"/>
    <mergeCell ref="AF40:AH40"/>
  </mergeCells>
  <pageMargins left="0.7" right="0.7" top="0.75" bottom="0.75" header="0.3" footer="0.3"/>
  <pageSetup scale="70" fitToHeight="2" orientation="portrait" r:id="rId1"/>
  <legacyDrawingHF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17129-F262-4680-8388-F87E513424F4}">
  <sheetPr codeName="Sheet23">
    <pageSetUpPr fitToPage="1"/>
  </sheetPr>
  <dimension ref="B1:DD99"/>
  <sheetViews>
    <sheetView topLeftCell="A60" zoomScaleNormal="100" workbookViewId="0">
      <selection activeCell="AW100" sqref="AW100"/>
    </sheetView>
  </sheetViews>
  <sheetFormatPr baseColWidth="10" defaultColWidth="4.6640625" defaultRowHeight="17" x14ac:dyDescent="0.2"/>
  <cols>
    <col min="1" max="13" width="4.6640625" style="7"/>
    <col min="14" max="20" width="4.6640625" style="7" customWidth="1"/>
    <col min="21" max="22" width="4.6640625" style="44" customWidth="1"/>
    <col min="23" max="27" width="4.6640625" style="7" customWidth="1"/>
    <col min="28" max="36" width="4.6640625" style="7"/>
    <col min="37" max="37" width="4.6640625" style="34"/>
    <col min="38" max="107" width="4.6640625" style="7"/>
    <col min="108" max="108" width="0" style="7" hidden="1" customWidth="1"/>
    <col min="109" max="16384" width="4.6640625" style="7"/>
  </cols>
  <sheetData>
    <row r="1" spans="2:108" ht="16.5" customHeight="1" x14ac:dyDescent="0.2">
      <c r="B1"/>
      <c r="C1"/>
      <c r="D1"/>
      <c r="E1"/>
      <c r="F1"/>
      <c r="G1"/>
      <c r="H1"/>
      <c r="I1"/>
      <c r="J1"/>
      <c r="K1"/>
      <c r="L1"/>
      <c r="Q1" s="63"/>
      <c r="R1" s="63"/>
      <c r="U1" s="7"/>
      <c r="V1" s="7"/>
      <c r="X1" s="24"/>
      <c r="Y1" s="24"/>
      <c r="Z1" s="24"/>
      <c r="AJ1" s="63"/>
      <c r="AK1" s="7"/>
      <c r="DD1" s="7" t="s">
        <v>518</v>
      </c>
    </row>
    <row r="2" spans="2:108" ht="6.5" customHeight="1" x14ac:dyDescent="0.2">
      <c r="B2"/>
      <c r="C2"/>
      <c r="D2"/>
      <c r="E2"/>
      <c r="F2"/>
      <c r="G2"/>
      <c r="H2"/>
      <c r="I2"/>
      <c r="J2"/>
      <c r="K2"/>
      <c r="L2"/>
      <c r="M2"/>
      <c r="Q2" s="63"/>
      <c r="R2" s="63"/>
      <c r="U2" s="7"/>
      <c r="V2" s="7"/>
      <c r="X2" s="24"/>
      <c r="Y2" s="24"/>
      <c r="Z2" s="24"/>
      <c r="AJ2" s="63"/>
      <c r="AK2" s="7"/>
    </row>
    <row r="3" spans="2:108" ht="16.5" customHeight="1" x14ac:dyDescent="0.2">
      <c r="B3"/>
      <c r="C3"/>
      <c r="D3"/>
      <c r="E3"/>
      <c r="F3"/>
      <c r="G3"/>
      <c r="H3"/>
      <c r="I3"/>
      <c r="J3"/>
      <c r="K3"/>
      <c r="L3"/>
      <c r="M3"/>
      <c r="Q3" s="63"/>
      <c r="U3" s="7"/>
      <c r="V3" s="7"/>
      <c r="X3" s="24"/>
      <c r="Y3" s="24"/>
      <c r="Z3" s="24"/>
      <c r="AJ3" s="63"/>
      <c r="AK3" s="7"/>
    </row>
    <row r="4" spans="2:108" ht="6.5" customHeight="1" x14ac:dyDescent="0.2">
      <c r="B4"/>
      <c r="C4"/>
      <c r="D4"/>
      <c r="E4"/>
      <c r="F4"/>
      <c r="G4"/>
      <c r="H4"/>
      <c r="I4"/>
      <c r="J4"/>
      <c r="K4"/>
      <c r="L4"/>
      <c r="Q4" s="63"/>
      <c r="U4" s="7"/>
      <c r="V4" s="7"/>
      <c r="X4" s="24"/>
      <c r="Y4" s="24"/>
      <c r="Z4" s="24"/>
      <c r="AJ4" s="63"/>
      <c r="AK4" s="7"/>
    </row>
    <row r="5" spans="2:108" ht="16.5" customHeight="1" x14ac:dyDescent="0.2">
      <c r="B5"/>
      <c r="C5"/>
      <c r="D5"/>
      <c r="E5"/>
      <c r="F5"/>
      <c r="G5"/>
      <c r="H5"/>
      <c r="I5"/>
      <c r="J5"/>
      <c r="K5"/>
      <c r="L5"/>
      <c r="M5"/>
      <c r="Q5" s="63"/>
      <c r="R5" s="63"/>
      <c r="U5" s="7"/>
      <c r="V5" s="7"/>
      <c r="X5" s="24"/>
      <c r="Y5" s="24"/>
      <c r="Z5" s="24"/>
      <c r="AJ5" s="63"/>
      <c r="AK5" s="7"/>
    </row>
    <row r="6" spans="2:108" ht="16.25" customHeight="1" x14ac:dyDescent="0.2">
      <c r="C6" s="19"/>
      <c r="BI6" s="46"/>
    </row>
    <row r="7" spans="2:108" ht="16" customHeight="1" x14ac:dyDescent="0.2">
      <c r="AK7" s="35"/>
      <c r="AL7" s="2"/>
      <c r="AM7" s="2"/>
      <c r="AN7" s="2"/>
    </row>
    <row r="8" spans="2:108" s="323" customFormat="1" ht="20" customHeight="1" x14ac:dyDescent="0.2">
      <c r="C8" s="28" t="s">
        <v>427</v>
      </c>
      <c r="D8" s="280" t="s">
        <v>532</v>
      </c>
      <c r="E8" s="80"/>
      <c r="F8" s="370"/>
      <c r="G8" s="370"/>
      <c r="H8" s="370"/>
      <c r="I8" s="370"/>
      <c r="J8" s="370"/>
      <c r="K8" s="370"/>
      <c r="L8" s="370"/>
      <c r="M8" s="370"/>
      <c r="N8" s="370"/>
      <c r="O8" s="370"/>
      <c r="P8" s="370"/>
      <c r="Q8" s="370"/>
      <c r="R8" s="370"/>
      <c r="S8" s="370"/>
      <c r="T8" s="370"/>
      <c r="U8" s="371"/>
      <c r="V8" s="371"/>
      <c r="W8" s="866"/>
      <c r="X8" s="866"/>
      <c r="Y8" s="866"/>
      <c r="Z8" s="866"/>
      <c r="AB8" s="867"/>
      <c r="AC8" s="867"/>
      <c r="AD8" s="868"/>
      <c r="AF8" s="869"/>
      <c r="AG8" s="867"/>
      <c r="AH8" s="868"/>
      <c r="AK8" s="368"/>
      <c r="AL8" s="372"/>
      <c r="AM8" s="372"/>
      <c r="AN8" s="372"/>
    </row>
    <row r="9" spans="2:108" s="110" customFormat="1" ht="16.25" customHeight="1" x14ac:dyDescent="0.15">
      <c r="C9" s="152"/>
      <c r="D9" s="116"/>
      <c r="E9" s="116"/>
      <c r="F9" s="130"/>
      <c r="G9" s="130"/>
      <c r="H9" s="130"/>
      <c r="I9" s="130"/>
      <c r="J9" s="130"/>
      <c r="K9" s="130"/>
      <c r="L9" s="130"/>
      <c r="M9" s="130"/>
      <c r="N9" s="185"/>
      <c r="O9" s="185"/>
      <c r="P9" s="130"/>
      <c r="Q9" s="185"/>
      <c r="R9" s="185"/>
      <c r="S9" s="130"/>
      <c r="T9" s="116"/>
      <c r="U9" s="130"/>
      <c r="V9" s="130"/>
      <c r="W9" s="870" t="s">
        <v>370</v>
      </c>
      <c r="X9" s="870"/>
      <c r="Y9" s="870"/>
      <c r="Z9" s="871"/>
      <c r="AB9" s="848" t="s">
        <v>363</v>
      </c>
      <c r="AC9" s="849"/>
      <c r="AD9" s="850"/>
      <c r="AF9" s="848" t="s">
        <v>447</v>
      </c>
      <c r="AG9" s="849"/>
      <c r="AH9" s="850"/>
      <c r="AK9" s="165"/>
      <c r="AL9" s="166"/>
    </row>
    <row r="10" spans="2:108" s="51" customFormat="1" ht="16" customHeight="1" x14ac:dyDescent="0.15">
      <c r="C10" s="865">
        <v>0</v>
      </c>
      <c r="D10" s="419"/>
      <c r="E10" s="330"/>
      <c r="F10" s="330"/>
      <c r="G10" s="330"/>
      <c r="H10" s="330"/>
      <c r="I10" s="330"/>
      <c r="J10" s="330"/>
      <c r="K10" s="330"/>
      <c r="L10" s="330"/>
      <c r="M10" s="330"/>
      <c r="N10" s="58"/>
      <c r="O10" s="58"/>
      <c r="P10" s="59"/>
      <c r="Q10" s="58"/>
      <c r="R10" s="58"/>
      <c r="S10" s="67"/>
      <c r="T10" s="324"/>
      <c r="U10" s="88"/>
      <c r="V10" s="88"/>
      <c r="W10" s="729"/>
      <c r="X10" s="729"/>
      <c r="Y10" s="729"/>
      <c r="Z10" s="730"/>
      <c r="AB10" s="832">
        <v>0</v>
      </c>
      <c r="AC10" s="833"/>
      <c r="AD10" s="834"/>
      <c r="AF10" s="832">
        <f>AB10-W10</f>
        <v>0</v>
      </c>
      <c r="AG10" s="833"/>
      <c r="AH10" s="834"/>
      <c r="AM10" s="316"/>
      <c r="AN10" s="316"/>
    </row>
    <row r="11" spans="2:108" s="51" customFormat="1" ht="16" customHeight="1" x14ac:dyDescent="0.15">
      <c r="C11" s="865">
        <f>C10+1</f>
        <v>1</v>
      </c>
      <c r="D11" s="419"/>
      <c r="E11" s="330"/>
      <c r="F11" s="330"/>
      <c r="G11" s="330"/>
      <c r="H11" s="330"/>
      <c r="I11" s="330"/>
      <c r="J11" s="330"/>
      <c r="K11" s="330"/>
      <c r="L11" s="330"/>
      <c r="M11" s="330"/>
      <c r="N11" s="58"/>
      <c r="O11" s="58"/>
      <c r="P11" s="59"/>
      <c r="Q11" s="58"/>
      <c r="R11" s="58"/>
      <c r="S11" s="67"/>
      <c r="T11" s="324"/>
      <c r="U11" s="88"/>
      <c r="V11" s="88"/>
      <c r="W11" s="729"/>
      <c r="X11" s="729"/>
      <c r="Y11" s="729"/>
      <c r="Z11" s="730"/>
      <c r="AB11" s="832">
        <v>0</v>
      </c>
      <c r="AC11" s="833"/>
      <c r="AD11" s="834"/>
      <c r="AF11" s="832">
        <f t="shared" ref="AF11:AF72" si="0">AB11-W11</f>
        <v>0</v>
      </c>
      <c r="AG11" s="833"/>
      <c r="AH11" s="834"/>
      <c r="AK11" s="325"/>
    </row>
    <row r="12" spans="2:108" s="51" customFormat="1" ht="16" customHeight="1" x14ac:dyDescent="0.15">
      <c r="C12" s="865">
        <f t="shared" ref="C12:C22" si="1">C11+1</f>
        <v>2</v>
      </c>
      <c r="D12" s="419"/>
      <c r="E12" s="330"/>
      <c r="F12" s="330"/>
      <c r="G12" s="330"/>
      <c r="H12" s="330"/>
      <c r="I12" s="330"/>
      <c r="J12" s="330"/>
      <c r="K12" s="330"/>
      <c r="L12" s="330"/>
      <c r="M12" s="330"/>
      <c r="N12" s="58"/>
      <c r="O12" s="58"/>
      <c r="P12" s="59"/>
      <c r="Q12" s="58"/>
      <c r="R12" s="58"/>
      <c r="S12" s="67"/>
      <c r="T12" s="324"/>
      <c r="U12" s="88"/>
      <c r="V12" s="88"/>
      <c r="W12" s="729"/>
      <c r="X12" s="729"/>
      <c r="Y12" s="729"/>
      <c r="Z12" s="730"/>
      <c r="AB12" s="832">
        <v>0</v>
      </c>
      <c r="AC12" s="833"/>
      <c r="AD12" s="834"/>
      <c r="AF12" s="832">
        <f t="shared" si="0"/>
        <v>0</v>
      </c>
      <c r="AG12" s="833"/>
      <c r="AH12" s="834"/>
      <c r="AK12" s="325"/>
    </row>
    <row r="13" spans="2:108" s="51" customFormat="1" ht="16" customHeight="1" x14ac:dyDescent="0.15">
      <c r="C13" s="865">
        <f t="shared" si="1"/>
        <v>3</v>
      </c>
      <c r="D13" s="419"/>
      <c r="E13" s="330"/>
      <c r="F13" s="330"/>
      <c r="G13" s="330"/>
      <c r="H13" s="330"/>
      <c r="I13" s="330"/>
      <c r="J13" s="330"/>
      <c r="K13" s="330"/>
      <c r="L13" s="330"/>
      <c r="M13" s="330"/>
      <c r="N13" s="58"/>
      <c r="O13" s="58"/>
      <c r="P13" s="59"/>
      <c r="Q13" s="58"/>
      <c r="R13" s="58"/>
      <c r="S13" s="67"/>
      <c r="T13" s="324"/>
      <c r="U13" s="88"/>
      <c r="V13" s="88"/>
      <c r="W13" s="729"/>
      <c r="X13" s="729"/>
      <c r="Y13" s="729"/>
      <c r="Z13" s="730"/>
      <c r="AB13" s="832">
        <v>0</v>
      </c>
      <c r="AC13" s="833"/>
      <c r="AD13" s="834"/>
      <c r="AF13" s="832">
        <f t="shared" si="0"/>
        <v>0</v>
      </c>
      <c r="AG13" s="833"/>
      <c r="AH13" s="834"/>
      <c r="AK13" s="325"/>
    </row>
    <row r="14" spans="2:108" s="51" customFormat="1" ht="16" customHeight="1" x14ac:dyDescent="0.15">
      <c r="C14" s="865">
        <f t="shared" si="1"/>
        <v>4</v>
      </c>
      <c r="D14" s="419"/>
      <c r="E14" s="330"/>
      <c r="F14" s="330"/>
      <c r="G14" s="330"/>
      <c r="H14" s="330"/>
      <c r="I14" s="330"/>
      <c r="J14" s="330"/>
      <c r="K14" s="330"/>
      <c r="L14" s="330"/>
      <c r="M14" s="330"/>
      <c r="N14" s="58"/>
      <c r="O14" s="58"/>
      <c r="P14" s="59"/>
      <c r="Q14" s="58"/>
      <c r="R14" s="58"/>
      <c r="S14" s="67"/>
      <c r="T14" s="324"/>
      <c r="U14" s="88"/>
      <c r="V14" s="88"/>
      <c r="W14" s="729"/>
      <c r="X14" s="729"/>
      <c r="Y14" s="729"/>
      <c r="Z14" s="730"/>
      <c r="AB14" s="832">
        <v>0</v>
      </c>
      <c r="AC14" s="833"/>
      <c r="AD14" s="834"/>
      <c r="AF14" s="832">
        <f t="shared" si="0"/>
        <v>0</v>
      </c>
      <c r="AG14" s="833"/>
      <c r="AH14" s="834"/>
      <c r="AK14" s="325"/>
    </row>
    <row r="15" spans="2:108" s="51" customFormat="1" ht="16" customHeight="1" x14ac:dyDescent="0.15">
      <c r="C15" s="865">
        <f t="shared" si="1"/>
        <v>5</v>
      </c>
      <c r="D15" s="419"/>
      <c r="E15" s="330"/>
      <c r="F15" s="330"/>
      <c r="G15" s="330"/>
      <c r="H15" s="330"/>
      <c r="I15" s="330"/>
      <c r="J15" s="330"/>
      <c r="K15" s="330"/>
      <c r="L15" s="330"/>
      <c r="M15" s="330"/>
      <c r="N15" s="58"/>
      <c r="O15" s="58"/>
      <c r="P15" s="59"/>
      <c r="Q15" s="58"/>
      <c r="R15" s="58"/>
      <c r="S15" s="67"/>
      <c r="T15" s="324"/>
      <c r="U15" s="88"/>
      <c r="V15" s="88"/>
      <c r="W15" s="729"/>
      <c r="X15" s="729"/>
      <c r="Y15" s="729"/>
      <c r="Z15" s="730"/>
      <c r="AB15" s="832">
        <v>0</v>
      </c>
      <c r="AC15" s="833"/>
      <c r="AD15" s="834"/>
      <c r="AF15" s="832">
        <f t="shared" si="0"/>
        <v>0</v>
      </c>
      <c r="AG15" s="833"/>
      <c r="AH15" s="834"/>
      <c r="AK15" s="325"/>
    </row>
    <row r="16" spans="2:108" s="51" customFormat="1" ht="16" customHeight="1" x14ac:dyDescent="0.15">
      <c r="C16" s="865">
        <f t="shared" si="1"/>
        <v>6</v>
      </c>
      <c r="D16" s="419"/>
      <c r="E16" s="330"/>
      <c r="F16" s="330"/>
      <c r="G16" s="330"/>
      <c r="H16" s="330"/>
      <c r="I16" s="330"/>
      <c r="J16" s="330"/>
      <c r="K16" s="330"/>
      <c r="L16" s="330"/>
      <c r="M16" s="330"/>
      <c r="N16" s="58"/>
      <c r="O16" s="58"/>
      <c r="P16" s="59"/>
      <c r="Q16" s="58"/>
      <c r="R16" s="58"/>
      <c r="S16" s="67"/>
      <c r="T16" s="324"/>
      <c r="U16" s="88"/>
      <c r="V16" s="88"/>
      <c r="W16" s="729"/>
      <c r="X16" s="729"/>
      <c r="Y16" s="729"/>
      <c r="Z16" s="730"/>
      <c r="AB16" s="832">
        <v>0</v>
      </c>
      <c r="AC16" s="833"/>
      <c r="AD16" s="834"/>
      <c r="AF16" s="832">
        <f t="shared" si="0"/>
        <v>0</v>
      </c>
      <c r="AG16" s="833"/>
      <c r="AH16" s="834"/>
      <c r="AK16" s="325"/>
    </row>
    <row r="17" spans="3:37" s="51" customFormat="1" ht="16" customHeight="1" x14ac:dyDescent="0.15">
      <c r="C17" s="865">
        <f t="shared" si="1"/>
        <v>7</v>
      </c>
      <c r="D17" s="419"/>
      <c r="E17" s="330"/>
      <c r="F17" s="330"/>
      <c r="G17" s="330"/>
      <c r="H17" s="330"/>
      <c r="I17" s="330"/>
      <c r="J17" s="330"/>
      <c r="K17" s="330"/>
      <c r="L17" s="330"/>
      <c r="M17" s="330"/>
      <c r="N17" s="58"/>
      <c r="O17" s="58"/>
      <c r="P17" s="59"/>
      <c r="Q17" s="58"/>
      <c r="R17" s="58"/>
      <c r="S17" s="67"/>
      <c r="T17" s="324"/>
      <c r="U17" s="88"/>
      <c r="V17" s="88"/>
      <c r="W17" s="729"/>
      <c r="X17" s="729"/>
      <c r="Y17" s="729"/>
      <c r="Z17" s="730"/>
      <c r="AB17" s="832">
        <v>0</v>
      </c>
      <c r="AC17" s="833"/>
      <c r="AD17" s="834"/>
      <c r="AF17" s="832">
        <f t="shared" si="0"/>
        <v>0</v>
      </c>
      <c r="AG17" s="833"/>
      <c r="AH17" s="834"/>
      <c r="AK17" s="325"/>
    </row>
    <row r="18" spans="3:37" s="51" customFormat="1" ht="16" customHeight="1" x14ac:dyDescent="0.15">
      <c r="C18" s="865">
        <f t="shared" si="1"/>
        <v>8</v>
      </c>
      <c r="D18" s="419"/>
      <c r="E18" s="330"/>
      <c r="F18" s="330"/>
      <c r="G18" s="330"/>
      <c r="H18" s="330"/>
      <c r="I18" s="330"/>
      <c r="J18" s="330"/>
      <c r="K18" s="330"/>
      <c r="L18" s="330"/>
      <c r="M18" s="330"/>
      <c r="N18" s="58"/>
      <c r="O18" s="58"/>
      <c r="P18" s="59"/>
      <c r="Q18" s="58"/>
      <c r="R18" s="58"/>
      <c r="S18" s="67"/>
      <c r="T18" s="324"/>
      <c r="U18" s="88"/>
      <c r="V18" s="88"/>
      <c r="W18" s="729"/>
      <c r="X18" s="729"/>
      <c r="Y18" s="729"/>
      <c r="Z18" s="730"/>
      <c r="AB18" s="832">
        <v>0</v>
      </c>
      <c r="AC18" s="833"/>
      <c r="AD18" s="834"/>
      <c r="AF18" s="832">
        <f t="shared" si="0"/>
        <v>0</v>
      </c>
      <c r="AG18" s="833"/>
      <c r="AH18" s="834"/>
      <c r="AK18" s="325"/>
    </row>
    <row r="19" spans="3:37" s="51" customFormat="1" ht="16" customHeight="1" x14ac:dyDescent="0.15">
      <c r="C19" s="865">
        <f t="shared" si="1"/>
        <v>9</v>
      </c>
      <c r="D19" s="419"/>
      <c r="E19" s="330"/>
      <c r="F19" s="330"/>
      <c r="G19" s="330"/>
      <c r="H19" s="330"/>
      <c r="I19" s="330"/>
      <c r="J19" s="330"/>
      <c r="K19" s="330"/>
      <c r="L19" s="330"/>
      <c r="M19" s="330"/>
      <c r="N19" s="58"/>
      <c r="O19" s="58"/>
      <c r="P19" s="59"/>
      <c r="Q19" s="58"/>
      <c r="R19" s="58"/>
      <c r="S19" s="67"/>
      <c r="T19" s="324"/>
      <c r="U19" s="88"/>
      <c r="V19" s="88"/>
      <c r="W19" s="729"/>
      <c r="X19" s="729"/>
      <c r="Y19" s="729"/>
      <c r="Z19" s="730"/>
      <c r="AB19" s="832">
        <v>0</v>
      </c>
      <c r="AC19" s="833"/>
      <c r="AD19" s="834"/>
      <c r="AF19" s="832">
        <f t="shared" si="0"/>
        <v>0</v>
      </c>
      <c r="AG19" s="833"/>
      <c r="AH19" s="834"/>
      <c r="AK19" s="325"/>
    </row>
    <row r="20" spans="3:37" s="51" customFormat="1" ht="16" customHeight="1" x14ac:dyDescent="0.15">
      <c r="C20" s="865">
        <f t="shared" si="1"/>
        <v>10</v>
      </c>
      <c r="D20" s="419"/>
      <c r="E20" s="330"/>
      <c r="F20" s="330"/>
      <c r="G20" s="330"/>
      <c r="H20" s="330"/>
      <c r="I20" s="330"/>
      <c r="J20" s="330"/>
      <c r="K20" s="330"/>
      <c r="L20" s="330"/>
      <c r="M20" s="330"/>
      <c r="N20" s="58"/>
      <c r="O20" s="58"/>
      <c r="P20" s="59"/>
      <c r="Q20" s="58"/>
      <c r="R20" s="58"/>
      <c r="S20" s="67"/>
      <c r="T20" s="324"/>
      <c r="U20" s="88"/>
      <c r="V20" s="88"/>
      <c r="W20" s="729"/>
      <c r="X20" s="729"/>
      <c r="Y20" s="729"/>
      <c r="Z20" s="730"/>
      <c r="AB20" s="832">
        <v>0</v>
      </c>
      <c r="AC20" s="833"/>
      <c r="AD20" s="834"/>
      <c r="AF20" s="832">
        <f t="shared" si="0"/>
        <v>0</v>
      </c>
      <c r="AG20" s="833"/>
      <c r="AH20" s="834"/>
      <c r="AK20" s="325"/>
    </row>
    <row r="21" spans="3:37" s="51" customFormat="1" ht="16" customHeight="1" x14ac:dyDescent="0.15">
      <c r="C21" s="865">
        <f t="shared" si="1"/>
        <v>11</v>
      </c>
      <c r="D21" s="419"/>
      <c r="E21" s="330"/>
      <c r="F21" s="330"/>
      <c r="G21" s="330"/>
      <c r="H21" s="330"/>
      <c r="I21" s="330"/>
      <c r="J21" s="330"/>
      <c r="K21" s="330"/>
      <c r="L21" s="330"/>
      <c r="M21" s="330"/>
      <c r="N21" s="58"/>
      <c r="O21" s="58"/>
      <c r="P21" s="59"/>
      <c r="Q21" s="58"/>
      <c r="R21" s="58"/>
      <c r="S21" s="67"/>
      <c r="T21" s="324"/>
      <c r="U21" s="88"/>
      <c r="V21" s="88"/>
      <c r="W21" s="729"/>
      <c r="X21" s="729"/>
      <c r="Y21" s="729"/>
      <c r="Z21" s="730"/>
      <c r="AB21" s="832">
        <v>0</v>
      </c>
      <c r="AC21" s="833"/>
      <c r="AD21" s="834"/>
      <c r="AF21" s="832">
        <f t="shared" si="0"/>
        <v>0</v>
      </c>
      <c r="AG21" s="833"/>
      <c r="AH21" s="834"/>
      <c r="AK21" s="325"/>
    </row>
    <row r="22" spans="3:37" s="51" customFormat="1" ht="16" customHeight="1" x14ac:dyDescent="0.15">
      <c r="C22" s="865">
        <f t="shared" si="1"/>
        <v>12</v>
      </c>
      <c r="D22" s="419"/>
      <c r="E22" s="330"/>
      <c r="F22" s="330"/>
      <c r="G22" s="330"/>
      <c r="H22" s="330"/>
      <c r="I22" s="330"/>
      <c r="J22" s="330"/>
      <c r="K22" s="330"/>
      <c r="L22" s="330"/>
      <c r="M22" s="330"/>
      <c r="N22" s="58"/>
      <c r="O22" s="58"/>
      <c r="P22" s="59"/>
      <c r="Q22" s="58"/>
      <c r="R22" s="58"/>
      <c r="S22" s="67"/>
      <c r="T22" s="324"/>
      <c r="U22" s="88"/>
      <c r="V22" s="88"/>
      <c r="W22" s="729"/>
      <c r="X22" s="729"/>
      <c r="Y22" s="729"/>
      <c r="Z22" s="730"/>
      <c r="AB22" s="832">
        <v>0</v>
      </c>
      <c r="AC22" s="833"/>
      <c r="AD22" s="834"/>
      <c r="AF22" s="832">
        <f t="shared" si="0"/>
        <v>0</v>
      </c>
      <c r="AG22" s="833"/>
      <c r="AH22" s="834"/>
      <c r="AK22" s="325"/>
    </row>
    <row r="23" spans="3:37" s="51" customFormat="1" ht="16" customHeight="1" x14ac:dyDescent="0.15">
      <c r="C23" s="865">
        <f t="shared" ref="C23:C69" si="2">C22+1</f>
        <v>13</v>
      </c>
      <c r="D23" s="419"/>
      <c r="E23" s="330"/>
      <c r="F23" s="330"/>
      <c r="G23" s="330"/>
      <c r="H23" s="330"/>
      <c r="I23" s="330"/>
      <c r="J23" s="330"/>
      <c r="K23" s="330"/>
      <c r="L23" s="330"/>
      <c r="M23" s="330"/>
      <c r="N23" s="58"/>
      <c r="O23" s="58"/>
      <c r="P23" s="59"/>
      <c r="Q23" s="58"/>
      <c r="R23" s="58"/>
      <c r="S23" s="67"/>
      <c r="T23" s="324"/>
      <c r="U23" s="88"/>
      <c r="V23" s="88"/>
      <c r="W23" s="729"/>
      <c r="X23" s="729"/>
      <c r="Y23" s="729"/>
      <c r="Z23" s="730"/>
      <c r="AB23" s="832">
        <v>0</v>
      </c>
      <c r="AC23" s="833"/>
      <c r="AD23" s="834"/>
      <c r="AF23" s="832">
        <f t="shared" si="0"/>
        <v>0</v>
      </c>
      <c r="AG23" s="833"/>
      <c r="AH23" s="834"/>
      <c r="AK23" s="325"/>
    </row>
    <row r="24" spans="3:37" s="51" customFormat="1" ht="16" customHeight="1" x14ac:dyDescent="0.15">
      <c r="C24" s="865">
        <f t="shared" si="2"/>
        <v>14</v>
      </c>
      <c r="D24" s="419"/>
      <c r="E24" s="330"/>
      <c r="F24" s="330"/>
      <c r="G24" s="330"/>
      <c r="H24" s="330"/>
      <c r="I24" s="330"/>
      <c r="J24" s="330"/>
      <c r="K24" s="330"/>
      <c r="L24" s="330"/>
      <c r="M24" s="330"/>
      <c r="N24" s="58"/>
      <c r="O24" s="58"/>
      <c r="P24" s="59"/>
      <c r="Q24" s="58"/>
      <c r="R24" s="58"/>
      <c r="S24" s="67"/>
      <c r="T24" s="324"/>
      <c r="U24" s="88"/>
      <c r="V24" s="88"/>
      <c r="W24" s="729"/>
      <c r="X24" s="729"/>
      <c r="Y24" s="729"/>
      <c r="Z24" s="730"/>
      <c r="AB24" s="832">
        <v>0</v>
      </c>
      <c r="AC24" s="833"/>
      <c r="AD24" s="834"/>
      <c r="AF24" s="832">
        <f t="shared" si="0"/>
        <v>0</v>
      </c>
      <c r="AG24" s="833"/>
      <c r="AH24" s="834"/>
      <c r="AK24" s="325"/>
    </row>
    <row r="25" spans="3:37" s="51" customFormat="1" ht="16" customHeight="1" x14ac:dyDescent="0.15">
      <c r="C25" s="865">
        <f t="shared" si="2"/>
        <v>15</v>
      </c>
      <c r="D25" s="419"/>
      <c r="E25" s="330"/>
      <c r="F25" s="330"/>
      <c r="G25" s="330"/>
      <c r="H25" s="330"/>
      <c r="I25" s="330"/>
      <c r="J25" s="330"/>
      <c r="K25" s="330"/>
      <c r="L25" s="330"/>
      <c r="M25" s="330"/>
      <c r="N25" s="58"/>
      <c r="O25" s="58"/>
      <c r="P25" s="59"/>
      <c r="Q25" s="58"/>
      <c r="R25" s="58"/>
      <c r="S25" s="67"/>
      <c r="T25" s="324"/>
      <c r="U25" s="88"/>
      <c r="V25" s="88"/>
      <c r="W25" s="729"/>
      <c r="X25" s="729"/>
      <c r="Y25" s="729"/>
      <c r="Z25" s="730"/>
      <c r="AB25" s="832">
        <v>0</v>
      </c>
      <c r="AC25" s="833"/>
      <c r="AD25" s="834"/>
      <c r="AF25" s="832">
        <f t="shared" si="0"/>
        <v>0</v>
      </c>
      <c r="AG25" s="833"/>
      <c r="AH25" s="834"/>
      <c r="AK25" s="325"/>
    </row>
    <row r="26" spans="3:37" s="51" customFormat="1" ht="16" customHeight="1" x14ac:dyDescent="0.15">
      <c r="C26" s="865">
        <f t="shared" si="2"/>
        <v>16</v>
      </c>
      <c r="D26" s="419"/>
      <c r="E26" s="330"/>
      <c r="F26" s="330"/>
      <c r="G26" s="330"/>
      <c r="H26" s="330"/>
      <c r="I26" s="330"/>
      <c r="J26" s="330"/>
      <c r="K26" s="330"/>
      <c r="L26" s="330"/>
      <c r="M26" s="330"/>
      <c r="N26" s="58"/>
      <c r="O26" s="58"/>
      <c r="P26" s="59"/>
      <c r="Q26" s="58"/>
      <c r="R26" s="58"/>
      <c r="S26" s="67"/>
      <c r="T26" s="324"/>
      <c r="U26" s="88"/>
      <c r="V26" s="88"/>
      <c r="W26" s="729"/>
      <c r="X26" s="729"/>
      <c r="Y26" s="729"/>
      <c r="Z26" s="730"/>
      <c r="AB26" s="832">
        <v>0</v>
      </c>
      <c r="AC26" s="833"/>
      <c r="AD26" s="834"/>
      <c r="AF26" s="832">
        <f t="shared" si="0"/>
        <v>0</v>
      </c>
      <c r="AG26" s="833"/>
      <c r="AH26" s="834"/>
      <c r="AK26" s="325"/>
    </row>
    <row r="27" spans="3:37" s="51" customFormat="1" ht="16" customHeight="1" x14ac:dyDescent="0.15">
      <c r="C27" s="865">
        <f t="shared" si="2"/>
        <v>17</v>
      </c>
      <c r="D27" s="419"/>
      <c r="E27" s="330"/>
      <c r="F27" s="330"/>
      <c r="G27" s="330"/>
      <c r="H27" s="330"/>
      <c r="I27" s="330"/>
      <c r="J27" s="330"/>
      <c r="K27" s="330"/>
      <c r="L27" s="330"/>
      <c r="M27" s="330"/>
      <c r="N27" s="58"/>
      <c r="O27" s="58"/>
      <c r="P27" s="59"/>
      <c r="Q27" s="58"/>
      <c r="R27" s="58"/>
      <c r="S27" s="67"/>
      <c r="T27" s="324"/>
      <c r="U27" s="88"/>
      <c r="V27" s="88"/>
      <c r="W27" s="729"/>
      <c r="X27" s="729"/>
      <c r="Y27" s="729"/>
      <c r="Z27" s="730"/>
      <c r="AB27" s="832">
        <v>0</v>
      </c>
      <c r="AC27" s="833"/>
      <c r="AD27" s="834"/>
      <c r="AF27" s="832">
        <f t="shared" si="0"/>
        <v>0</v>
      </c>
      <c r="AG27" s="833"/>
      <c r="AH27" s="834"/>
      <c r="AK27" s="325"/>
    </row>
    <row r="28" spans="3:37" s="51" customFormat="1" ht="16" customHeight="1" x14ac:dyDescent="0.15">
      <c r="C28" s="865">
        <f t="shared" si="2"/>
        <v>18</v>
      </c>
      <c r="D28" s="419"/>
      <c r="E28" s="330"/>
      <c r="F28" s="330"/>
      <c r="G28" s="330"/>
      <c r="H28" s="330"/>
      <c r="I28" s="330"/>
      <c r="J28" s="330"/>
      <c r="K28" s="330"/>
      <c r="L28" s="330"/>
      <c r="M28" s="330"/>
      <c r="N28" s="58"/>
      <c r="O28" s="58"/>
      <c r="P28" s="59"/>
      <c r="Q28" s="58"/>
      <c r="R28" s="58"/>
      <c r="S28" s="67"/>
      <c r="T28" s="324"/>
      <c r="U28" s="88"/>
      <c r="V28" s="88"/>
      <c r="W28" s="729"/>
      <c r="X28" s="729"/>
      <c r="Y28" s="729"/>
      <c r="Z28" s="730"/>
      <c r="AB28" s="832">
        <v>0</v>
      </c>
      <c r="AC28" s="833"/>
      <c r="AD28" s="834"/>
      <c r="AF28" s="832">
        <f t="shared" si="0"/>
        <v>0</v>
      </c>
      <c r="AG28" s="833"/>
      <c r="AH28" s="834"/>
      <c r="AK28" s="325"/>
    </row>
    <row r="29" spans="3:37" s="51" customFormat="1" ht="16" customHeight="1" x14ac:dyDescent="0.15">
      <c r="C29" s="865">
        <f t="shared" si="2"/>
        <v>19</v>
      </c>
      <c r="D29" s="419"/>
      <c r="E29" s="330"/>
      <c r="F29" s="330"/>
      <c r="G29" s="330"/>
      <c r="H29" s="330"/>
      <c r="I29" s="330"/>
      <c r="J29" s="330"/>
      <c r="K29" s="330"/>
      <c r="L29" s="330"/>
      <c r="M29" s="330"/>
      <c r="N29" s="58"/>
      <c r="O29" s="58"/>
      <c r="P29" s="59"/>
      <c r="Q29" s="58"/>
      <c r="R29" s="58"/>
      <c r="S29" s="67"/>
      <c r="T29" s="324"/>
      <c r="U29" s="88"/>
      <c r="V29" s="88"/>
      <c r="W29" s="729"/>
      <c r="X29" s="729"/>
      <c r="Y29" s="729"/>
      <c r="Z29" s="730"/>
      <c r="AB29" s="832">
        <v>0</v>
      </c>
      <c r="AC29" s="833"/>
      <c r="AD29" s="834"/>
      <c r="AF29" s="832">
        <f t="shared" si="0"/>
        <v>0</v>
      </c>
      <c r="AG29" s="833"/>
      <c r="AH29" s="834"/>
      <c r="AK29" s="325"/>
    </row>
    <row r="30" spans="3:37" s="51" customFormat="1" ht="16" customHeight="1" x14ac:dyDescent="0.15">
      <c r="C30" s="865">
        <f t="shared" si="2"/>
        <v>20</v>
      </c>
      <c r="D30" s="419"/>
      <c r="E30" s="330"/>
      <c r="F30" s="330"/>
      <c r="G30" s="330"/>
      <c r="H30" s="330"/>
      <c r="I30" s="330"/>
      <c r="J30" s="330"/>
      <c r="K30" s="330"/>
      <c r="L30" s="330"/>
      <c r="M30" s="330"/>
      <c r="N30" s="58"/>
      <c r="O30" s="58"/>
      <c r="P30" s="59"/>
      <c r="Q30" s="58"/>
      <c r="R30" s="58"/>
      <c r="S30" s="67"/>
      <c r="T30" s="324"/>
      <c r="U30" s="88"/>
      <c r="V30" s="88"/>
      <c r="W30" s="729"/>
      <c r="X30" s="729"/>
      <c r="Y30" s="729"/>
      <c r="Z30" s="730"/>
      <c r="AB30" s="832">
        <v>0</v>
      </c>
      <c r="AC30" s="833"/>
      <c r="AD30" s="834"/>
      <c r="AF30" s="832">
        <f t="shared" si="0"/>
        <v>0</v>
      </c>
      <c r="AG30" s="833"/>
      <c r="AH30" s="834"/>
      <c r="AK30" s="325"/>
    </row>
    <row r="31" spans="3:37" s="51" customFormat="1" ht="16" customHeight="1" x14ac:dyDescent="0.15">
      <c r="C31" s="865">
        <f t="shared" si="2"/>
        <v>21</v>
      </c>
      <c r="D31" s="419"/>
      <c r="E31" s="330"/>
      <c r="F31" s="330"/>
      <c r="G31" s="330"/>
      <c r="H31" s="330"/>
      <c r="I31" s="330"/>
      <c r="J31" s="330"/>
      <c r="K31" s="330"/>
      <c r="L31" s="330"/>
      <c r="M31" s="330"/>
      <c r="N31" s="58"/>
      <c r="O31" s="58"/>
      <c r="P31" s="59"/>
      <c r="Q31" s="58"/>
      <c r="R31" s="58"/>
      <c r="S31" s="67"/>
      <c r="T31" s="324"/>
      <c r="U31" s="88"/>
      <c r="V31" s="88"/>
      <c r="W31" s="729"/>
      <c r="X31" s="729"/>
      <c r="Y31" s="729"/>
      <c r="Z31" s="730"/>
      <c r="AB31" s="832">
        <v>0</v>
      </c>
      <c r="AC31" s="833"/>
      <c r="AD31" s="834"/>
      <c r="AF31" s="832">
        <f t="shared" si="0"/>
        <v>0</v>
      </c>
      <c r="AG31" s="833"/>
      <c r="AH31" s="834"/>
      <c r="AK31" s="325"/>
    </row>
    <row r="32" spans="3:37" s="51" customFormat="1" ht="16" customHeight="1" x14ac:dyDescent="0.15">
      <c r="C32" s="865">
        <f t="shared" si="2"/>
        <v>22</v>
      </c>
      <c r="D32" s="419"/>
      <c r="E32" s="330"/>
      <c r="F32" s="330"/>
      <c r="G32" s="330"/>
      <c r="H32" s="330"/>
      <c r="I32" s="330"/>
      <c r="J32" s="330"/>
      <c r="K32" s="330"/>
      <c r="L32" s="330"/>
      <c r="M32" s="330"/>
      <c r="N32" s="58"/>
      <c r="O32" s="58"/>
      <c r="P32" s="59"/>
      <c r="Q32" s="58"/>
      <c r="R32" s="58"/>
      <c r="S32" s="67"/>
      <c r="T32" s="324"/>
      <c r="U32" s="88"/>
      <c r="V32" s="88"/>
      <c r="W32" s="729"/>
      <c r="X32" s="729"/>
      <c r="Y32" s="729"/>
      <c r="Z32" s="730"/>
      <c r="AB32" s="832">
        <v>0</v>
      </c>
      <c r="AC32" s="833"/>
      <c r="AD32" s="834"/>
      <c r="AF32" s="832">
        <f t="shared" si="0"/>
        <v>0</v>
      </c>
      <c r="AG32" s="833"/>
      <c r="AH32" s="834"/>
      <c r="AK32" s="325"/>
    </row>
    <row r="33" spans="3:37" s="51" customFormat="1" ht="16" customHeight="1" x14ac:dyDescent="0.15">
      <c r="C33" s="865">
        <f t="shared" si="2"/>
        <v>23</v>
      </c>
      <c r="D33" s="419"/>
      <c r="E33" s="330"/>
      <c r="F33" s="330"/>
      <c r="G33" s="330"/>
      <c r="H33" s="330"/>
      <c r="I33" s="330"/>
      <c r="J33" s="330"/>
      <c r="K33" s="330"/>
      <c r="L33" s="330"/>
      <c r="M33" s="330"/>
      <c r="N33" s="58"/>
      <c r="O33" s="58"/>
      <c r="P33" s="59"/>
      <c r="Q33" s="58"/>
      <c r="R33" s="58"/>
      <c r="S33" s="67"/>
      <c r="T33" s="324"/>
      <c r="U33" s="88"/>
      <c r="V33" s="88"/>
      <c r="W33" s="729"/>
      <c r="X33" s="729"/>
      <c r="Y33" s="729"/>
      <c r="Z33" s="730"/>
      <c r="AB33" s="832">
        <v>0</v>
      </c>
      <c r="AC33" s="833"/>
      <c r="AD33" s="834"/>
      <c r="AF33" s="832">
        <f t="shared" si="0"/>
        <v>0</v>
      </c>
      <c r="AG33" s="833"/>
      <c r="AH33" s="834"/>
      <c r="AK33" s="325"/>
    </row>
    <row r="34" spans="3:37" s="51" customFormat="1" ht="16" customHeight="1" x14ac:dyDescent="0.15">
      <c r="C34" s="865">
        <f t="shared" si="2"/>
        <v>24</v>
      </c>
      <c r="D34" s="419"/>
      <c r="E34" s="330"/>
      <c r="F34" s="330"/>
      <c r="G34" s="330"/>
      <c r="H34" s="330"/>
      <c r="I34" s="330"/>
      <c r="J34" s="330"/>
      <c r="K34" s="330"/>
      <c r="L34" s="330"/>
      <c r="M34" s="330"/>
      <c r="N34" s="58"/>
      <c r="O34" s="58"/>
      <c r="P34" s="59"/>
      <c r="Q34" s="58"/>
      <c r="R34" s="58"/>
      <c r="S34" s="67"/>
      <c r="T34" s="324"/>
      <c r="U34" s="88"/>
      <c r="V34" s="88"/>
      <c r="W34" s="729"/>
      <c r="X34" s="729"/>
      <c r="Y34" s="729"/>
      <c r="Z34" s="730"/>
      <c r="AB34" s="832">
        <v>0</v>
      </c>
      <c r="AC34" s="833"/>
      <c r="AD34" s="834"/>
      <c r="AF34" s="832">
        <f t="shared" si="0"/>
        <v>0</v>
      </c>
      <c r="AG34" s="833"/>
      <c r="AH34" s="834"/>
      <c r="AK34" s="325"/>
    </row>
    <row r="35" spans="3:37" s="51" customFormat="1" ht="16" customHeight="1" x14ac:dyDescent="0.15">
      <c r="C35" s="865">
        <f t="shared" si="2"/>
        <v>25</v>
      </c>
      <c r="D35" s="419"/>
      <c r="E35" s="330"/>
      <c r="F35" s="330"/>
      <c r="G35" s="330"/>
      <c r="H35" s="330"/>
      <c r="I35" s="330"/>
      <c r="J35" s="330"/>
      <c r="K35" s="330"/>
      <c r="L35" s="330"/>
      <c r="M35" s="330"/>
      <c r="N35" s="58"/>
      <c r="O35" s="58"/>
      <c r="P35" s="59"/>
      <c r="Q35" s="58"/>
      <c r="R35" s="58"/>
      <c r="S35" s="67"/>
      <c r="T35" s="324"/>
      <c r="U35" s="88"/>
      <c r="V35" s="88"/>
      <c r="W35" s="729"/>
      <c r="X35" s="729"/>
      <c r="Y35" s="729"/>
      <c r="Z35" s="730"/>
      <c r="AB35" s="832">
        <v>0</v>
      </c>
      <c r="AC35" s="833"/>
      <c r="AD35" s="834"/>
      <c r="AF35" s="832">
        <f t="shared" si="0"/>
        <v>0</v>
      </c>
      <c r="AG35" s="833"/>
      <c r="AH35" s="834"/>
      <c r="AK35" s="325"/>
    </row>
    <row r="36" spans="3:37" s="51" customFormat="1" ht="16" customHeight="1" x14ac:dyDescent="0.15">
      <c r="C36" s="865">
        <f t="shared" si="2"/>
        <v>26</v>
      </c>
      <c r="D36" s="419"/>
      <c r="E36" s="330"/>
      <c r="F36" s="330"/>
      <c r="G36" s="330"/>
      <c r="H36" s="330"/>
      <c r="I36" s="330"/>
      <c r="J36" s="330"/>
      <c r="K36" s="330"/>
      <c r="L36" s="330"/>
      <c r="M36" s="330"/>
      <c r="N36" s="58"/>
      <c r="O36" s="58"/>
      <c r="P36" s="59"/>
      <c r="Q36" s="58"/>
      <c r="R36" s="58"/>
      <c r="S36" s="67"/>
      <c r="T36" s="324"/>
      <c r="U36" s="88"/>
      <c r="V36" s="88"/>
      <c r="W36" s="729"/>
      <c r="X36" s="729"/>
      <c r="Y36" s="729"/>
      <c r="Z36" s="730"/>
      <c r="AB36" s="832">
        <v>0</v>
      </c>
      <c r="AC36" s="833"/>
      <c r="AD36" s="834"/>
      <c r="AF36" s="832">
        <f t="shared" si="0"/>
        <v>0</v>
      </c>
      <c r="AG36" s="833"/>
      <c r="AH36" s="834"/>
      <c r="AK36" s="325"/>
    </row>
    <row r="37" spans="3:37" s="51" customFormat="1" ht="16" customHeight="1" x14ac:dyDescent="0.15">
      <c r="C37" s="865">
        <f t="shared" si="2"/>
        <v>27</v>
      </c>
      <c r="D37" s="419"/>
      <c r="E37" s="330"/>
      <c r="F37" s="330"/>
      <c r="G37" s="330"/>
      <c r="H37" s="330"/>
      <c r="I37" s="330"/>
      <c r="J37" s="330"/>
      <c r="K37" s="330"/>
      <c r="L37" s="330"/>
      <c r="M37" s="330"/>
      <c r="N37" s="58"/>
      <c r="O37" s="58"/>
      <c r="P37" s="59"/>
      <c r="Q37" s="58"/>
      <c r="R37" s="58"/>
      <c r="S37" s="67"/>
      <c r="T37" s="324"/>
      <c r="U37" s="88"/>
      <c r="V37" s="88"/>
      <c r="W37" s="729"/>
      <c r="X37" s="729"/>
      <c r="Y37" s="729"/>
      <c r="Z37" s="730"/>
      <c r="AB37" s="832">
        <v>0</v>
      </c>
      <c r="AC37" s="833"/>
      <c r="AD37" s="834"/>
      <c r="AF37" s="832">
        <f t="shared" si="0"/>
        <v>0</v>
      </c>
      <c r="AG37" s="833"/>
      <c r="AH37" s="834"/>
      <c r="AK37" s="325"/>
    </row>
    <row r="38" spans="3:37" s="51" customFormat="1" ht="16" customHeight="1" x14ac:dyDescent="0.15">
      <c r="C38" s="865">
        <f t="shared" si="2"/>
        <v>28</v>
      </c>
      <c r="D38" s="419"/>
      <c r="E38" s="330"/>
      <c r="F38" s="330"/>
      <c r="G38" s="330"/>
      <c r="H38" s="330"/>
      <c r="I38" s="330"/>
      <c r="J38" s="330"/>
      <c r="K38" s="330"/>
      <c r="L38" s="330"/>
      <c r="M38" s="330"/>
      <c r="N38" s="58"/>
      <c r="O38" s="58"/>
      <c r="P38" s="59"/>
      <c r="Q38" s="58"/>
      <c r="R38" s="58"/>
      <c r="S38" s="67"/>
      <c r="T38" s="324"/>
      <c r="U38" s="88"/>
      <c r="V38" s="88"/>
      <c r="W38" s="729"/>
      <c r="X38" s="729"/>
      <c r="Y38" s="729"/>
      <c r="Z38" s="730"/>
      <c r="AB38" s="832">
        <v>0</v>
      </c>
      <c r="AC38" s="833"/>
      <c r="AD38" s="834"/>
      <c r="AF38" s="832">
        <f t="shared" si="0"/>
        <v>0</v>
      </c>
      <c r="AG38" s="833"/>
      <c r="AH38" s="834"/>
      <c r="AK38" s="325"/>
    </row>
    <row r="39" spans="3:37" s="51" customFormat="1" ht="16" customHeight="1" x14ac:dyDescent="0.15">
      <c r="C39" s="865">
        <f t="shared" si="2"/>
        <v>29</v>
      </c>
      <c r="D39" s="419"/>
      <c r="E39" s="330"/>
      <c r="F39" s="330"/>
      <c r="G39" s="330"/>
      <c r="H39" s="330"/>
      <c r="I39" s="330"/>
      <c r="J39" s="330"/>
      <c r="K39" s="330"/>
      <c r="L39" s="330"/>
      <c r="M39" s="330"/>
      <c r="N39" s="58"/>
      <c r="O39" s="58"/>
      <c r="P39" s="59"/>
      <c r="Q39" s="58"/>
      <c r="R39" s="58"/>
      <c r="S39" s="67"/>
      <c r="T39" s="324"/>
      <c r="U39" s="88"/>
      <c r="V39" s="88"/>
      <c r="W39" s="729"/>
      <c r="X39" s="729"/>
      <c r="Y39" s="729"/>
      <c r="Z39" s="730"/>
      <c r="AB39" s="832">
        <v>0</v>
      </c>
      <c r="AC39" s="833"/>
      <c r="AD39" s="834"/>
      <c r="AF39" s="832">
        <f t="shared" si="0"/>
        <v>0</v>
      </c>
      <c r="AG39" s="833"/>
      <c r="AH39" s="834"/>
      <c r="AK39" s="325"/>
    </row>
    <row r="40" spans="3:37" s="51" customFormat="1" ht="16" customHeight="1" x14ac:dyDescent="0.15">
      <c r="C40" s="865">
        <f t="shared" si="2"/>
        <v>30</v>
      </c>
      <c r="D40" s="419"/>
      <c r="E40" s="330"/>
      <c r="F40" s="330"/>
      <c r="G40" s="330"/>
      <c r="H40" s="330"/>
      <c r="I40" s="330"/>
      <c r="J40" s="330"/>
      <c r="K40" s="330"/>
      <c r="L40" s="330"/>
      <c r="M40" s="330"/>
      <c r="N40" s="58"/>
      <c r="O40" s="58"/>
      <c r="P40" s="59"/>
      <c r="Q40" s="58"/>
      <c r="R40" s="58"/>
      <c r="S40" s="67"/>
      <c r="T40" s="324"/>
      <c r="U40" s="88"/>
      <c r="V40" s="88"/>
      <c r="W40" s="729"/>
      <c r="X40" s="729"/>
      <c r="Y40" s="729"/>
      <c r="Z40" s="730"/>
      <c r="AB40" s="832">
        <v>0</v>
      </c>
      <c r="AC40" s="833"/>
      <c r="AD40" s="834"/>
      <c r="AF40" s="832">
        <f t="shared" si="0"/>
        <v>0</v>
      </c>
      <c r="AG40" s="833"/>
      <c r="AH40" s="834"/>
      <c r="AK40" s="325"/>
    </row>
    <row r="41" spans="3:37" s="51" customFormat="1" ht="16" customHeight="1" x14ac:dyDescent="0.15">
      <c r="C41" s="865">
        <f t="shared" si="2"/>
        <v>31</v>
      </c>
      <c r="D41" s="419"/>
      <c r="E41" s="330"/>
      <c r="F41" s="330"/>
      <c r="G41" s="330"/>
      <c r="H41" s="330"/>
      <c r="I41" s="330"/>
      <c r="J41" s="330"/>
      <c r="K41" s="330"/>
      <c r="L41" s="330"/>
      <c r="M41" s="330"/>
      <c r="N41" s="58"/>
      <c r="O41" s="58"/>
      <c r="P41" s="59"/>
      <c r="Q41" s="58"/>
      <c r="R41" s="58"/>
      <c r="S41" s="67"/>
      <c r="T41" s="324"/>
      <c r="U41" s="88"/>
      <c r="V41" s="88"/>
      <c r="W41" s="729"/>
      <c r="X41" s="729"/>
      <c r="Y41" s="729"/>
      <c r="Z41" s="730"/>
      <c r="AB41" s="832">
        <v>0</v>
      </c>
      <c r="AC41" s="833"/>
      <c r="AD41" s="834"/>
      <c r="AF41" s="832">
        <f t="shared" si="0"/>
        <v>0</v>
      </c>
      <c r="AG41" s="833"/>
      <c r="AH41" s="834"/>
      <c r="AK41" s="325"/>
    </row>
    <row r="42" spans="3:37" s="51" customFormat="1" ht="16" customHeight="1" x14ac:dyDescent="0.15">
      <c r="C42" s="865">
        <f t="shared" si="2"/>
        <v>32</v>
      </c>
      <c r="D42" s="419"/>
      <c r="E42" s="330"/>
      <c r="F42" s="330"/>
      <c r="G42" s="330"/>
      <c r="H42" s="330"/>
      <c r="I42" s="330"/>
      <c r="J42" s="330"/>
      <c r="K42" s="330"/>
      <c r="L42" s="330"/>
      <c r="M42" s="330"/>
      <c r="N42" s="58"/>
      <c r="O42" s="58"/>
      <c r="P42" s="59"/>
      <c r="Q42" s="58"/>
      <c r="R42" s="58"/>
      <c r="S42" s="67"/>
      <c r="T42" s="324"/>
      <c r="U42" s="74"/>
      <c r="V42" s="74"/>
      <c r="W42" s="729"/>
      <c r="X42" s="729"/>
      <c r="Y42" s="729"/>
      <c r="Z42" s="730"/>
      <c r="AB42" s="832">
        <v>0</v>
      </c>
      <c r="AC42" s="833"/>
      <c r="AD42" s="834"/>
      <c r="AF42" s="832">
        <f t="shared" si="0"/>
        <v>0</v>
      </c>
      <c r="AG42" s="833"/>
      <c r="AH42" s="834"/>
      <c r="AK42" s="325"/>
    </row>
    <row r="43" spans="3:37" s="51" customFormat="1" ht="16" customHeight="1" x14ac:dyDescent="0.15">
      <c r="C43" s="865">
        <f t="shared" si="2"/>
        <v>33</v>
      </c>
      <c r="D43" s="419"/>
      <c r="E43" s="330"/>
      <c r="F43" s="330"/>
      <c r="G43" s="330"/>
      <c r="H43" s="330"/>
      <c r="I43" s="330"/>
      <c r="J43" s="330"/>
      <c r="K43" s="330"/>
      <c r="L43" s="330"/>
      <c r="M43" s="330"/>
      <c r="N43" s="58"/>
      <c r="O43" s="58"/>
      <c r="P43" s="59"/>
      <c r="Q43" s="58"/>
      <c r="R43" s="58"/>
      <c r="S43" s="67"/>
      <c r="T43" s="324"/>
      <c r="U43" s="74"/>
      <c r="V43" s="74"/>
      <c r="W43" s="729"/>
      <c r="X43" s="729"/>
      <c r="Y43" s="729"/>
      <c r="Z43" s="730"/>
      <c r="AB43" s="832">
        <v>0</v>
      </c>
      <c r="AC43" s="833"/>
      <c r="AD43" s="834"/>
      <c r="AF43" s="832">
        <f t="shared" si="0"/>
        <v>0</v>
      </c>
      <c r="AG43" s="833"/>
      <c r="AH43" s="834"/>
      <c r="AK43" s="325"/>
    </row>
    <row r="44" spans="3:37" s="51" customFormat="1" ht="16" customHeight="1" x14ac:dyDescent="0.15">
      <c r="C44" s="865">
        <f t="shared" si="2"/>
        <v>34</v>
      </c>
      <c r="D44" s="419"/>
      <c r="E44" s="330"/>
      <c r="F44" s="330"/>
      <c r="G44" s="330"/>
      <c r="H44" s="330"/>
      <c r="I44" s="330"/>
      <c r="J44" s="330"/>
      <c r="K44" s="330"/>
      <c r="L44" s="330"/>
      <c r="M44" s="330"/>
      <c r="N44" s="58"/>
      <c r="O44" s="58"/>
      <c r="P44" s="59"/>
      <c r="Q44" s="58"/>
      <c r="R44" s="58"/>
      <c r="S44" s="67"/>
      <c r="T44" s="324"/>
      <c r="U44" s="74"/>
      <c r="V44" s="74"/>
      <c r="W44" s="729"/>
      <c r="X44" s="729"/>
      <c r="Y44" s="729"/>
      <c r="Z44" s="730"/>
      <c r="AB44" s="832">
        <v>0</v>
      </c>
      <c r="AC44" s="833"/>
      <c r="AD44" s="834"/>
      <c r="AF44" s="832">
        <f t="shared" si="0"/>
        <v>0</v>
      </c>
      <c r="AG44" s="833"/>
      <c r="AH44" s="834"/>
      <c r="AK44" s="325"/>
    </row>
    <row r="45" spans="3:37" s="51" customFormat="1" ht="16" customHeight="1" x14ac:dyDescent="0.15">
      <c r="C45" s="865">
        <f t="shared" si="2"/>
        <v>35</v>
      </c>
      <c r="D45" s="419"/>
      <c r="E45" s="330"/>
      <c r="F45" s="330"/>
      <c r="G45" s="330"/>
      <c r="H45" s="330"/>
      <c r="I45" s="330"/>
      <c r="J45" s="330"/>
      <c r="K45" s="330"/>
      <c r="L45" s="330"/>
      <c r="M45" s="330"/>
      <c r="N45" s="58"/>
      <c r="O45" s="58"/>
      <c r="P45" s="59"/>
      <c r="Q45" s="58"/>
      <c r="R45" s="58"/>
      <c r="S45" s="67"/>
      <c r="T45" s="324"/>
      <c r="U45" s="74"/>
      <c r="V45" s="74"/>
      <c r="W45" s="729"/>
      <c r="X45" s="729"/>
      <c r="Y45" s="729"/>
      <c r="Z45" s="730"/>
      <c r="AB45" s="832">
        <v>0</v>
      </c>
      <c r="AC45" s="833"/>
      <c r="AD45" s="834"/>
      <c r="AF45" s="832">
        <f t="shared" si="0"/>
        <v>0</v>
      </c>
      <c r="AG45" s="833"/>
      <c r="AH45" s="834"/>
      <c r="AK45" s="325"/>
    </row>
    <row r="46" spans="3:37" s="51" customFormat="1" ht="16" customHeight="1" x14ac:dyDescent="0.15">
      <c r="C46" s="865">
        <f t="shared" si="2"/>
        <v>36</v>
      </c>
      <c r="D46" s="419"/>
      <c r="E46" s="330"/>
      <c r="F46" s="330"/>
      <c r="G46" s="330"/>
      <c r="H46" s="330"/>
      <c r="I46" s="330"/>
      <c r="J46" s="330"/>
      <c r="K46" s="330"/>
      <c r="L46" s="330"/>
      <c r="M46" s="330"/>
      <c r="N46" s="58"/>
      <c r="O46" s="58"/>
      <c r="P46" s="59"/>
      <c r="Q46" s="58"/>
      <c r="R46" s="58"/>
      <c r="S46" s="67"/>
      <c r="T46" s="324"/>
      <c r="U46" s="74"/>
      <c r="V46" s="74"/>
      <c r="W46" s="729"/>
      <c r="X46" s="729"/>
      <c r="Y46" s="729"/>
      <c r="Z46" s="730"/>
      <c r="AB46" s="832">
        <v>0</v>
      </c>
      <c r="AC46" s="833"/>
      <c r="AD46" s="834"/>
      <c r="AF46" s="832">
        <f t="shared" si="0"/>
        <v>0</v>
      </c>
      <c r="AG46" s="833"/>
      <c r="AH46" s="834"/>
      <c r="AK46" s="325"/>
    </row>
    <row r="47" spans="3:37" s="51" customFormat="1" ht="16" customHeight="1" x14ac:dyDescent="0.15">
      <c r="C47" s="865">
        <f t="shared" si="2"/>
        <v>37</v>
      </c>
      <c r="D47" s="419"/>
      <c r="E47" s="330"/>
      <c r="F47" s="330"/>
      <c r="G47" s="330"/>
      <c r="H47" s="330"/>
      <c r="I47" s="330"/>
      <c r="J47" s="330"/>
      <c r="K47" s="330"/>
      <c r="L47" s="330"/>
      <c r="M47" s="330"/>
      <c r="N47" s="58"/>
      <c r="O47" s="58"/>
      <c r="P47" s="59"/>
      <c r="Q47" s="58"/>
      <c r="R47" s="58"/>
      <c r="S47" s="67"/>
      <c r="T47" s="324"/>
      <c r="U47" s="74"/>
      <c r="V47" s="74"/>
      <c r="W47" s="729"/>
      <c r="X47" s="729"/>
      <c r="Y47" s="729"/>
      <c r="Z47" s="730"/>
      <c r="AB47" s="832">
        <v>0</v>
      </c>
      <c r="AC47" s="833"/>
      <c r="AD47" s="834"/>
      <c r="AF47" s="832">
        <f t="shared" si="0"/>
        <v>0</v>
      </c>
      <c r="AG47" s="833"/>
      <c r="AH47" s="834"/>
      <c r="AK47" s="325"/>
    </row>
    <row r="48" spans="3:37" s="51" customFormat="1" ht="16" customHeight="1" x14ac:dyDescent="0.15">
      <c r="C48" s="865">
        <f t="shared" si="2"/>
        <v>38</v>
      </c>
      <c r="D48" s="419"/>
      <c r="E48" s="330"/>
      <c r="F48" s="330"/>
      <c r="G48" s="330"/>
      <c r="H48" s="330"/>
      <c r="I48" s="330"/>
      <c r="J48" s="330"/>
      <c r="K48" s="330"/>
      <c r="L48" s="330"/>
      <c r="M48" s="330"/>
      <c r="N48" s="58"/>
      <c r="O48" s="58"/>
      <c r="P48" s="59"/>
      <c r="Q48" s="58"/>
      <c r="R48" s="58"/>
      <c r="S48" s="67"/>
      <c r="T48" s="324"/>
      <c r="U48" s="74"/>
      <c r="V48" s="74"/>
      <c r="W48" s="729"/>
      <c r="X48" s="729"/>
      <c r="Y48" s="729"/>
      <c r="Z48" s="730"/>
      <c r="AB48" s="832">
        <v>0</v>
      </c>
      <c r="AC48" s="833"/>
      <c r="AD48" s="834"/>
      <c r="AF48" s="832">
        <f t="shared" si="0"/>
        <v>0</v>
      </c>
      <c r="AG48" s="833"/>
      <c r="AH48" s="834"/>
      <c r="AK48" s="325"/>
    </row>
    <row r="49" spans="3:38" s="51" customFormat="1" ht="16" customHeight="1" x14ac:dyDescent="0.15">
      <c r="C49" s="865">
        <f t="shared" si="2"/>
        <v>39</v>
      </c>
      <c r="D49" s="419"/>
      <c r="E49" s="330"/>
      <c r="F49" s="330"/>
      <c r="G49" s="330"/>
      <c r="H49" s="330"/>
      <c r="I49" s="330"/>
      <c r="J49" s="330"/>
      <c r="K49" s="330"/>
      <c r="L49" s="330"/>
      <c r="M49" s="330"/>
      <c r="N49" s="58"/>
      <c r="O49" s="58"/>
      <c r="P49" s="59"/>
      <c r="Q49" s="58"/>
      <c r="R49" s="58"/>
      <c r="S49" s="67"/>
      <c r="T49" s="324"/>
      <c r="U49" s="74"/>
      <c r="V49" s="74"/>
      <c r="W49" s="729"/>
      <c r="X49" s="729"/>
      <c r="Y49" s="729"/>
      <c r="Z49" s="730"/>
      <c r="AB49" s="832">
        <v>0</v>
      </c>
      <c r="AC49" s="833"/>
      <c r="AD49" s="834"/>
      <c r="AF49" s="832">
        <f t="shared" si="0"/>
        <v>0</v>
      </c>
      <c r="AG49" s="833"/>
      <c r="AH49" s="834"/>
      <c r="AK49" s="325"/>
    </row>
    <row r="50" spans="3:38" s="51" customFormat="1" ht="16" customHeight="1" x14ac:dyDescent="0.15">
      <c r="C50" s="865">
        <f t="shared" si="2"/>
        <v>40</v>
      </c>
      <c r="D50" s="419"/>
      <c r="E50" s="330"/>
      <c r="F50" s="330"/>
      <c r="G50" s="330"/>
      <c r="H50" s="330"/>
      <c r="I50" s="330"/>
      <c r="J50" s="330"/>
      <c r="K50" s="330"/>
      <c r="L50" s="330"/>
      <c r="M50" s="330"/>
      <c r="N50" s="58"/>
      <c r="O50" s="58"/>
      <c r="P50" s="59"/>
      <c r="Q50" s="58"/>
      <c r="R50" s="58"/>
      <c r="S50" s="67"/>
      <c r="T50" s="324"/>
      <c r="U50" s="74"/>
      <c r="V50" s="74"/>
      <c r="W50" s="729"/>
      <c r="X50" s="729"/>
      <c r="Y50" s="729"/>
      <c r="Z50" s="730"/>
      <c r="AB50" s="832">
        <v>0</v>
      </c>
      <c r="AC50" s="833"/>
      <c r="AD50" s="834"/>
      <c r="AF50" s="832">
        <f t="shared" si="0"/>
        <v>0</v>
      </c>
      <c r="AG50" s="833"/>
      <c r="AH50" s="834"/>
      <c r="AK50" s="325"/>
    </row>
    <row r="51" spans="3:38" s="51" customFormat="1" ht="16" customHeight="1" x14ac:dyDescent="0.15">
      <c r="C51" s="865">
        <f t="shared" si="2"/>
        <v>41</v>
      </c>
      <c r="D51" s="419"/>
      <c r="E51" s="330"/>
      <c r="F51" s="330"/>
      <c r="G51" s="330"/>
      <c r="H51" s="330"/>
      <c r="I51" s="330"/>
      <c r="J51" s="330"/>
      <c r="K51" s="330"/>
      <c r="L51" s="330"/>
      <c r="M51" s="330"/>
      <c r="N51" s="58"/>
      <c r="O51" s="58"/>
      <c r="P51" s="59"/>
      <c r="Q51" s="58"/>
      <c r="R51" s="58"/>
      <c r="S51" s="67"/>
      <c r="T51" s="324"/>
      <c r="U51" s="74"/>
      <c r="V51" s="74"/>
      <c r="W51" s="729"/>
      <c r="X51" s="729"/>
      <c r="Y51" s="729"/>
      <c r="Z51" s="730"/>
      <c r="AB51" s="832">
        <v>0</v>
      </c>
      <c r="AC51" s="833"/>
      <c r="AD51" s="834"/>
      <c r="AF51" s="832">
        <f t="shared" si="0"/>
        <v>0</v>
      </c>
      <c r="AG51" s="833"/>
      <c r="AH51" s="834"/>
      <c r="AK51" s="325"/>
    </row>
    <row r="52" spans="3:38" s="51" customFormat="1" ht="16" customHeight="1" x14ac:dyDescent="0.15">
      <c r="C52" s="865">
        <f t="shared" si="2"/>
        <v>42</v>
      </c>
      <c r="D52" s="419"/>
      <c r="E52" s="330"/>
      <c r="F52" s="330"/>
      <c r="G52" s="330"/>
      <c r="H52" s="330"/>
      <c r="I52" s="330"/>
      <c r="J52" s="330"/>
      <c r="K52" s="330"/>
      <c r="L52" s="330"/>
      <c r="M52" s="330"/>
      <c r="N52" s="58"/>
      <c r="O52" s="58"/>
      <c r="P52" s="59"/>
      <c r="Q52" s="58"/>
      <c r="R52" s="58"/>
      <c r="S52" s="67"/>
      <c r="T52" s="324"/>
      <c r="U52" s="74"/>
      <c r="V52" s="74"/>
      <c r="W52" s="729"/>
      <c r="X52" s="729"/>
      <c r="Y52" s="729"/>
      <c r="Z52" s="730"/>
      <c r="AB52" s="832">
        <v>0</v>
      </c>
      <c r="AC52" s="833"/>
      <c r="AD52" s="834"/>
      <c r="AF52" s="832">
        <f t="shared" si="0"/>
        <v>0</v>
      </c>
      <c r="AG52" s="833"/>
      <c r="AH52" s="834"/>
      <c r="AK52" s="325"/>
    </row>
    <row r="53" spans="3:38" s="51" customFormat="1" ht="16" customHeight="1" x14ac:dyDescent="0.15">
      <c r="C53" s="865">
        <f t="shared" si="2"/>
        <v>43</v>
      </c>
      <c r="D53" s="419"/>
      <c r="E53" s="331"/>
      <c r="F53" s="331"/>
      <c r="G53" s="331"/>
      <c r="H53" s="331"/>
      <c r="I53" s="331"/>
      <c r="J53" s="331"/>
      <c r="K53" s="331"/>
      <c r="L53" s="331"/>
      <c r="M53" s="331"/>
      <c r="N53" s="326"/>
      <c r="O53" s="58"/>
      <c r="P53" s="49"/>
      <c r="Q53" s="326"/>
      <c r="R53" s="326"/>
      <c r="S53" s="50"/>
      <c r="T53" s="327"/>
      <c r="U53" s="89"/>
      <c r="V53" s="89"/>
      <c r="W53" s="729"/>
      <c r="X53" s="729"/>
      <c r="Y53" s="729"/>
      <c r="Z53" s="730"/>
      <c r="AB53" s="832">
        <v>0</v>
      </c>
      <c r="AC53" s="833"/>
      <c r="AD53" s="834"/>
      <c r="AF53" s="832">
        <f t="shared" si="0"/>
        <v>0</v>
      </c>
      <c r="AG53" s="833"/>
      <c r="AH53" s="834"/>
    </row>
    <row r="54" spans="3:38" s="51" customFormat="1" ht="16" customHeight="1" x14ac:dyDescent="0.15">
      <c r="C54" s="865">
        <f t="shared" si="2"/>
        <v>44</v>
      </c>
      <c r="D54" s="419"/>
      <c r="E54" s="332"/>
      <c r="F54" s="332"/>
      <c r="G54" s="332"/>
      <c r="H54" s="332"/>
      <c r="I54" s="332"/>
      <c r="J54" s="332"/>
      <c r="K54" s="332"/>
      <c r="L54" s="332"/>
      <c r="M54" s="332"/>
      <c r="N54" s="326"/>
      <c r="O54" s="58"/>
      <c r="P54" s="49"/>
      <c r="Q54" s="326"/>
      <c r="R54" s="326"/>
      <c r="S54" s="50"/>
      <c r="T54" s="327"/>
      <c r="U54" s="89"/>
      <c r="V54" s="89"/>
      <c r="W54" s="729"/>
      <c r="X54" s="729"/>
      <c r="Y54" s="729"/>
      <c r="Z54" s="730"/>
      <c r="AB54" s="832">
        <v>0</v>
      </c>
      <c r="AC54" s="833"/>
      <c r="AD54" s="834"/>
      <c r="AF54" s="832">
        <f t="shared" si="0"/>
        <v>0</v>
      </c>
      <c r="AG54" s="833"/>
      <c r="AH54" s="834"/>
    </row>
    <row r="55" spans="3:38" s="51" customFormat="1" ht="16" customHeight="1" x14ac:dyDescent="0.15">
      <c r="C55" s="865">
        <f t="shared" si="2"/>
        <v>45</v>
      </c>
      <c r="D55" s="419"/>
      <c r="E55" s="332"/>
      <c r="F55" s="332"/>
      <c r="G55" s="332"/>
      <c r="H55" s="332"/>
      <c r="I55" s="332"/>
      <c r="J55" s="332"/>
      <c r="K55" s="332"/>
      <c r="L55" s="332"/>
      <c r="M55" s="332"/>
      <c r="N55" s="326"/>
      <c r="O55" s="58"/>
      <c r="P55" s="49"/>
      <c r="Q55" s="326"/>
      <c r="R55" s="326"/>
      <c r="S55" s="50"/>
      <c r="T55" s="327"/>
      <c r="U55" s="89"/>
      <c r="V55" s="89"/>
      <c r="W55" s="729"/>
      <c r="X55" s="729"/>
      <c r="Y55" s="729"/>
      <c r="Z55" s="730"/>
      <c r="AB55" s="832">
        <v>0</v>
      </c>
      <c r="AC55" s="833"/>
      <c r="AD55" s="834"/>
      <c r="AF55" s="832">
        <f t="shared" si="0"/>
        <v>0</v>
      </c>
      <c r="AG55" s="833"/>
      <c r="AH55" s="834"/>
      <c r="AK55" s="291"/>
    </row>
    <row r="56" spans="3:38" s="51" customFormat="1" ht="16" customHeight="1" x14ac:dyDescent="0.15">
      <c r="C56" s="865">
        <f t="shared" si="2"/>
        <v>46</v>
      </c>
      <c r="D56" s="419"/>
      <c r="E56" s="332"/>
      <c r="F56" s="332"/>
      <c r="G56" s="332"/>
      <c r="H56" s="332"/>
      <c r="I56" s="332"/>
      <c r="J56" s="332"/>
      <c r="K56" s="332"/>
      <c r="L56" s="332"/>
      <c r="M56" s="332"/>
      <c r="N56" s="326"/>
      <c r="O56" s="58"/>
      <c r="P56" s="49"/>
      <c r="Q56" s="326"/>
      <c r="R56" s="326"/>
      <c r="S56" s="50"/>
      <c r="T56" s="327"/>
      <c r="U56" s="89"/>
      <c r="V56" s="89"/>
      <c r="W56" s="729"/>
      <c r="X56" s="729"/>
      <c r="Y56" s="729"/>
      <c r="Z56" s="730"/>
      <c r="AB56" s="832">
        <v>0</v>
      </c>
      <c r="AC56" s="833"/>
      <c r="AD56" s="834"/>
      <c r="AF56" s="832">
        <f t="shared" si="0"/>
        <v>0</v>
      </c>
      <c r="AG56" s="833"/>
      <c r="AH56" s="834"/>
      <c r="AK56" s="291"/>
    </row>
    <row r="57" spans="3:38" s="51" customFormat="1" ht="16" customHeight="1" x14ac:dyDescent="0.15">
      <c r="C57" s="865">
        <f t="shared" si="2"/>
        <v>47</v>
      </c>
      <c r="D57" s="419"/>
      <c r="E57" s="332"/>
      <c r="F57" s="332"/>
      <c r="G57" s="332"/>
      <c r="H57" s="332"/>
      <c r="I57" s="332"/>
      <c r="J57" s="332"/>
      <c r="K57" s="332"/>
      <c r="L57" s="332"/>
      <c r="M57" s="332"/>
      <c r="N57" s="326"/>
      <c r="O57" s="58"/>
      <c r="P57" s="49"/>
      <c r="Q57" s="326"/>
      <c r="R57" s="326"/>
      <c r="S57" s="50"/>
      <c r="T57" s="327"/>
      <c r="U57" s="89"/>
      <c r="V57" s="89"/>
      <c r="W57" s="729"/>
      <c r="X57" s="729"/>
      <c r="Y57" s="729"/>
      <c r="Z57" s="730"/>
      <c r="AB57" s="832">
        <v>0</v>
      </c>
      <c r="AC57" s="833"/>
      <c r="AD57" s="834"/>
      <c r="AF57" s="832">
        <f t="shared" si="0"/>
        <v>0</v>
      </c>
      <c r="AG57" s="833"/>
      <c r="AH57" s="834"/>
      <c r="AK57" s="291"/>
    </row>
    <row r="58" spans="3:38" s="51" customFormat="1" ht="16" customHeight="1" x14ac:dyDescent="0.15">
      <c r="C58" s="865">
        <f t="shared" si="2"/>
        <v>48</v>
      </c>
      <c r="D58" s="419"/>
      <c r="E58" s="332"/>
      <c r="F58" s="332"/>
      <c r="G58" s="332"/>
      <c r="H58" s="332"/>
      <c r="I58" s="332"/>
      <c r="J58" s="332"/>
      <c r="K58" s="332"/>
      <c r="L58" s="332"/>
      <c r="M58" s="332"/>
      <c r="N58" s="326"/>
      <c r="O58" s="58"/>
      <c r="P58" s="49"/>
      <c r="Q58" s="326"/>
      <c r="R58" s="326"/>
      <c r="S58" s="50"/>
      <c r="T58" s="327"/>
      <c r="U58" s="89"/>
      <c r="V58" s="89"/>
      <c r="W58" s="729"/>
      <c r="X58" s="729"/>
      <c r="Y58" s="729"/>
      <c r="Z58" s="730"/>
      <c r="AB58" s="832">
        <v>0</v>
      </c>
      <c r="AC58" s="833"/>
      <c r="AD58" s="834"/>
      <c r="AF58" s="832">
        <f t="shared" si="0"/>
        <v>0</v>
      </c>
      <c r="AG58" s="833"/>
      <c r="AH58" s="834"/>
      <c r="AK58" s="291"/>
    </row>
    <row r="59" spans="3:38" s="51" customFormat="1" ht="16" customHeight="1" x14ac:dyDescent="0.15">
      <c r="C59" s="865">
        <f t="shared" si="2"/>
        <v>49</v>
      </c>
      <c r="D59" s="419"/>
      <c r="E59" s="332"/>
      <c r="F59" s="332"/>
      <c r="G59" s="332"/>
      <c r="H59" s="332"/>
      <c r="I59" s="332"/>
      <c r="J59" s="332"/>
      <c r="K59" s="332"/>
      <c r="L59" s="332"/>
      <c r="M59" s="332"/>
      <c r="N59" s="326"/>
      <c r="O59" s="58"/>
      <c r="P59" s="49"/>
      <c r="Q59" s="326"/>
      <c r="R59" s="326"/>
      <c r="S59" s="50"/>
      <c r="T59" s="327"/>
      <c r="U59" s="89"/>
      <c r="V59" s="89"/>
      <c r="W59" s="729"/>
      <c r="X59" s="729"/>
      <c r="Y59" s="729"/>
      <c r="Z59" s="730"/>
      <c r="AB59" s="832">
        <v>0</v>
      </c>
      <c r="AC59" s="833"/>
      <c r="AD59" s="834"/>
      <c r="AF59" s="832">
        <f t="shared" si="0"/>
        <v>0</v>
      </c>
      <c r="AG59" s="833"/>
      <c r="AH59" s="834"/>
      <c r="AK59" s="291"/>
      <c r="AL59" s="328"/>
    </row>
    <row r="60" spans="3:38" s="51" customFormat="1" ht="16" customHeight="1" x14ac:dyDescent="0.15">
      <c r="C60" s="865">
        <f t="shared" si="2"/>
        <v>50</v>
      </c>
      <c r="D60" s="419"/>
      <c r="E60" s="330"/>
      <c r="F60" s="330"/>
      <c r="G60" s="330"/>
      <c r="H60" s="330"/>
      <c r="I60" s="330"/>
      <c r="J60" s="330"/>
      <c r="K60" s="330"/>
      <c r="L60" s="330"/>
      <c r="M60" s="330"/>
      <c r="N60" s="58"/>
      <c r="O60" s="58"/>
      <c r="P60" s="59"/>
      <c r="Q60" s="58"/>
      <c r="R60" s="58"/>
      <c r="S60" s="67"/>
      <c r="T60" s="324"/>
      <c r="U60" s="88"/>
      <c r="V60" s="88"/>
      <c r="W60" s="729"/>
      <c r="X60" s="729"/>
      <c r="Y60" s="729"/>
      <c r="Z60" s="730"/>
      <c r="AB60" s="832">
        <v>0</v>
      </c>
      <c r="AC60" s="833"/>
      <c r="AD60" s="834"/>
      <c r="AF60" s="832">
        <f t="shared" si="0"/>
        <v>0</v>
      </c>
      <c r="AG60" s="833"/>
      <c r="AH60" s="834"/>
      <c r="AK60" s="325"/>
    </row>
    <row r="61" spans="3:38" s="51" customFormat="1" ht="16" customHeight="1" x14ac:dyDescent="0.15">
      <c r="C61" s="865">
        <f t="shared" si="2"/>
        <v>51</v>
      </c>
      <c r="D61" s="419"/>
      <c r="E61" s="330"/>
      <c r="F61" s="330"/>
      <c r="G61" s="330"/>
      <c r="H61" s="330"/>
      <c r="I61" s="330"/>
      <c r="J61" s="330"/>
      <c r="K61" s="330"/>
      <c r="L61" s="330"/>
      <c r="M61" s="330"/>
      <c r="N61" s="58"/>
      <c r="O61" s="58"/>
      <c r="P61" s="59"/>
      <c r="Q61" s="58"/>
      <c r="R61" s="58"/>
      <c r="S61" s="67"/>
      <c r="T61" s="324"/>
      <c r="U61" s="88"/>
      <c r="V61" s="88"/>
      <c r="W61" s="729"/>
      <c r="X61" s="729"/>
      <c r="Y61" s="729"/>
      <c r="Z61" s="730"/>
      <c r="AB61" s="832">
        <v>0</v>
      </c>
      <c r="AC61" s="833"/>
      <c r="AD61" s="834"/>
      <c r="AF61" s="832">
        <f t="shared" si="0"/>
        <v>0</v>
      </c>
      <c r="AG61" s="833"/>
      <c r="AH61" s="834"/>
      <c r="AK61" s="325"/>
    </row>
    <row r="62" spans="3:38" s="51" customFormat="1" ht="16" customHeight="1" x14ac:dyDescent="0.15">
      <c r="C62" s="865">
        <f t="shared" si="2"/>
        <v>52</v>
      </c>
      <c r="D62" s="419"/>
      <c r="E62" s="330"/>
      <c r="F62" s="330"/>
      <c r="G62" s="330"/>
      <c r="H62" s="330"/>
      <c r="I62" s="330"/>
      <c r="J62" s="330"/>
      <c r="K62" s="330"/>
      <c r="L62" s="330"/>
      <c r="M62" s="330"/>
      <c r="N62" s="58"/>
      <c r="O62" s="58"/>
      <c r="P62" s="59"/>
      <c r="Q62" s="58"/>
      <c r="R62" s="58"/>
      <c r="S62" s="67"/>
      <c r="T62" s="324"/>
      <c r="U62" s="88"/>
      <c r="V62" s="88"/>
      <c r="W62" s="729"/>
      <c r="X62" s="729"/>
      <c r="Y62" s="729"/>
      <c r="Z62" s="730"/>
      <c r="AB62" s="832">
        <v>0</v>
      </c>
      <c r="AC62" s="833"/>
      <c r="AD62" s="834"/>
      <c r="AF62" s="832">
        <f t="shared" si="0"/>
        <v>0</v>
      </c>
      <c r="AG62" s="833"/>
      <c r="AH62" s="834"/>
      <c r="AK62" s="325"/>
    </row>
    <row r="63" spans="3:38" s="51" customFormat="1" ht="16" customHeight="1" x14ac:dyDescent="0.15">
      <c r="C63" s="865">
        <f t="shared" si="2"/>
        <v>53</v>
      </c>
      <c r="D63" s="419"/>
      <c r="E63" s="330"/>
      <c r="F63" s="330"/>
      <c r="G63" s="330"/>
      <c r="H63" s="330"/>
      <c r="I63" s="330"/>
      <c r="J63" s="330"/>
      <c r="K63" s="330"/>
      <c r="L63" s="330"/>
      <c r="M63" s="330"/>
      <c r="N63" s="58"/>
      <c r="O63" s="58"/>
      <c r="P63" s="59"/>
      <c r="Q63" s="58"/>
      <c r="R63" s="58"/>
      <c r="S63" s="67"/>
      <c r="T63" s="324"/>
      <c r="U63" s="88"/>
      <c r="V63" s="88"/>
      <c r="W63" s="729"/>
      <c r="X63" s="729"/>
      <c r="Y63" s="729"/>
      <c r="Z63" s="730"/>
      <c r="AB63" s="832">
        <v>0</v>
      </c>
      <c r="AC63" s="833"/>
      <c r="AD63" s="834"/>
      <c r="AF63" s="832">
        <f t="shared" si="0"/>
        <v>0</v>
      </c>
      <c r="AG63" s="833"/>
      <c r="AH63" s="834"/>
      <c r="AK63" s="325"/>
    </row>
    <row r="64" spans="3:38" s="51" customFormat="1" ht="16" customHeight="1" x14ac:dyDescent="0.15">
      <c r="C64" s="865">
        <f t="shared" si="2"/>
        <v>54</v>
      </c>
      <c r="D64" s="419"/>
      <c r="E64" s="330"/>
      <c r="F64" s="330"/>
      <c r="G64" s="330"/>
      <c r="H64" s="330"/>
      <c r="I64" s="330"/>
      <c r="J64" s="330"/>
      <c r="K64" s="330"/>
      <c r="L64" s="330"/>
      <c r="M64" s="330"/>
      <c r="N64" s="58"/>
      <c r="O64" s="58"/>
      <c r="P64" s="59"/>
      <c r="Q64" s="58"/>
      <c r="R64" s="58"/>
      <c r="S64" s="67"/>
      <c r="T64" s="324"/>
      <c r="U64" s="88"/>
      <c r="V64" s="88"/>
      <c r="W64" s="729"/>
      <c r="X64" s="729"/>
      <c r="Y64" s="729"/>
      <c r="Z64" s="730"/>
      <c r="AB64" s="832">
        <v>0</v>
      </c>
      <c r="AC64" s="833"/>
      <c r="AD64" s="834"/>
      <c r="AF64" s="832">
        <f t="shared" si="0"/>
        <v>0</v>
      </c>
      <c r="AG64" s="833"/>
      <c r="AH64" s="834"/>
      <c r="AK64" s="291"/>
    </row>
    <row r="65" spans="3:49" s="51" customFormat="1" ht="16" customHeight="1" x14ac:dyDescent="0.15">
      <c r="C65" s="865">
        <f t="shared" si="2"/>
        <v>55</v>
      </c>
      <c r="D65" s="419"/>
      <c r="E65" s="330"/>
      <c r="F65" s="330"/>
      <c r="G65" s="330"/>
      <c r="H65" s="330"/>
      <c r="I65" s="330"/>
      <c r="J65" s="330"/>
      <c r="K65" s="330"/>
      <c r="L65" s="330"/>
      <c r="M65" s="330"/>
      <c r="N65" s="58"/>
      <c r="O65" s="58"/>
      <c r="P65" s="59"/>
      <c r="Q65" s="58"/>
      <c r="R65" s="58"/>
      <c r="S65" s="67"/>
      <c r="T65" s="324"/>
      <c r="U65" s="88"/>
      <c r="V65" s="88"/>
      <c r="W65" s="729"/>
      <c r="X65" s="729"/>
      <c r="Y65" s="729"/>
      <c r="Z65" s="730"/>
      <c r="AB65" s="832">
        <v>0</v>
      </c>
      <c r="AC65" s="833"/>
      <c r="AD65" s="834"/>
      <c r="AF65" s="832">
        <f t="shared" si="0"/>
        <v>0</v>
      </c>
      <c r="AG65" s="833"/>
      <c r="AH65" s="834"/>
      <c r="AK65" s="291"/>
    </row>
    <row r="66" spans="3:49" s="51" customFormat="1" ht="16" customHeight="1" x14ac:dyDescent="0.15">
      <c r="C66" s="865">
        <f t="shared" si="2"/>
        <v>56</v>
      </c>
      <c r="D66" s="419"/>
      <c r="E66" s="330"/>
      <c r="F66" s="330"/>
      <c r="G66" s="330"/>
      <c r="H66" s="330"/>
      <c r="I66" s="330"/>
      <c r="J66" s="330"/>
      <c r="K66" s="330"/>
      <c r="L66" s="330"/>
      <c r="M66" s="330"/>
      <c r="N66" s="58"/>
      <c r="O66" s="58"/>
      <c r="P66" s="59"/>
      <c r="Q66" s="58"/>
      <c r="R66" s="58"/>
      <c r="S66" s="67"/>
      <c r="T66" s="324"/>
      <c r="U66" s="88"/>
      <c r="V66" s="88"/>
      <c r="W66" s="729"/>
      <c r="X66" s="729"/>
      <c r="Y66" s="729"/>
      <c r="Z66" s="730"/>
      <c r="AB66" s="832">
        <v>0</v>
      </c>
      <c r="AC66" s="833"/>
      <c r="AD66" s="834"/>
      <c r="AF66" s="832">
        <f t="shared" si="0"/>
        <v>0</v>
      </c>
      <c r="AG66" s="833"/>
      <c r="AH66" s="834"/>
      <c r="AK66" s="291"/>
    </row>
    <row r="67" spans="3:49" s="51" customFormat="1" ht="16" customHeight="1" x14ac:dyDescent="0.15">
      <c r="C67" s="865">
        <f t="shared" si="2"/>
        <v>57</v>
      </c>
      <c r="D67" s="419"/>
      <c r="E67" s="330"/>
      <c r="F67" s="330"/>
      <c r="G67" s="330"/>
      <c r="H67" s="330"/>
      <c r="I67" s="330"/>
      <c r="J67" s="330"/>
      <c r="K67" s="330"/>
      <c r="L67" s="330"/>
      <c r="M67" s="330"/>
      <c r="N67" s="58"/>
      <c r="O67" s="58"/>
      <c r="P67" s="59"/>
      <c r="Q67" s="58"/>
      <c r="R67" s="58"/>
      <c r="S67" s="67"/>
      <c r="T67" s="324"/>
      <c r="U67" s="88"/>
      <c r="V67" s="88"/>
      <c r="W67" s="729"/>
      <c r="X67" s="729"/>
      <c r="Y67" s="729"/>
      <c r="Z67" s="730"/>
      <c r="AB67" s="832">
        <v>0</v>
      </c>
      <c r="AC67" s="833"/>
      <c r="AD67" s="834"/>
      <c r="AF67" s="832">
        <f t="shared" si="0"/>
        <v>0</v>
      </c>
      <c r="AG67" s="833"/>
      <c r="AH67" s="834"/>
    </row>
    <row r="68" spans="3:49" s="51" customFormat="1" ht="16" customHeight="1" x14ac:dyDescent="0.15">
      <c r="C68" s="865">
        <f t="shared" si="2"/>
        <v>58</v>
      </c>
      <c r="D68" s="419"/>
      <c r="E68" s="330"/>
      <c r="F68" s="330"/>
      <c r="G68" s="330"/>
      <c r="H68" s="330"/>
      <c r="I68" s="330"/>
      <c r="J68" s="330"/>
      <c r="K68" s="330"/>
      <c r="L68" s="330"/>
      <c r="M68" s="330"/>
      <c r="N68" s="58"/>
      <c r="O68" s="58"/>
      <c r="P68" s="59"/>
      <c r="Q68" s="58"/>
      <c r="R68" s="58"/>
      <c r="S68" s="67"/>
      <c r="T68" s="324"/>
      <c r="U68" s="88"/>
      <c r="V68" s="88"/>
      <c r="W68" s="729"/>
      <c r="X68" s="729"/>
      <c r="Y68" s="729"/>
      <c r="Z68" s="730"/>
      <c r="AB68" s="832">
        <v>0</v>
      </c>
      <c r="AC68" s="833"/>
      <c r="AD68" s="834"/>
      <c r="AF68" s="832">
        <f t="shared" si="0"/>
        <v>0</v>
      </c>
      <c r="AG68" s="833"/>
      <c r="AH68" s="834"/>
      <c r="AK68" s="291"/>
    </row>
    <row r="69" spans="3:49" s="51" customFormat="1" ht="16" customHeight="1" x14ac:dyDescent="0.15">
      <c r="C69" s="865">
        <f t="shared" si="2"/>
        <v>59</v>
      </c>
      <c r="D69" s="419"/>
      <c r="E69" s="330"/>
      <c r="F69" s="330"/>
      <c r="G69" s="330"/>
      <c r="H69" s="330"/>
      <c r="I69" s="330"/>
      <c r="J69" s="330"/>
      <c r="K69" s="330"/>
      <c r="L69" s="330"/>
      <c r="M69" s="330"/>
      <c r="N69" s="58"/>
      <c r="O69" s="58"/>
      <c r="P69" s="59"/>
      <c r="Q69" s="58"/>
      <c r="R69" s="58"/>
      <c r="S69" s="67"/>
      <c r="T69" s="324"/>
      <c r="U69" s="88"/>
      <c r="V69" s="88"/>
      <c r="W69" s="882"/>
      <c r="X69" s="882"/>
      <c r="Y69" s="882"/>
      <c r="Z69" s="883"/>
      <c r="AB69" s="832">
        <v>0</v>
      </c>
      <c r="AC69" s="833"/>
      <c r="AD69" s="834"/>
      <c r="AF69" s="832">
        <f t="shared" si="0"/>
        <v>0</v>
      </c>
      <c r="AG69" s="833"/>
      <c r="AH69" s="834"/>
      <c r="AK69" s="291"/>
    </row>
    <row r="70" spans="3:49" s="322" customFormat="1" ht="16" customHeight="1" x14ac:dyDescent="0.2">
      <c r="E70" s="391"/>
      <c r="F70" s="391"/>
      <c r="G70" s="391"/>
      <c r="H70" s="391"/>
      <c r="I70" s="391"/>
      <c r="J70" s="391"/>
      <c r="K70" s="391"/>
      <c r="L70" s="391"/>
      <c r="M70" s="391"/>
      <c r="N70" s="392"/>
      <c r="O70" s="824" t="str">
        <f>"Sub Total "&amp;D8</f>
        <v xml:space="preserve">Sub Total Blank </v>
      </c>
      <c r="P70" s="824"/>
      <c r="Q70" s="824"/>
      <c r="R70" s="824"/>
      <c r="S70" s="824"/>
      <c r="T70" s="824"/>
      <c r="U70" s="824"/>
      <c r="V70" s="825"/>
      <c r="W70" s="859">
        <f>SUM(W10:Z69)</f>
        <v>0</v>
      </c>
      <c r="X70" s="860"/>
      <c r="Y70" s="860"/>
      <c r="Z70" s="861"/>
      <c r="AB70" s="862">
        <f>SUM(AB10:AD69)</f>
        <v>0</v>
      </c>
      <c r="AC70" s="863"/>
      <c r="AD70" s="864"/>
      <c r="AF70" s="838">
        <f t="shared" si="0"/>
        <v>0</v>
      </c>
      <c r="AG70" s="839"/>
      <c r="AH70" s="840"/>
      <c r="AK70" s="329"/>
    </row>
    <row r="71" spans="3:49" s="322" customFormat="1" ht="16" customHeight="1" x14ac:dyDescent="0.2">
      <c r="E71" s="391"/>
      <c r="F71" s="391"/>
      <c r="G71" s="391"/>
      <c r="H71" s="391"/>
      <c r="I71" s="391"/>
      <c r="J71" s="391"/>
      <c r="K71" s="391"/>
      <c r="L71" s="391"/>
      <c r="M71" s="391"/>
      <c r="N71" s="392"/>
      <c r="O71" s="826" t="str">
        <f>"Handling "&amp;D8</f>
        <v xml:space="preserve">Handling Blank </v>
      </c>
      <c r="P71" s="826"/>
      <c r="Q71" s="826"/>
      <c r="R71" s="826"/>
      <c r="S71" s="826"/>
      <c r="T71" s="826"/>
      <c r="U71" s="826"/>
      <c r="V71" s="827"/>
      <c r="W71" s="859">
        <f>W70*AR71</f>
        <v>0</v>
      </c>
      <c r="X71" s="860"/>
      <c r="Y71" s="860"/>
      <c r="Z71" s="861"/>
      <c r="AB71" s="862">
        <f>W71</f>
        <v>0</v>
      </c>
      <c r="AC71" s="863"/>
      <c r="AD71" s="864"/>
      <c r="AF71" s="838">
        <f t="shared" si="0"/>
        <v>0</v>
      </c>
      <c r="AG71" s="839"/>
      <c r="AH71" s="840"/>
      <c r="AJ71" s="854" t="str">
        <f>"Handling  "&amp;D8</f>
        <v xml:space="preserve">Handling  Blank </v>
      </c>
      <c r="AK71" s="855"/>
      <c r="AL71" s="855"/>
      <c r="AM71" s="855"/>
      <c r="AN71" s="855"/>
      <c r="AO71" s="855"/>
      <c r="AP71" s="855"/>
      <c r="AQ71" s="856"/>
      <c r="AR71" s="857">
        <v>0</v>
      </c>
      <c r="AS71" s="858"/>
    </row>
    <row r="72" spans="3:49" s="322" customFormat="1" ht="16" customHeight="1" x14ac:dyDescent="0.2">
      <c r="O72" s="656" t="str">
        <f>"Total "&amp;D8</f>
        <v xml:space="preserve">Total Blank </v>
      </c>
      <c r="P72" s="656"/>
      <c r="Q72" s="656"/>
      <c r="R72" s="656"/>
      <c r="S72" s="656"/>
      <c r="T72" s="656"/>
      <c r="U72" s="656"/>
      <c r="V72" s="657"/>
      <c r="W72" s="841">
        <f>SUM(W70:Z71)</f>
        <v>0</v>
      </c>
      <c r="X72" s="842"/>
      <c r="Y72" s="842"/>
      <c r="Z72" s="843"/>
      <c r="AB72" s="835">
        <f>SUM(AB70:AD71)</f>
        <v>0</v>
      </c>
      <c r="AC72" s="836"/>
      <c r="AD72" s="837"/>
      <c r="AF72" s="838">
        <f t="shared" si="0"/>
        <v>0</v>
      </c>
      <c r="AG72" s="839"/>
      <c r="AH72" s="840"/>
    </row>
    <row r="73" spans="3:49" customFormat="1" ht="16" customHeight="1" x14ac:dyDescent="0.2">
      <c r="U73" s="45"/>
      <c r="V73" s="45"/>
      <c r="AK73" s="36"/>
      <c r="AT73" s="7"/>
      <c r="AU73" s="7"/>
      <c r="AV73" s="7"/>
      <c r="AW73" s="7"/>
    </row>
    <row r="74" spans="3:49" customFormat="1" ht="16.25" customHeight="1" x14ac:dyDescent="0.2">
      <c r="U74" s="44"/>
      <c r="V74" s="44"/>
      <c r="W74" s="7"/>
      <c r="X74" s="7"/>
      <c r="Y74" s="7"/>
      <c r="Z74" s="7"/>
      <c r="AA74" s="7"/>
      <c r="AB74" s="7"/>
      <c r="AF74" s="7"/>
      <c r="AK74" s="36"/>
      <c r="AT74" s="7"/>
      <c r="AU74" s="7"/>
      <c r="AV74" s="7"/>
      <c r="AW74" s="7"/>
    </row>
    <row r="75" spans="3:49" customFormat="1" ht="16.25" customHeight="1" x14ac:dyDescent="0.2">
      <c r="U75" s="44"/>
      <c r="V75" s="44"/>
      <c r="W75" s="7"/>
      <c r="X75" s="7"/>
      <c r="Y75" s="7"/>
      <c r="Z75" s="7"/>
      <c r="AA75" s="7"/>
      <c r="AB75" s="7"/>
      <c r="AF75" s="7"/>
      <c r="AK75" s="36"/>
      <c r="AV75" s="7"/>
      <c r="AW75" s="7"/>
    </row>
    <row r="76" spans="3:49" customFormat="1" ht="16.25" customHeight="1" x14ac:dyDescent="0.2">
      <c r="U76" s="44"/>
      <c r="V76" s="44"/>
      <c r="W76" s="7"/>
      <c r="X76" s="7"/>
      <c r="Y76" s="7"/>
      <c r="Z76" s="7"/>
      <c r="AA76" s="7"/>
      <c r="AB76" s="7"/>
      <c r="AF76" s="7"/>
      <c r="AK76" s="36"/>
    </row>
    <row r="77" spans="3:49" customFormat="1" ht="16.25" customHeight="1" x14ac:dyDescent="0.2">
      <c r="U77" s="44"/>
      <c r="V77" s="44"/>
      <c r="W77" s="7"/>
      <c r="X77" s="7"/>
      <c r="Y77" s="7"/>
      <c r="Z77" s="7"/>
      <c r="AA77" s="7"/>
      <c r="AB77" s="7"/>
      <c r="AF77" s="7"/>
      <c r="AK77" s="36"/>
    </row>
    <row r="78" spans="3:49" customFormat="1" ht="16.25" customHeight="1" x14ac:dyDescent="0.2">
      <c r="U78" s="44"/>
      <c r="V78" s="44"/>
      <c r="W78" s="7"/>
      <c r="X78" s="7"/>
      <c r="Y78" s="7"/>
      <c r="Z78" s="7"/>
      <c r="AA78" s="7"/>
      <c r="AB78" s="7"/>
      <c r="AF78" s="7"/>
      <c r="AK78" s="36"/>
    </row>
    <row r="79" spans="3:49" customFormat="1" ht="16.25" customHeight="1" x14ac:dyDescent="0.2">
      <c r="U79" s="45"/>
      <c r="V79" s="45"/>
      <c r="AK79" s="36"/>
    </row>
    <row r="80" spans="3:49" customFormat="1" ht="16.25" customHeight="1" x14ac:dyDescent="0.2">
      <c r="U80" s="45"/>
      <c r="V80" s="45"/>
      <c r="AK80" s="36"/>
    </row>
    <row r="81" spans="21:37" customFormat="1" ht="16.25" customHeight="1" x14ac:dyDescent="0.2">
      <c r="U81" s="45"/>
      <c r="V81" s="45"/>
      <c r="AK81" s="36"/>
    </row>
    <row r="82" spans="21:37" customFormat="1" ht="16.25" customHeight="1" x14ac:dyDescent="0.2">
      <c r="U82" s="45"/>
      <c r="V82" s="45"/>
      <c r="AK82" s="36"/>
    </row>
    <row r="83" spans="21:37" customFormat="1" ht="16.25" customHeight="1" x14ac:dyDescent="0.2">
      <c r="U83" s="45"/>
      <c r="V83" s="45"/>
      <c r="AK83" s="36"/>
    </row>
    <row r="84" spans="21:37" customFormat="1" ht="16.25" customHeight="1" x14ac:dyDescent="0.2">
      <c r="U84" s="45"/>
      <c r="V84" s="45"/>
      <c r="AK84" s="36"/>
    </row>
    <row r="85" spans="21:37" customFormat="1" ht="16.25" customHeight="1" x14ac:dyDescent="0.2">
      <c r="U85" s="45"/>
      <c r="V85" s="45"/>
      <c r="AK85" s="36"/>
    </row>
    <row r="86" spans="21:37" customFormat="1" ht="16.25" customHeight="1" x14ac:dyDescent="0.2">
      <c r="U86" s="45"/>
      <c r="V86" s="45"/>
      <c r="AK86" s="36"/>
    </row>
    <row r="87" spans="21:37" customFormat="1" ht="16.25" customHeight="1" x14ac:dyDescent="0.2">
      <c r="U87" s="45"/>
      <c r="V87" s="45"/>
      <c r="AK87" s="36"/>
    </row>
    <row r="88" spans="21:37" customFormat="1" ht="16" x14ac:dyDescent="0.2">
      <c r="U88" s="45"/>
      <c r="V88" s="45"/>
      <c r="AK88" s="36"/>
    </row>
    <row r="89" spans="21:37" customFormat="1" ht="16" x14ac:dyDescent="0.2">
      <c r="U89" s="45"/>
      <c r="V89" s="45"/>
      <c r="AK89" s="36"/>
    </row>
    <row r="90" spans="21:37" customFormat="1" ht="16" x14ac:dyDescent="0.2">
      <c r="U90" s="45"/>
      <c r="V90" s="45"/>
      <c r="AK90" s="36"/>
    </row>
    <row r="91" spans="21:37" customFormat="1" ht="16" x14ac:dyDescent="0.2">
      <c r="U91" s="45"/>
      <c r="V91" s="45"/>
      <c r="AK91" s="36"/>
    </row>
    <row r="92" spans="21:37" customFormat="1" ht="16" x14ac:dyDescent="0.2">
      <c r="U92" s="45"/>
      <c r="V92" s="45"/>
      <c r="AK92" s="36"/>
    </row>
    <row r="93" spans="21:37" customFormat="1" ht="16" x14ac:dyDescent="0.2">
      <c r="U93" s="45"/>
      <c r="V93" s="45"/>
      <c r="AK93" s="36"/>
    </row>
    <row r="94" spans="21:37" customFormat="1" ht="16" x14ac:dyDescent="0.2">
      <c r="U94" s="45"/>
      <c r="V94" s="45"/>
      <c r="AK94" s="36"/>
    </row>
    <row r="95" spans="21:37" customFormat="1" ht="16" x14ac:dyDescent="0.2">
      <c r="U95" s="45"/>
      <c r="V95" s="45"/>
      <c r="AK95" s="36"/>
    </row>
    <row r="96" spans="21:37" customFormat="1" ht="16" x14ac:dyDescent="0.2">
      <c r="U96" s="45"/>
      <c r="V96" s="45"/>
      <c r="AK96" s="36"/>
    </row>
    <row r="97" spans="21:37" customFormat="1" ht="16" x14ac:dyDescent="0.2">
      <c r="U97" s="45"/>
      <c r="V97" s="45"/>
      <c r="AK97" s="36"/>
    </row>
    <row r="98" spans="21:37" customFormat="1" ht="16" x14ac:dyDescent="0.2">
      <c r="U98" s="45"/>
      <c r="V98" s="45"/>
      <c r="AK98" s="36"/>
    </row>
    <row r="99" spans="21:37" customFormat="1" ht="16" x14ac:dyDescent="0.2">
      <c r="U99" s="45"/>
      <c r="V99" s="45"/>
      <c r="AK99" s="36"/>
    </row>
  </sheetData>
  <sheetProtection selectLockedCells="1"/>
  <mergeCells count="260">
    <mergeCell ref="AJ71:AQ71"/>
    <mergeCell ref="AR71:AS71"/>
    <mergeCell ref="O72:V72"/>
    <mergeCell ref="W72:Z72"/>
    <mergeCell ref="AB72:AD72"/>
    <mergeCell ref="AF72:AH72"/>
    <mergeCell ref="O70:V70"/>
    <mergeCell ref="W70:Z70"/>
    <mergeCell ref="AB70:AD70"/>
    <mergeCell ref="AF70:AH70"/>
    <mergeCell ref="O71:V71"/>
    <mergeCell ref="W71:Z71"/>
    <mergeCell ref="AB71:AD71"/>
    <mergeCell ref="AF71:AH71"/>
    <mergeCell ref="C69:D69"/>
    <mergeCell ref="W69:Z69"/>
    <mergeCell ref="AB69:AD69"/>
    <mergeCell ref="AF69:AH69"/>
    <mergeCell ref="C68:D68"/>
    <mergeCell ref="W68:Z68"/>
    <mergeCell ref="AB68:AD68"/>
    <mergeCell ref="AF68:AH68"/>
    <mergeCell ref="C67:D67"/>
    <mergeCell ref="W67:Z67"/>
    <mergeCell ref="AB67:AD67"/>
    <mergeCell ref="AF67:AH67"/>
    <mergeCell ref="C66:D66"/>
    <mergeCell ref="W66:Z66"/>
    <mergeCell ref="AB66:AD66"/>
    <mergeCell ref="AF66:AH66"/>
    <mergeCell ref="C65:D65"/>
    <mergeCell ref="W65:Z65"/>
    <mergeCell ref="AB65:AD65"/>
    <mergeCell ref="AF65:AH65"/>
    <mergeCell ref="C64:D64"/>
    <mergeCell ref="W64:Z64"/>
    <mergeCell ref="AB64:AD64"/>
    <mergeCell ref="AF64:AH64"/>
    <mergeCell ref="C63:D63"/>
    <mergeCell ref="W63:Z63"/>
    <mergeCell ref="AB63:AD63"/>
    <mergeCell ref="AF63:AH63"/>
    <mergeCell ref="C62:D62"/>
    <mergeCell ref="W62:Z62"/>
    <mergeCell ref="AB62:AD62"/>
    <mergeCell ref="AF62:AH62"/>
    <mergeCell ref="C61:D61"/>
    <mergeCell ref="W61:Z61"/>
    <mergeCell ref="AB61:AD61"/>
    <mergeCell ref="AF61:AH61"/>
    <mergeCell ref="C60:D60"/>
    <mergeCell ref="W60:Z60"/>
    <mergeCell ref="AB60:AD60"/>
    <mergeCell ref="AF60:AH60"/>
    <mergeCell ref="C59:D59"/>
    <mergeCell ref="W59:Z59"/>
    <mergeCell ref="AB59:AD59"/>
    <mergeCell ref="AF59:AH59"/>
    <mergeCell ref="C58:D58"/>
    <mergeCell ref="W58:Z58"/>
    <mergeCell ref="AB58:AD58"/>
    <mergeCell ref="AF58:AH58"/>
    <mergeCell ref="C57:D57"/>
    <mergeCell ref="W57:Z57"/>
    <mergeCell ref="AB57:AD57"/>
    <mergeCell ref="AF57:AH57"/>
    <mergeCell ref="C56:D56"/>
    <mergeCell ref="W56:Z56"/>
    <mergeCell ref="AB56:AD56"/>
    <mergeCell ref="AF56:AH56"/>
    <mergeCell ref="C55:D55"/>
    <mergeCell ref="W55:Z55"/>
    <mergeCell ref="AB55:AD55"/>
    <mergeCell ref="AF55:AH55"/>
    <mergeCell ref="C54:D54"/>
    <mergeCell ref="W54:Z54"/>
    <mergeCell ref="AB54:AD54"/>
    <mergeCell ref="AF54:AH54"/>
    <mergeCell ref="C53:D53"/>
    <mergeCell ref="W53:Z53"/>
    <mergeCell ref="AB53:AD53"/>
    <mergeCell ref="AF53:AH53"/>
    <mergeCell ref="C52:D52"/>
    <mergeCell ref="W52:Z52"/>
    <mergeCell ref="AB52:AD52"/>
    <mergeCell ref="AF52:AH52"/>
    <mergeCell ref="C51:D51"/>
    <mergeCell ref="W51:Z51"/>
    <mergeCell ref="AB51:AD51"/>
    <mergeCell ref="AF51:AH51"/>
    <mergeCell ref="C50:D50"/>
    <mergeCell ref="W50:Z50"/>
    <mergeCell ref="AB50:AD50"/>
    <mergeCell ref="AF50:AH50"/>
    <mergeCell ref="C49:D49"/>
    <mergeCell ref="W49:Z49"/>
    <mergeCell ref="AB49:AD49"/>
    <mergeCell ref="AF49:AH49"/>
    <mergeCell ref="C48:D48"/>
    <mergeCell ref="W48:Z48"/>
    <mergeCell ref="AB48:AD48"/>
    <mergeCell ref="AF48:AH48"/>
    <mergeCell ref="C47:D47"/>
    <mergeCell ref="W47:Z47"/>
    <mergeCell ref="AB47:AD47"/>
    <mergeCell ref="AF47:AH47"/>
    <mergeCell ref="C46:D46"/>
    <mergeCell ref="W46:Z46"/>
    <mergeCell ref="AB46:AD46"/>
    <mergeCell ref="AF46:AH46"/>
    <mergeCell ref="C45:D45"/>
    <mergeCell ref="W45:Z45"/>
    <mergeCell ref="AB45:AD45"/>
    <mergeCell ref="AF45:AH45"/>
    <mergeCell ref="C44:D44"/>
    <mergeCell ref="W44:Z44"/>
    <mergeCell ref="AB44:AD44"/>
    <mergeCell ref="AF44:AH44"/>
    <mergeCell ref="C43:D43"/>
    <mergeCell ref="W43:Z43"/>
    <mergeCell ref="AB43:AD43"/>
    <mergeCell ref="AF43:AH43"/>
    <mergeCell ref="C42:D42"/>
    <mergeCell ref="W42:Z42"/>
    <mergeCell ref="AB42:AD42"/>
    <mergeCell ref="AF42:AH42"/>
    <mergeCell ref="C41:D41"/>
    <mergeCell ref="W41:Z41"/>
    <mergeCell ref="AB41:AD41"/>
    <mergeCell ref="AF41:AH41"/>
    <mergeCell ref="C40:D40"/>
    <mergeCell ref="W40:Z40"/>
    <mergeCell ref="AB40:AD40"/>
    <mergeCell ref="AF40:AH40"/>
    <mergeCell ref="C39:D39"/>
    <mergeCell ref="W39:Z39"/>
    <mergeCell ref="AB39:AD39"/>
    <mergeCell ref="AF39:AH39"/>
    <mergeCell ref="C38:D38"/>
    <mergeCell ref="W38:Z38"/>
    <mergeCell ref="AB38:AD38"/>
    <mergeCell ref="AF38:AH38"/>
    <mergeCell ref="C37:D37"/>
    <mergeCell ref="W37:Z37"/>
    <mergeCell ref="AB37:AD37"/>
    <mergeCell ref="AF37:AH37"/>
    <mergeCell ref="C36:D36"/>
    <mergeCell ref="W36:Z36"/>
    <mergeCell ref="AB36:AD36"/>
    <mergeCell ref="AF36:AH36"/>
    <mergeCell ref="C35:D35"/>
    <mergeCell ref="W35:Z35"/>
    <mergeCell ref="AB35:AD35"/>
    <mergeCell ref="AF35:AH35"/>
    <mergeCell ref="C34:D34"/>
    <mergeCell ref="W34:Z34"/>
    <mergeCell ref="AB34:AD34"/>
    <mergeCell ref="AF34:AH34"/>
    <mergeCell ref="C33:D33"/>
    <mergeCell ref="W33:Z33"/>
    <mergeCell ref="AB33:AD33"/>
    <mergeCell ref="AF33:AH33"/>
    <mergeCell ref="C32:D32"/>
    <mergeCell ref="W32:Z32"/>
    <mergeCell ref="AB32:AD32"/>
    <mergeCell ref="AF32:AH32"/>
    <mergeCell ref="C31:D31"/>
    <mergeCell ref="W31:Z31"/>
    <mergeCell ref="AB31:AD31"/>
    <mergeCell ref="AF31:AH31"/>
    <mergeCell ref="C30:D30"/>
    <mergeCell ref="W30:Z30"/>
    <mergeCell ref="AB30:AD30"/>
    <mergeCell ref="AF30:AH30"/>
    <mergeCell ref="C29:D29"/>
    <mergeCell ref="W29:Z29"/>
    <mergeCell ref="AB29:AD29"/>
    <mergeCell ref="AF29:AH29"/>
    <mergeCell ref="C28:D28"/>
    <mergeCell ref="W28:Z28"/>
    <mergeCell ref="AB28:AD28"/>
    <mergeCell ref="AF28:AH28"/>
    <mergeCell ref="C27:D27"/>
    <mergeCell ref="W27:Z27"/>
    <mergeCell ref="AB27:AD27"/>
    <mergeCell ref="AF27:AH27"/>
    <mergeCell ref="C26:D26"/>
    <mergeCell ref="W26:Z26"/>
    <mergeCell ref="AB26:AD26"/>
    <mergeCell ref="AF26:AH26"/>
    <mergeCell ref="C25:D25"/>
    <mergeCell ref="W25:Z25"/>
    <mergeCell ref="AB25:AD25"/>
    <mergeCell ref="AF25:AH25"/>
    <mergeCell ref="C24:D24"/>
    <mergeCell ref="W24:Z24"/>
    <mergeCell ref="AB24:AD24"/>
    <mergeCell ref="AF24:AH24"/>
    <mergeCell ref="C23:D23"/>
    <mergeCell ref="W23:Z23"/>
    <mergeCell ref="AB23:AD23"/>
    <mergeCell ref="AF23:AH23"/>
    <mergeCell ref="C22:D22"/>
    <mergeCell ref="W22:Z22"/>
    <mergeCell ref="AB22:AD22"/>
    <mergeCell ref="AF22:AH22"/>
    <mergeCell ref="C21:D21"/>
    <mergeCell ref="W21:Z21"/>
    <mergeCell ref="AB21:AD21"/>
    <mergeCell ref="AF21:AH21"/>
    <mergeCell ref="C20:D20"/>
    <mergeCell ref="W20:Z20"/>
    <mergeCell ref="AB20:AD20"/>
    <mergeCell ref="AF20:AH20"/>
    <mergeCell ref="C19:D19"/>
    <mergeCell ref="W19:Z19"/>
    <mergeCell ref="AB19:AD19"/>
    <mergeCell ref="AF19:AH19"/>
    <mergeCell ref="C18:D18"/>
    <mergeCell ref="W18:Z18"/>
    <mergeCell ref="AB18:AD18"/>
    <mergeCell ref="AF18:AH18"/>
    <mergeCell ref="C17:D17"/>
    <mergeCell ref="W17:Z17"/>
    <mergeCell ref="AB17:AD17"/>
    <mergeCell ref="AF17:AH17"/>
    <mergeCell ref="C16:D16"/>
    <mergeCell ref="W16:Z16"/>
    <mergeCell ref="AB16:AD16"/>
    <mergeCell ref="AF16:AH16"/>
    <mergeCell ref="C15:D15"/>
    <mergeCell ref="W15:Z15"/>
    <mergeCell ref="AB15:AD15"/>
    <mergeCell ref="AF15:AH15"/>
    <mergeCell ref="C14:D14"/>
    <mergeCell ref="W14:Z14"/>
    <mergeCell ref="AB14:AD14"/>
    <mergeCell ref="AF14:AH14"/>
    <mergeCell ref="C13:D13"/>
    <mergeCell ref="W13:Z13"/>
    <mergeCell ref="AB13:AD13"/>
    <mergeCell ref="AF13:AH13"/>
    <mergeCell ref="W8:Z8"/>
    <mergeCell ref="AB8:AD8"/>
    <mergeCell ref="AF8:AH8"/>
    <mergeCell ref="AB9:AD9"/>
    <mergeCell ref="AF9:AH9"/>
    <mergeCell ref="W9:Z9"/>
    <mergeCell ref="C12:D12"/>
    <mergeCell ref="W12:Z12"/>
    <mergeCell ref="AB12:AD12"/>
    <mergeCell ref="AF12:AH12"/>
    <mergeCell ref="C11:D11"/>
    <mergeCell ref="W11:Z11"/>
    <mergeCell ref="AB11:AD11"/>
    <mergeCell ref="AF11:AH11"/>
    <mergeCell ref="C10:D10"/>
    <mergeCell ref="W10:Z10"/>
    <mergeCell ref="AB10:AD10"/>
    <mergeCell ref="AF10:AH10"/>
  </mergeCells>
  <pageMargins left="0.7" right="0.7" top="0.75" bottom="0.75" header="0.3" footer="0.3"/>
  <pageSetup scale="69" orientation="portrait" r:id="rId1"/>
  <legacyDrawingHF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23ECAE-10EA-A94A-AB8C-3B5B5C4E7066}">
  <sheetPr codeName="Sheet21"/>
  <dimension ref="A1:S753"/>
  <sheetViews>
    <sheetView zoomScale="130" zoomScaleNormal="130" workbookViewId="0">
      <selection activeCell="O30" sqref="O30"/>
    </sheetView>
  </sheetViews>
  <sheetFormatPr baseColWidth="10" defaultRowHeight="16" x14ac:dyDescent="0.2"/>
  <cols>
    <col min="7" max="7" width="12.5" style="408" bestFit="1" customWidth="1"/>
  </cols>
  <sheetData>
    <row r="1" spans="1:19" x14ac:dyDescent="0.2">
      <c r="A1" t="s">
        <v>821</v>
      </c>
      <c r="B1" t="s">
        <v>822</v>
      </c>
      <c r="C1" t="s">
        <v>376</v>
      </c>
      <c r="D1" t="s">
        <v>823</v>
      </c>
      <c r="E1" t="s">
        <v>220</v>
      </c>
      <c r="F1" t="s">
        <v>400</v>
      </c>
      <c r="G1" s="408" t="s">
        <v>370</v>
      </c>
      <c r="H1" t="s">
        <v>832</v>
      </c>
      <c r="I1" s="402" t="str">
        <f ca="1">IF(_xlfn.NUMBERVALUE(K1,".",",")&gt;0,Q1,"")</f>
        <v/>
      </c>
      <c r="J1" s="402" t="s">
        <v>825</v>
      </c>
      <c r="K1" s="409" cm="1">
        <f t="array" aca="1" ref="K1" ca="1">INDIRECT("Cover!Z"&amp;(Q1+ROW()-1))</f>
        <v>0</v>
      </c>
      <c r="M1" t="s">
        <v>119</v>
      </c>
      <c r="N1">
        <f ca="1">TotalProdPost</f>
        <v>0</v>
      </c>
      <c r="P1" t="s">
        <v>825</v>
      </c>
      <c r="Q1">
        <f>ROW(OTop)+1</f>
        <v>52</v>
      </c>
      <c r="R1" t="s">
        <v>826</v>
      </c>
      <c r="S1">
        <f>ROW(OBottom)-1</f>
        <v>55</v>
      </c>
    </row>
    <row r="2" spans="1:19" x14ac:dyDescent="0.2">
      <c r="A2" s="399">
        <f>A!C13</f>
        <v>1</v>
      </c>
      <c r="B2" s="399" t="str">
        <f>A!E13</f>
        <v>Line Producer</v>
      </c>
      <c r="C2" s="399">
        <f>A!N13</f>
        <v>0</v>
      </c>
      <c r="D2" s="399" t="str">
        <f>A!O13</f>
        <v>days</v>
      </c>
      <c r="E2" s="399">
        <f>A!Q13</f>
        <v>200</v>
      </c>
      <c r="F2" s="399">
        <f>A!T13</f>
        <v>0</v>
      </c>
      <c r="G2" s="408">
        <f>A!W13</f>
        <v>0</v>
      </c>
      <c r="H2" t="s">
        <v>832</v>
      </c>
      <c r="I2" s="403" t="str">
        <f ca="1">IF(_xlfn.NUMBERVALUE(K2,".",",")&gt;0,MAX(I$1:I1)+1,"")</f>
        <v/>
      </c>
      <c r="J2" s="402"/>
      <c r="K2" s="409" cm="1">
        <f t="array" aca="1" ref="K2" ca="1">IF(S$1&gt;Q$1,INDIRECT("Cover!Z"&amp;ROW()+(Q$1-1)),"")</f>
        <v>0</v>
      </c>
      <c r="L2" s="400" cm="1">
        <f t="array" aca="1" ref="L2" ca="1">INDIRECT("Cover!Z53")</f>
        <v>0</v>
      </c>
      <c r="M2" t="s">
        <v>245</v>
      </c>
      <c r="N2">
        <f ca="1">ProdIns</f>
        <v>0</v>
      </c>
      <c r="R2">
        <f>S1-Q1</f>
        <v>3</v>
      </c>
    </row>
    <row r="3" spans="1:19" x14ac:dyDescent="0.2">
      <c r="A3" s="399">
        <f>A!C14</f>
        <v>2</v>
      </c>
      <c r="B3" s="399" t="str">
        <f>A!E14</f>
        <v>Assistant Director</v>
      </c>
      <c r="C3" s="399">
        <f>A!N14</f>
        <v>0</v>
      </c>
      <c r="D3" s="399" t="str">
        <f>A!O14</f>
        <v>days</v>
      </c>
      <c r="E3" s="399">
        <f>A!Q14</f>
        <v>0</v>
      </c>
      <c r="F3" s="399">
        <f>A!T14</f>
        <v>0</v>
      </c>
      <c r="G3" s="408">
        <f>A!W14</f>
        <v>0</v>
      </c>
      <c r="H3" t="s">
        <v>832</v>
      </c>
      <c r="I3" s="403" t="str">
        <f ca="1">IF(_xlfn.NUMBERVALUE(K3,".",",")&gt;0,MAX(I$1:I2)+1,"")</f>
        <v/>
      </c>
      <c r="J3" s="402"/>
      <c r="K3" s="409" cm="1">
        <f t="array" aca="1" ref="K3" ca="1">IF(S$1&gt;Q$1,INDIRECT("Cover!Z"&amp;ROW()+(Q$1-1)),"")</f>
        <v>0</v>
      </c>
      <c r="M3" t="s">
        <v>824</v>
      </c>
      <c r="N3">
        <f ca="1">PRODFee</f>
        <v>0</v>
      </c>
    </row>
    <row r="4" spans="1:19" x14ac:dyDescent="0.2">
      <c r="A4" s="399">
        <f>A!C15</f>
        <v>3</v>
      </c>
      <c r="B4" s="399" t="str">
        <f>A!E15</f>
        <v>Director of Photography</v>
      </c>
      <c r="C4" s="399">
        <f>A!N15</f>
        <v>0</v>
      </c>
      <c r="D4" s="399" t="str">
        <f>A!O15</f>
        <v>days</v>
      </c>
      <c r="E4" s="399">
        <f>A!Q15</f>
        <v>0</v>
      </c>
      <c r="F4" s="399">
        <f>A!T15</f>
        <v>0</v>
      </c>
      <c r="G4" s="408">
        <f>A!W15</f>
        <v>0</v>
      </c>
      <c r="H4" t="s">
        <v>832</v>
      </c>
      <c r="I4" s="403" t="str">
        <f ca="1">IF(_xlfn.NUMBERVALUE(K4,".",",")&gt;0,MAX(I$1:I3)+1,"")</f>
        <v/>
      </c>
      <c r="J4" s="402"/>
      <c r="K4" s="409" cm="1">
        <f t="array" aca="1" ref="K4" ca="1">IF(S$1&gt;Q$1,INDIRECT("Cover!Z"&amp;ROW()+(Q$1-1)),"")</f>
        <v>0</v>
      </c>
      <c r="M4" t="s">
        <v>828</v>
      </c>
      <c r="N4">
        <f ca="1">XProdFee</f>
        <v>0</v>
      </c>
    </row>
    <row r="5" spans="1:19" x14ac:dyDescent="0.2">
      <c r="A5" s="399">
        <f>A!C16</f>
        <v>4</v>
      </c>
      <c r="B5" s="399" t="str">
        <f>A!E16</f>
        <v>1st Assistant Camera</v>
      </c>
      <c r="C5" s="399">
        <f>A!N16</f>
        <v>0</v>
      </c>
      <c r="D5" s="399" t="str">
        <f>A!O16</f>
        <v>days</v>
      </c>
      <c r="E5" s="399">
        <f>A!Q16</f>
        <v>0</v>
      </c>
      <c r="F5" s="399">
        <f>A!T16</f>
        <v>0</v>
      </c>
      <c r="G5" s="408">
        <f>A!W16</f>
        <v>0</v>
      </c>
      <c r="H5" t="s">
        <v>832</v>
      </c>
      <c r="I5" s="403" t="str">
        <f ca="1">IF(_xlfn.NUMBERVALUE(K5,".",",")&gt;0,MAX(I$1:I4)+1,"")</f>
        <v/>
      </c>
      <c r="J5" s="402"/>
      <c r="K5" s="409" cm="1">
        <f t="array" aca="1" ref="K5" ca="1">IF(S$1&gt;Q$1,INDIRECT("Cover!Z"&amp;ROW()+(Q$1-1)),"")</f>
        <v>0</v>
      </c>
      <c r="M5" t="s">
        <v>829</v>
      </c>
      <c r="N5">
        <f>PostProdIns</f>
        <v>0</v>
      </c>
    </row>
    <row r="6" spans="1:19" x14ac:dyDescent="0.2">
      <c r="A6" s="399">
        <f>A!C17</f>
        <v>5</v>
      </c>
      <c r="B6" s="399" t="str">
        <f>A!E17</f>
        <v>2nd Assistant Camera</v>
      </c>
      <c r="C6" s="399">
        <f>A!N17</f>
        <v>0</v>
      </c>
      <c r="D6" s="399" t="str">
        <f>A!O17</f>
        <v>days</v>
      </c>
      <c r="E6" s="399">
        <f>A!Q17</f>
        <v>0</v>
      </c>
      <c r="F6" s="399">
        <f>A!T17</f>
        <v>0</v>
      </c>
      <c r="G6" s="408">
        <f>A!W17</f>
        <v>0</v>
      </c>
      <c r="H6" t="s">
        <v>832</v>
      </c>
      <c r="I6" s="404"/>
      <c r="M6" t="s">
        <v>830</v>
      </c>
      <c r="N6">
        <f>PostProdMU</f>
        <v>0</v>
      </c>
    </row>
    <row r="7" spans="1:19" x14ac:dyDescent="0.2">
      <c r="A7" s="399">
        <f>A!C18</f>
        <v>6</v>
      </c>
      <c r="B7" s="399" t="str">
        <f>A!E18</f>
        <v>DIT</v>
      </c>
      <c r="C7" s="399">
        <f>A!N18</f>
        <v>0</v>
      </c>
      <c r="D7" s="399" t="str">
        <f>A!O18</f>
        <v>days</v>
      </c>
      <c r="E7" s="399">
        <f>A!Q18</f>
        <v>0</v>
      </c>
      <c r="F7" s="399">
        <f>A!T18</f>
        <v>0</v>
      </c>
      <c r="G7" s="408">
        <f>A!W18</f>
        <v>0</v>
      </c>
      <c r="H7" t="s">
        <v>832</v>
      </c>
      <c r="I7" s="404"/>
      <c r="M7" t="s">
        <v>831</v>
      </c>
      <c r="N7">
        <f>PostProdTax</f>
        <v>0</v>
      </c>
    </row>
    <row r="8" spans="1:19" x14ac:dyDescent="0.2">
      <c r="A8" s="399">
        <f>A!C19</f>
        <v>7</v>
      </c>
      <c r="B8" s="399" t="str">
        <f>A!E19</f>
        <v>Prop Master</v>
      </c>
      <c r="C8" s="399">
        <f>A!N19</f>
        <v>0</v>
      </c>
      <c r="D8" s="399" t="str">
        <f>A!O19</f>
        <v>days</v>
      </c>
      <c r="E8" s="399">
        <f>A!Q19</f>
        <v>0</v>
      </c>
      <c r="F8" s="399">
        <f>A!T19</f>
        <v>0</v>
      </c>
      <c r="G8" s="408">
        <f>A!W19</f>
        <v>0</v>
      </c>
      <c r="H8" t="s">
        <v>832</v>
      </c>
      <c r="I8" s="404"/>
    </row>
    <row r="9" spans="1:19" x14ac:dyDescent="0.2">
      <c r="A9" s="399">
        <f>A!C20</f>
        <v>8</v>
      </c>
      <c r="B9" s="399" t="str">
        <f>A!E20</f>
        <v>Asst Props</v>
      </c>
      <c r="C9" s="399">
        <f>A!N20</f>
        <v>0</v>
      </c>
      <c r="D9" s="399" t="str">
        <f>A!O20</f>
        <v>days</v>
      </c>
      <c r="E9" s="399">
        <f>A!Q20</f>
        <v>0</v>
      </c>
      <c r="F9" s="399">
        <f>A!T20</f>
        <v>0</v>
      </c>
      <c r="G9" s="408">
        <f>A!W20</f>
        <v>0</v>
      </c>
      <c r="H9" t="s">
        <v>832</v>
      </c>
      <c r="I9" s="404"/>
    </row>
    <row r="10" spans="1:19" x14ac:dyDescent="0.2">
      <c r="A10" s="399">
        <f>A!C21</f>
        <v>9</v>
      </c>
      <c r="B10" s="399">
        <f>A!E21</f>
        <v>0</v>
      </c>
      <c r="C10" s="399">
        <f>A!N21</f>
        <v>0</v>
      </c>
      <c r="D10" s="399" t="str">
        <f>A!O21</f>
        <v>days</v>
      </c>
      <c r="E10" s="399">
        <f>A!Q21</f>
        <v>0</v>
      </c>
      <c r="F10" s="399">
        <f>A!T21</f>
        <v>0</v>
      </c>
      <c r="G10" s="408">
        <f>A!W21</f>
        <v>0</v>
      </c>
      <c r="H10" t="s">
        <v>832</v>
      </c>
      <c r="I10" s="404" t="s">
        <v>421</v>
      </c>
      <c r="J10" t="s">
        <v>825</v>
      </c>
      <c r="K10">
        <v>0</v>
      </c>
    </row>
    <row r="11" spans="1:19" x14ac:dyDescent="0.2">
      <c r="A11" s="399">
        <f>A!C22</f>
        <v>10</v>
      </c>
      <c r="B11" s="399" t="str">
        <f>A!E22</f>
        <v>Camera Op</v>
      </c>
      <c r="C11" s="399">
        <f>A!N22</f>
        <v>0</v>
      </c>
      <c r="D11" s="399" t="str">
        <f>A!O22</f>
        <v>days</v>
      </c>
      <c r="E11" s="399">
        <f>A!Q22</f>
        <v>0</v>
      </c>
      <c r="F11" s="399">
        <f>A!T22</f>
        <v>0</v>
      </c>
      <c r="G11" s="408">
        <f>A!W22</f>
        <v>0</v>
      </c>
      <c r="H11" t="s">
        <v>832</v>
      </c>
      <c r="I11" s="404" t="s">
        <v>421</v>
      </c>
      <c r="K11">
        <v>0</v>
      </c>
    </row>
    <row r="12" spans="1:19" x14ac:dyDescent="0.2">
      <c r="A12" s="399">
        <f>A!C23</f>
        <v>11</v>
      </c>
      <c r="B12" s="399" t="str">
        <f>A!E23</f>
        <v>Gaffer</v>
      </c>
      <c r="C12" s="399">
        <f>A!N23</f>
        <v>0</v>
      </c>
      <c r="D12" s="399" t="str">
        <f>A!O23</f>
        <v>days</v>
      </c>
      <c r="E12" s="399">
        <f>A!Q23</f>
        <v>0</v>
      </c>
      <c r="F12" s="399">
        <f>A!T23</f>
        <v>0</v>
      </c>
      <c r="G12" s="408">
        <f>A!W23</f>
        <v>0</v>
      </c>
      <c r="H12" t="s">
        <v>832</v>
      </c>
      <c r="I12" s="404" t="s">
        <v>421</v>
      </c>
      <c r="K12">
        <v>0</v>
      </c>
    </row>
    <row r="13" spans="1:19" x14ac:dyDescent="0.2">
      <c r="A13" s="399">
        <f>A!C24</f>
        <v>12</v>
      </c>
      <c r="B13" s="399" t="str">
        <f>A!E24</f>
        <v>Best Boy Electric</v>
      </c>
      <c r="C13" s="399">
        <f>A!N24</f>
        <v>0</v>
      </c>
      <c r="D13" s="399" t="str">
        <f>A!O24</f>
        <v>days</v>
      </c>
      <c r="E13" s="399">
        <f>A!Q24</f>
        <v>0</v>
      </c>
      <c r="F13" s="399">
        <f>A!T24</f>
        <v>0</v>
      </c>
      <c r="G13" s="408">
        <f>A!W24</f>
        <v>0</v>
      </c>
      <c r="H13" t="s">
        <v>832</v>
      </c>
      <c r="I13" s="404" t="s">
        <v>421</v>
      </c>
      <c r="K13">
        <v>0</v>
      </c>
    </row>
    <row r="14" spans="1:19" x14ac:dyDescent="0.2">
      <c r="A14" s="399">
        <f>A!C25</f>
        <v>13</v>
      </c>
      <c r="B14" s="399" t="str">
        <f>A!E25</f>
        <v>3rd Electric</v>
      </c>
      <c r="C14" s="399">
        <f>A!N25</f>
        <v>0</v>
      </c>
      <c r="D14" s="399" t="str">
        <f>A!O25</f>
        <v>days</v>
      </c>
      <c r="E14" s="399">
        <f>A!Q25</f>
        <v>0</v>
      </c>
      <c r="F14" s="399">
        <f>A!T25</f>
        <v>0</v>
      </c>
      <c r="G14" s="408">
        <f>A!W25</f>
        <v>0</v>
      </c>
      <c r="H14" t="s">
        <v>832</v>
      </c>
      <c r="I14" s="404" t="s">
        <v>421</v>
      </c>
      <c r="K14">
        <v>0</v>
      </c>
    </row>
    <row r="15" spans="1:19" x14ac:dyDescent="0.2">
      <c r="A15" s="399">
        <f>A!C26</f>
        <v>14</v>
      </c>
      <c r="B15" s="399" t="str">
        <f>A!E26</f>
        <v>Electric/Driver</v>
      </c>
      <c r="C15" s="399">
        <f>A!N26</f>
        <v>0</v>
      </c>
      <c r="D15" s="399" t="str">
        <f>A!O26</f>
        <v>days</v>
      </c>
      <c r="E15" s="399">
        <f>A!Q26</f>
        <v>0</v>
      </c>
      <c r="F15" s="399">
        <f>A!T26</f>
        <v>0</v>
      </c>
      <c r="G15" s="408">
        <f>A!W26</f>
        <v>0</v>
      </c>
      <c r="H15" t="s">
        <v>832</v>
      </c>
      <c r="I15" s="404"/>
    </row>
    <row r="16" spans="1:19" x14ac:dyDescent="0.2">
      <c r="A16" s="399">
        <f>A!C27</f>
        <v>15</v>
      </c>
      <c r="B16" s="399" t="str">
        <f>A!E27</f>
        <v>Prep/Strike/Pre Rig Crew</v>
      </c>
      <c r="C16" s="399">
        <f>A!N27</f>
        <v>0</v>
      </c>
      <c r="D16" s="399" t="str">
        <f>A!O27</f>
        <v>days</v>
      </c>
      <c r="E16" s="399">
        <f>A!Q27</f>
        <v>0</v>
      </c>
      <c r="F16" s="399">
        <f>A!T27</f>
        <v>0</v>
      </c>
      <c r="G16" s="408">
        <f>A!W27</f>
        <v>0</v>
      </c>
      <c r="H16" t="s">
        <v>832</v>
      </c>
      <c r="I16" s="404"/>
    </row>
    <row r="17" spans="1:9" x14ac:dyDescent="0.2">
      <c r="A17" s="399">
        <f>A!C28</f>
        <v>16</v>
      </c>
      <c r="B17" s="399" t="str">
        <f>A!E28</f>
        <v>Key Grip</v>
      </c>
      <c r="C17" s="399">
        <f>A!N28</f>
        <v>0</v>
      </c>
      <c r="D17" s="399" t="str">
        <f>A!O28</f>
        <v>days</v>
      </c>
      <c r="E17" s="399">
        <f>A!Q28</f>
        <v>0</v>
      </c>
      <c r="F17" s="399">
        <f>A!T28</f>
        <v>0</v>
      </c>
      <c r="G17" s="408">
        <f>A!W28</f>
        <v>0</v>
      </c>
      <c r="H17" t="s">
        <v>832</v>
      </c>
      <c r="I17" s="404"/>
    </row>
    <row r="18" spans="1:9" x14ac:dyDescent="0.2">
      <c r="A18" s="399">
        <f>A!C29</f>
        <v>17</v>
      </c>
      <c r="B18" s="399" t="str">
        <f>A!E29</f>
        <v>Best Boy Grip</v>
      </c>
      <c r="C18" s="399">
        <f>A!N29</f>
        <v>0</v>
      </c>
      <c r="D18" s="399" t="str">
        <f>A!O29</f>
        <v>days</v>
      </c>
      <c r="E18" s="399">
        <f>A!Q29</f>
        <v>0</v>
      </c>
      <c r="F18" s="399">
        <f>A!T29</f>
        <v>0</v>
      </c>
      <c r="G18" s="408">
        <f>A!W29</f>
        <v>0</v>
      </c>
      <c r="H18" t="s">
        <v>832</v>
      </c>
      <c r="I18" s="404"/>
    </row>
    <row r="19" spans="1:9" x14ac:dyDescent="0.2">
      <c r="A19" s="399">
        <f>A!C30</f>
        <v>18</v>
      </c>
      <c r="B19" s="399" t="str">
        <f>A!E30</f>
        <v>3rd Grip</v>
      </c>
      <c r="C19" s="399">
        <f>A!N30</f>
        <v>0</v>
      </c>
      <c r="D19" s="399" t="str">
        <f>A!O30</f>
        <v>days</v>
      </c>
      <c r="E19" s="399">
        <f>A!Q30</f>
        <v>0</v>
      </c>
      <c r="F19" s="399">
        <f>A!T30</f>
        <v>0</v>
      </c>
      <c r="G19" s="408">
        <f>A!W30</f>
        <v>0</v>
      </c>
      <c r="H19" t="s">
        <v>832</v>
      </c>
    </row>
    <row r="20" spans="1:9" x14ac:dyDescent="0.2">
      <c r="A20" s="399">
        <f>A!C31</f>
        <v>19</v>
      </c>
      <c r="B20" s="399" t="str">
        <f>A!E31</f>
        <v>Grip/Driver</v>
      </c>
      <c r="C20" s="399">
        <f>A!N31</f>
        <v>0</v>
      </c>
      <c r="D20" s="399" t="str">
        <f>A!O31</f>
        <v>days</v>
      </c>
      <c r="E20" s="399">
        <f>A!Q31</f>
        <v>0</v>
      </c>
      <c r="F20" s="399">
        <f>A!T31</f>
        <v>0</v>
      </c>
      <c r="G20" s="408">
        <f>A!W31</f>
        <v>0</v>
      </c>
      <c r="H20" t="s">
        <v>832</v>
      </c>
    </row>
    <row r="21" spans="1:9" x14ac:dyDescent="0.2">
      <c r="A21" s="399">
        <f>A!C32</f>
        <v>20</v>
      </c>
      <c r="B21" s="399" t="str">
        <f>A!E32</f>
        <v>Crane Tech 2x</v>
      </c>
      <c r="C21" s="399">
        <f>A!N32</f>
        <v>0</v>
      </c>
      <c r="D21" s="399" t="str">
        <f>A!O32</f>
        <v>days</v>
      </c>
      <c r="E21" s="399">
        <f>A!Q32</f>
        <v>0</v>
      </c>
      <c r="F21" s="399">
        <f>A!T32</f>
        <v>0</v>
      </c>
      <c r="G21" s="408">
        <f>A!W32</f>
        <v>0</v>
      </c>
      <c r="H21" t="s">
        <v>832</v>
      </c>
    </row>
    <row r="22" spans="1:9" x14ac:dyDescent="0.2">
      <c r="A22" s="399">
        <f>A!C33</f>
        <v>21</v>
      </c>
      <c r="B22" s="399" t="str">
        <f>A!E33</f>
        <v>Crane Head Tech</v>
      </c>
      <c r="C22" s="399">
        <f>A!N33</f>
        <v>0</v>
      </c>
      <c r="D22" s="399" t="str">
        <f>A!O33</f>
        <v>days</v>
      </c>
      <c r="E22" s="399">
        <f>A!Q33</f>
        <v>0</v>
      </c>
      <c r="F22" s="399">
        <f>A!T33</f>
        <v>0</v>
      </c>
      <c r="G22" s="408">
        <f>A!W33</f>
        <v>0</v>
      </c>
      <c r="H22" t="s">
        <v>832</v>
      </c>
    </row>
    <row r="23" spans="1:9" x14ac:dyDescent="0.2">
      <c r="A23" s="399">
        <f>A!C34</f>
        <v>22</v>
      </c>
      <c r="B23" s="399" t="str">
        <f>A!E34</f>
        <v>Steadi Cam Op</v>
      </c>
      <c r="C23" s="399">
        <f>A!N34</f>
        <v>0</v>
      </c>
      <c r="D23" s="399" t="str">
        <f>A!O34</f>
        <v>days</v>
      </c>
      <c r="E23" s="399">
        <f>A!Q34</f>
        <v>0</v>
      </c>
      <c r="F23" s="399">
        <f>A!T34</f>
        <v>0</v>
      </c>
      <c r="G23" s="408">
        <f>A!W34</f>
        <v>0</v>
      </c>
      <c r="H23" t="s">
        <v>832</v>
      </c>
    </row>
    <row r="24" spans="1:9" x14ac:dyDescent="0.2">
      <c r="A24" s="399">
        <f>A!C35</f>
        <v>23</v>
      </c>
      <c r="B24" s="399" t="str">
        <f>A!E35</f>
        <v>Choreographer</v>
      </c>
      <c r="C24" s="399">
        <f>A!N35</f>
        <v>0</v>
      </c>
      <c r="D24" s="399" t="str">
        <f>A!O35</f>
        <v>days</v>
      </c>
      <c r="E24" s="399">
        <f>A!Q35</f>
        <v>0</v>
      </c>
      <c r="F24" s="399">
        <f>A!T35</f>
        <v>0</v>
      </c>
      <c r="G24" s="408">
        <f>A!W35</f>
        <v>0</v>
      </c>
      <c r="H24" t="s">
        <v>832</v>
      </c>
    </row>
    <row r="25" spans="1:9" x14ac:dyDescent="0.2">
      <c r="A25" s="399">
        <f>A!C36</f>
        <v>24</v>
      </c>
      <c r="B25" s="399" t="str">
        <f>A!E36</f>
        <v>Make-Up/Hair</v>
      </c>
      <c r="C25" s="399">
        <f>A!N36</f>
        <v>0</v>
      </c>
      <c r="D25" s="399" t="str">
        <f>A!O36</f>
        <v>days</v>
      </c>
      <c r="E25" s="399">
        <f>A!Q36</f>
        <v>0</v>
      </c>
      <c r="F25" s="399">
        <f>A!T36</f>
        <v>0</v>
      </c>
      <c r="G25" s="408">
        <f>A!W36</f>
        <v>0</v>
      </c>
      <c r="H25" t="s">
        <v>832</v>
      </c>
    </row>
    <row r="26" spans="1:9" x14ac:dyDescent="0.2">
      <c r="A26" s="399">
        <f>A!C37</f>
        <v>25</v>
      </c>
      <c r="B26" s="399" t="str">
        <f>A!E37</f>
        <v>Make-Up/Hair Asst</v>
      </c>
      <c r="C26" s="399">
        <f>A!N37</f>
        <v>0</v>
      </c>
      <c r="D26" s="399" t="str">
        <f>A!O37</f>
        <v>days</v>
      </c>
      <c r="E26" s="399">
        <f>A!Q37</f>
        <v>0</v>
      </c>
      <c r="F26" s="399">
        <f>A!T37</f>
        <v>0</v>
      </c>
      <c r="G26" s="408">
        <f>A!W37</f>
        <v>0</v>
      </c>
      <c r="H26" t="s">
        <v>832</v>
      </c>
    </row>
    <row r="27" spans="1:9" x14ac:dyDescent="0.2">
      <c r="A27" s="399">
        <f>A!C38</f>
        <v>26</v>
      </c>
      <c r="B27" s="399" t="str">
        <f>A!E38</f>
        <v>Wardrobe Stylist</v>
      </c>
      <c r="C27" s="399">
        <f>A!N38</f>
        <v>0</v>
      </c>
      <c r="D27" s="399" t="str">
        <f>A!O38</f>
        <v>days</v>
      </c>
      <c r="E27" s="399">
        <f>A!Q38</f>
        <v>0</v>
      </c>
      <c r="F27" s="399">
        <f>A!T38</f>
        <v>0</v>
      </c>
      <c r="G27" s="408">
        <f>A!W38</f>
        <v>0</v>
      </c>
      <c r="H27" t="s">
        <v>832</v>
      </c>
    </row>
    <row r="28" spans="1:9" x14ac:dyDescent="0.2">
      <c r="A28" s="399">
        <f>A!C39</f>
        <v>27</v>
      </c>
      <c r="B28" s="399" t="str">
        <f>A!E39</f>
        <v xml:space="preserve">Asst Wardrobe </v>
      </c>
      <c r="C28" s="399">
        <f>A!N39</f>
        <v>0</v>
      </c>
      <c r="D28" s="399" t="str">
        <f>A!O39</f>
        <v>days</v>
      </c>
      <c r="E28" s="399">
        <f>A!Q39</f>
        <v>0</v>
      </c>
      <c r="F28" s="399">
        <f>A!T39</f>
        <v>0</v>
      </c>
      <c r="G28" s="408">
        <f>A!W39</f>
        <v>0</v>
      </c>
      <c r="H28" t="s">
        <v>832</v>
      </c>
    </row>
    <row r="29" spans="1:9" x14ac:dyDescent="0.2">
      <c r="A29" s="399">
        <f>A!C40</f>
        <v>28</v>
      </c>
      <c r="B29" s="399" t="str">
        <f>A!E40</f>
        <v>Script Supervisor</v>
      </c>
      <c r="C29" s="399">
        <f>A!N40</f>
        <v>0</v>
      </c>
      <c r="D29" s="399" t="str">
        <f>A!O40</f>
        <v>days</v>
      </c>
      <c r="E29" s="399">
        <f>A!Q40</f>
        <v>0</v>
      </c>
      <c r="F29" s="399">
        <f>A!T40</f>
        <v>0</v>
      </c>
      <c r="G29" s="408">
        <f>A!W40</f>
        <v>0</v>
      </c>
      <c r="H29" t="s">
        <v>832</v>
      </c>
    </row>
    <row r="30" spans="1:9" x14ac:dyDescent="0.2">
      <c r="A30" s="399">
        <f>A!C41</f>
        <v>29</v>
      </c>
      <c r="B30" s="399" t="str">
        <f>A!E41</f>
        <v>Boom Operator</v>
      </c>
      <c r="C30" s="399">
        <f>A!N41</f>
        <v>0</v>
      </c>
      <c r="D30" s="399" t="str">
        <f>A!O41</f>
        <v>days</v>
      </c>
      <c r="E30" s="399">
        <f>A!Q41</f>
        <v>0</v>
      </c>
      <c r="F30" s="399">
        <f>A!T41</f>
        <v>0</v>
      </c>
      <c r="G30" s="408">
        <f>A!W41</f>
        <v>0</v>
      </c>
      <c r="H30" t="s">
        <v>832</v>
      </c>
    </row>
    <row r="31" spans="1:9" x14ac:dyDescent="0.2">
      <c r="A31" s="399">
        <f>A!C42</f>
        <v>30</v>
      </c>
      <c r="B31" s="399" t="str">
        <f>A!E42</f>
        <v>Sound Mixer</v>
      </c>
      <c r="C31" s="399">
        <f>A!N42</f>
        <v>0</v>
      </c>
      <c r="D31" s="399" t="str">
        <f>A!O42</f>
        <v>days</v>
      </c>
      <c r="E31" s="399">
        <f>A!Q42</f>
        <v>0</v>
      </c>
      <c r="F31" s="399">
        <f>A!T42</f>
        <v>0</v>
      </c>
      <c r="G31" s="408">
        <f>A!W42</f>
        <v>0</v>
      </c>
      <c r="H31" t="s">
        <v>832</v>
      </c>
    </row>
    <row r="32" spans="1:9" x14ac:dyDescent="0.2">
      <c r="A32" s="399">
        <f>A!C43</f>
        <v>31</v>
      </c>
      <c r="B32" s="399" t="str">
        <f>A!E43</f>
        <v>VTR Operator</v>
      </c>
      <c r="C32" s="399">
        <f>A!N43</f>
        <v>0</v>
      </c>
      <c r="D32" s="399" t="str">
        <f>A!O43</f>
        <v>days</v>
      </c>
      <c r="E32" s="399">
        <f>A!Q43</f>
        <v>0</v>
      </c>
      <c r="F32" s="399">
        <f>A!T43</f>
        <v>0</v>
      </c>
      <c r="G32" s="408">
        <f>A!W43</f>
        <v>0</v>
      </c>
      <c r="H32" t="s">
        <v>832</v>
      </c>
    </row>
    <row r="33" spans="1:8" x14ac:dyDescent="0.2">
      <c r="A33" s="399">
        <f>A!C44</f>
        <v>32</v>
      </c>
      <c r="B33" s="399" t="str">
        <f>A!E44</f>
        <v>Stunt Coordinator</v>
      </c>
      <c r="C33" s="399">
        <f>A!N44</f>
        <v>0</v>
      </c>
      <c r="D33" s="399" t="str">
        <f>A!O44</f>
        <v>days</v>
      </c>
      <c r="E33" s="399">
        <f>A!Q44</f>
        <v>0</v>
      </c>
      <c r="F33" s="399">
        <f>A!T44</f>
        <v>0</v>
      </c>
      <c r="G33" s="408">
        <f>A!W44</f>
        <v>0</v>
      </c>
      <c r="H33" t="s">
        <v>832</v>
      </c>
    </row>
    <row r="34" spans="1:8" x14ac:dyDescent="0.2">
      <c r="A34" s="399">
        <f>A!C45</f>
        <v>33</v>
      </c>
      <c r="B34" s="399" t="str">
        <f>A!E45</f>
        <v>Safety Officer</v>
      </c>
      <c r="C34" s="399">
        <f>A!N45</f>
        <v>0</v>
      </c>
      <c r="D34" s="399" t="str">
        <f>A!O45</f>
        <v>days</v>
      </c>
      <c r="E34" s="399">
        <f>A!Q45</f>
        <v>0</v>
      </c>
      <c r="F34" s="399">
        <f>A!T45</f>
        <v>0</v>
      </c>
      <c r="G34" s="408">
        <f>A!W45</f>
        <v>0</v>
      </c>
      <c r="H34" t="s">
        <v>832</v>
      </c>
    </row>
    <row r="35" spans="1:8" x14ac:dyDescent="0.2">
      <c r="A35" s="399">
        <f>A!C46</f>
        <v>34</v>
      </c>
      <c r="B35" s="399" t="str">
        <f>A!E46</f>
        <v>Site Rep</v>
      </c>
      <c r="C35" s="399">
        <f>A!N46</f>
        <v>0</v>
      </c>
      <c r="D35" s="399" t="str">
        <f>A!O46</f>
        <v>days</v>
      </c>
      <c r="E35" s="399">
        <f>A!Q46</f>
        <v>0</v>
      </c>
      <c r="F35" s="399">
        <f>A!T46</f>
        <v>0</v>
      </c>
      <c r="G35" s="408">
        <f>A!W46</f>
        <v>0</v>
      </c>
      <c r="H35" t="s">
        <v>832</v>
      </c>
    </row>
    <row r="36" spans="1:8" x14ac:dyDescent="0.2">
      <c r="A36" s="399">
        <f>A!C47</f>
        <v>35</v>
      </c>
      <c r="B36" s="399" t="str">
        <f>A!E47</f>
        <v>Storyboard Artist</v>
      </c>
      <c r="C36" s="399">
        <f>A!N47</f>
        <v>0</v>
      </c>
      <c r="D36" s="399" t="str">
        <f>A!O47</f>
        <v>days</v>
      </c>
      <c r="E36" s="399">
        <f>A!Q47</f>
        <v>0</v>
      </c>
      <c r="F36" s="399">
        <f>A!T47</f>
        <v>0</v>
      </c>
      <c r="G36" s="408">
        <f>A!W47</f>
        <v>0</v>
      </c>
      <c r="H36" t="s">
        <v>832</v>
      </c>
    </row>
    <row r="37" spans="1:8" x14ac:dyDescent="0.2">
      <c r="A37" s="399">
        <f>A!C48</f>
        <v>36</v>
      </c>
      <c r="B37" s="399" t="str">
        <f>A!E48</f>
        <v>Catering Crew</v>
      </c>
      <c r="C37" s="399">
        <f>A!N48</f>
        <v>0</v>
      </c>
      <c r="D37" s="399" t="str">
        <f>A!O48</f>
        <v>days</v>
      </c>
      <c r="E37" s="399">
        <f>A!Q48</f>
        <v>0</v>
      </c>
      <c r="F37" s="399">
        <f>A!T48</f>
        <v>0</v>
      </c>
      <c r="G37" s="408">
        <f>A!W48</f>
        <v>0</v>
      </c>
      <c r="H37" t="s">
        <v>832</v>
      </c>
    </row>
    <row r="38" spans="1:8" x14ac:dyDescent="0.2">
      <c r="A38" s="399">
        <f>A!C49</f>
        <v>37</v>
      </c>
      <c r="B38" s="399" t="str">
        <f>A!E49</f>
        <v>Location Scout</v>
      </c>
      <c r="C38" s="399">
        <f>A!N49</f>
        <v>0</v>
      </c>
      <c r="D38" s="399" t="str">
        <f>A!O49</f>
        <v>days</v>
      </c>
      <c r="E38" s="399">
        <f>A!Q49</f>
        <v>0</v>
      </c>
      <c r="F38" s="399">
        <f>A!T49</f>
        <v>0</v>
      </c>
      <c r="G38" s="408">
        <f>A!W49</f>
        <v>0</v>
      </c>
      <c r="H38" t="s">
        <v>832</v>
      </c>
    </row>
    <row r="39" spans="1:8" x14ac:dyDescent="0.2">
      <c r="A39" s="399">
        <f>A!C50</f>
        <v>38</v>
      </c>
      <c r="B39" s="399" t="str">
        <f>A!E50</f>
        <v>Compliance Assistant</v>
      </c>
      <c r="C39" s="399">
        <f>A!N50</f>
        <v>0</v>
      </c>
      <c r="D39" s="399" t="str">
        <f>A!O50</f>
        <v>days</v>
      </c>
      <c r="E39" s="399">
        <f>A!Q50</f>
        <v>0</v>
      </c>
      <c r="F39" s="399">
        <f>A!T50</f>
        <v>0</v>
      </c>
      <c r="G39" s="408">
        <f>A!W50</f>
        <v>0</v>
      </c>
      <c r="H39" t="s">
        <v>832</v>
      </c>
    </row>
    <row r="40" spans="1:8" x14ac:dyDescent="0.2">
      <c r="A40" s="399">
        <f>A!C51</f>
        <v>39</v>
      </c>
      <c r="B40" s="399" t="str">
        <f>A!E51</f>
        <v>2nd AD</v>
      </c>
      <c r="C40" s="399">
        <f>A!N51</f>
        <v>0</v>
      </c>
      <c r="D40" s="399" t="str">
        <f>A!O51</f>
        <v>days</v>
      </c>
      <c r="E40" s="399">
        <f>A!Q51</f>
        <v>0</v>
      </c>
      <c r="F40" s="399">
        <f>A!T51</f>
        <v>0</v>
      </c>
      <c r="G40" s="408">
        <f>A!W51</f>
        <v>0</v>
      </c>
      <c r="H40" t="s">
        <v>832</v>
      </c>
    </row>
    <row r="41" spans="1:8" x14ac:dyDescent="0.2">
      <c r="A41" s="399">
        <f>A!C52</f>
        <v>40</v>
      </c>
      <c r="B41" s="399" t="str">
        <f>A!E52</f>
        <v>Medic</v>
      </c>
      <c r="C41" s="399">
        <f>A!N52</f>
        <v>0</v>
      </c>
      <c r="D41" s="399" t="str">
        <f>A!O52</f>
        <v>days</v>
      </c>
      <c r="E41" s="399">
        <f>A!Q52</f>
        <v>450</v>
      </c>
      <c r="F41" s="399">
        <f>A!T52</f>
        <v>0</v>
      </c>
      <c r="G41" s="408">
        <f>A!W52</f>
        <v>0</v>
      </c>
      <c r="H41" t="s">
        <v>832</v>
      </c>
    </row>
    <row r="42" spans="1:8" x14ac:dyDescent="0.2">
      <c r="A42" s="399">
        <f>A!C53</f>
        <v>41</v>
      </c>
      <c r="B42" s="399" t="str">
        <f>A!E53</f>
        <v>Craft Service</v>
      </c>
      <c r="C42" s="399">
        <f>A!N53</f>
        <v>0</v>
      </c>
      <c r="D42" s="399" t="str">
        <f>A!O53</f>
        <v>days</v>
      </c>
      <c r="E42" s="399">
        <f>A!Q53</f>
        <v>0</v>
      </c>
      <c r="F42" s="399">
        <f>A!T53</f>
        <v>0</v>
      </c>
      <c r="G42" s="408">
        <f>A!W53</f>
        <v>0</v>
      </c>
      <c r="H42" t="s">
        <v>832</v>
      </c>
    </row>
    <row r="43" spans="1:8" x14ac:dyDescent="0.2">
      <c r="A43" s="399">
        <f>A!C54</f>
        <v>42</v>
      </c>
      <c r="B43" s="399" t="str">
        <f>A!E54</f>
        <v>Firefighter</v>
      </c>
      <c r="C43" s="399">
        <f>A!N54</f>
        <v>0</v>
      </c>
      <c r="D43" s="399" t="str">
        <f>A!O54</f>
        <v>days</v>
      </c>
      <c r="E43" s="399">
        <f>A!Q54</f>
        <v>0</v>
      </c>
      <c r="F43" s="399">
        <f>A!T54</f>
        <v>0</v>
      </c>
      <c r="G43" s="408">
        <f>A!W54</f>
        <v>0</v>
      </c>
      <c r="H43" t="s">
        <v>832</v>
      </c>
    </row>
    <row r="44" spans="1:8" x14ac:dyDescent="0.2">
      <c r="A44" s="399">
        <f>A!C55</f>
        <v>43</v>
      </c>
      <c r="B44" s="399" t="str">
        <f>A!E55</f>
        <v>Police Officers/Ranger/CHP</v>
      </c>
      <c r="C44" s="399">
        <f>A!N55</f>
        <v>0</v>
      </c>
      <c r="D44" s="399" t="str">
        <f>A!O55</f>
        <v>days</v>
      </c>
      <c r="E44" s="399">
        <f>A!Q55</f>
        <v>0</v>
      </c>
      <c r="F44" s="399">
        <f>A!T55</f>
        <v>0</v>
      </c>
      <c r="G44" s="408">
        <f>A!W55</f>
        <v>0</v>
      </c>
      <c r="H44" t="s">
        <v>832</v>
      </c>
    </row>
    <row r="45" spans="1:8" x14ac:dyDescent="0.2">
      <c r="A45" s="399">
        <f>A!C56</f>
        <v>44</v>
      </c>
      <c r="B45" s="399" t="str">
        <f>A!E56</f>
        <v>Welfare/Teacher</v>
      </c>
      <c r="C45" s="399">
        <f>A!N56</f>
        <v>0</v>
      </c>
      <c r="D45" s="399" t="str">
        <f>A!O56</f>
        <v>days</v>
      </c>
      <c r="E45" s="399">
        <f>A!Q56</f>
        <v>0</v>
      </c>
      <c r="F45" s="399">
        <f>A!T56</f>
        <v>0</v>
      </c>
      <c r="G45" s="408">
        <f>A!W56</f>
        <v>0</v>
      </c>
      <c r="H45" t="s">
        <v>832</v>
      </c>
    </row>
    <row r="46" spans="1:8" x14ac:dyDescent="0.2">
      <c r="A46" s="399">
        <f>A!C57</f>
        <v>45</v>
      </c>
      <c r="B46" s="399" t="str">
        <f>A!E57</f>
        <v>Gang Boss</v>
      </c>
      <c r="C46" s="399">
        <f>A!N57</f>
        <v>0</v>
      </c>
      <c r="D46" s="399" t="str">
        <f>A!O57</f>
        <v>days</v>
      </c>
      <c r="E46" s="399">
        <f>A!Q57</f>
        <v>0</v>
      </c>
      <c r="F46" s="399">
        <f>A!T57</f>
        <v>0</v>
      </c>
      <c r="G46" s="408">
        <f>A!W57</f>
        <v>0</v>
      </c>
      <c r="H46" t="s">
        <v>832</v>
      </c>
    </row>
    <row r="47" spans="1:8" x14ac:dyDescent="0.2">
      <c r="A47" s="399">
        <f>A!C58</f>
        <v>46</v>
      </c>
      <c r="B47" s="399" t="str">
        <f>A!E58</f>
        <v>Teamster Drivers / Animal Wranglers</v>
      </c>
      <c r="C47" s="399">
        <f>A!N58</f>
        <v>0</v>
      </c>
      <c r="D47" s="399" t="str">
        <f>A!O58</f>
        <v>days</v>
      </c>
      <c r="E47" s="399">
        <f>A!Q58</f>
        <v>0</v>
      </c>
      <c r="F47" s="399">
        <f>A!T58</f>
        <v>0</v>
      </c>
      <c r="G47" s="408">
        <f>A!W58</f>
        <v>0</v>
      </c>
      <c r="H47" t="s">
        <v>832</v>
      </c>
    </row>
    <row r="48" spans="1:8" x14ac:dyDescent="0.2">
      <c r="A48" s="399">
        <f>A!C59</f>
        <v>47</v>
      </c>
      <c r="B48" s="399" t="str">
        <f>A!E59</f>
        <v>Production Supervisor</v>
      </c>
      <c r="C48" s="399">
        <f>A!N59</f>
        <v>0</v>
      </c>
      <c r="D48" s="399" t="str">
        <f>A!O59</f>
        <v>days</v>
      </c>
      <c r="E48" s="399">
        <f>A!Q59</f>
        <v>0</v>
      </c>
      <c r="F48" s="399">
        <f>A!T59</f>
        <v>0</v>
      </c>
      <c r="G48" s="408">
        <f>A!W59</f>
        <v>0</v>
      </c>
      <c r="H48" t="s">
        <v>832</v>
      </c>
    </row>
    <row r="49" spans="1:8" x14ac:dyDescent="0.2">
      <c r="A49" s="399">
        <f>A!C60</f>
        <v>48</v>
      </c>
      <c r="B49" s="399" t="str">
        <f>A!E60</f>
        <v>Assistant Production Supervisor</v>
      </c>
      <c r="C49" s="399">
        <f>A!N60</f>
        <v>0</v>
      </c>
      <c r="D49" s="399" t="str">
        <f>A!O60</f>
        <v>days</v>
      </c>
      <c r="E49" s="399">
        <f>A!Q60</f>
        <v>0</v>
      </c>
      <c r="F49" s="399">
        <f>A!T60</f>
        <v>0</v>
      </c>
      <c r="G49" s="408">
        <f>A!W60</f>
        <v>0</v>
      </c>
      <c r="H49" t="s">
        <v>832</v>
      </c>
    </row>
    <row r="50" spans="1:8" x14ac:dyDescent="0.2">
      <c r="A50" s="399">
        <f>A!C61</f>
        <v>49</v>
      </c>
      <c r="B50" s="399" t="str">
        <f>A!E61</f>
        <v>Production Assistant</v>
      </c>
      <c r="C50" s="399">
        <f>A!N61</f>
        <v>0</v>
      </c>
      <c r="D50" s="399" t="str">
        <f>A!O61</f>
        <v>days</v>
      </c>
      <c r="E50" s="399">
        <f>A!Q61</f>
        <v>0</v>
      </c>
      <c r="F50" s="399">
        <f>A!T61</f>
        <v>0</v>
      </c>
      <c r="G50" s="408">
        <f>A!W61</f>
        <v>0</v>
      </c>
      <c r="H50" t="s">
        <v>832</v>
      </c>
    </row>
    <row r="51" spans="1:8" x14ac:dyDescent="0.2">
      <c r="A51" s="399">
        <f>A!C62</f>
        <v>50</v>
      </c>
      <c r="B51" s="399" t="str">
        <f>A!E62</f>
        <v>Production Assistant</v>
      </c>
      <c r="C51" s="399">
        <f>A!N62</f>
        <v>0</v>
      </c>
      <c r="D51" s="399" t="str">
        <f>A!O62</f>
        <v>days</v>
      </c>
      <c r="E51" s="399">
        <f>A!Q62</f>
        <v>0</v>
      </c>
      <c r="F51" s="399">
        <f>A!T62</f>
        <v>0</v>
      </c>
      <c r="G51" s="408">
        <f>A!W62</f>
        <v>0</v>
      </c>
      <c r="H51" t="s">
        <v>832</v>
      </c>
    </row>
    <row r="52" spans="1:8" x14ac:dyDescent="0.2">
      <c r="A52" s="399"/>
      <c r="B52" s="399"/>
      <c r="C52" s="399"/>
      <c r="D52" s="399"/>
      <c r="E52" s="399"/>
      <c r="F52" s="399" t="str">
        <f>A!O63</f>
        <v>Sub Total A</v>
      </c>
      <c r="G52" s="408">
        <f>A!W63</f>
        <v>0</v>
      </c>
      <c r="H52" t="s">
        <v>832</v>
      </c>
    </row>
    <row r="53" spans="1:8" x14ac:dyDescent="0.2">
      <c r="F53" s="399" t="str">
        <f>A!O64</f>
        <v>Fringes</v>
      </c>
      <c r="G53" s="408">
        <f>A!W64</f>
        <v>0</v>
      </c>
      <c r="H53" t="s">
        <v>832</v>
      </c>
    </row>
    <row r="54" spans="1:8" x14ac:dyDescent="0.2">
      <c r="F54" s="399" t="str">
        <f>A!O65</f>
        <v>Total</v>
      </c>
      <c r="G54" s="408">
        <f>A!W65</f>
        <v>0</v>
      </c>
      <c r="H54" t="s">
        <v>832</v>
      </c>
    </row>
    <row r="55" spans="1:8" x14ac:dyDescent="0.2">
      <c r="A55" t="s">
        <v>821</v>
      </c>
      <c r="B55" t="s">
        <v>822</v>
      </c>
      <c r="C55" t="s">
        <v>376</v>
      </c>
      <c r="D55" t="s">
        <v>823</v>
      </c>
      <c r="E55" t="s">
        <v>220</v>
      </c>
      <c r="F55" t="s">
        <v>400</v>
      </c>
      <c r="G55" s="408" t="s">
        <v>370</v>
      </c>
      <c r="H55" t="s">
        <v>833</v>
      </c>
    </row>
    <row r="56" spans="1:8" x14ac:dyDescent="0.2">
      <c r="A56" s="399">
        <f>B!C13</f>
        <v>51</v>
      </c>
      <c r="B56" s="399" t="str">
        <f>B!E13</f>
        <v>Line Producer</v>
      </c>
      <c r="C56" s="399">
        <f>B!N13</f>
        <v>0</v>
      </c>
      <c r="D56" s="399" t="str">
        <f>B!O13</f>
        <v>days</v>
      </c>
      <c r="E56" s="399">
        <f>B!Q13</f>
        <v>200</v>
      </c>
      <c r="F56" s="399">
        <f>B!T13</f>
        <v>0</v>
      </c>
      <c r="G56" s="408">
        <f>B!W13</f>
        <v>0</v>
      </c>
      <c r="H56" t="s">
        <v>833</v>
      </c>
    </row>
    <row r="57" spans="1:8" x14ac:dyDescent="0.2">
      <c r="A57" s="399">
        <f>B!C14</f>
        <v>52</v>
      </c>
      <c r="B57" s="399" t="str">
        <f>B!E14</f>
        <v>Assistant Director</v>
      </c>
      <c r="C57" s="399">
        <f>B!N14</f>
        <v>0</v>
      </c>
      <c r="D57" s="399" t="str">
        <f>B!O14</f>
        <v>days</v>
      </c>
      <c r="E57" s="399">
        <f>B!Q14</f>
        <v>0</v>
      </c>
      <c r="F57" s="399">
        <f>B!T14</f>
        <v>0</v>
      </c>
      <c r="G57" s="408">
        <f>B!W14</f>
        <v>0</v>
      </c>
      <c r="H57" t="s">
        <v>833</v>
      </c>
    </row>
    <row r="58" spans="1:8" x14ac:dyDescent="0.2">
      <c r="A58" s="399">
        <f>B!C15</f>
        <v>53</v>
      </c>
      <c r="B58" s="399" t="str">
        <f>B!E15</f>
        <v>Director of Photography</v>
      </c>
      <c r="C58" s="399">
        <f>B!N15</f>
        <v>0</v>
      </c>
      <c r="D58" s="399" t="str">
        <f>B!O15</f>
        <v>days</v>
      </c>
      <c r="E58" s="399">
        <f>B!Q15</f>
        <v>0</v>
      </c>
      <c r="F58" s="399">
        <f>B!T15</f>
        <v>0</v>
      </c>
      <c r="G58" s="408">
        <f>B!W15</f>
        <v>0</v>
      </c>
      <c r="H58" t="s">
        <v>833</v>
      </c>
    </row>
    <row r="59" spans="1:8" x14ac:dyDescent="0.2">
      <c r="A59" s="399">
        <f>B!C16</f>
        <v>54</v>
      </c>
      <c r="B59" s="399" t="str">
        <f>B!E16</f>
        <v>1st Assistant Camera</v>
      </c>
      <c r="C59" s="399">
        <f>B!N16</f>
        <v>0</v>
      </c>
      <c r="D59" s="399" t="str">
        <f>B!O16</f>
        <v>days</v>
      </c>
      <c r="E59" s="399">
        <f>B!Q16</f>
        <v>0</v>
      </c>
      <c r="F59" s="399">
        <f>B!T16</f>
        <v>0</v>
      </c>
      <c r="G59" s="408">
        <f>B!W16</f>
        <v>0</v>
      </c>
      <c r="H59" t="s">
        <v>833</v>
      </c>
    </row>
    <row r="60" spans="1:8" x14ac:dyDescent="0.2">
      <c r="A60" s="399">
        <f>B!C17</f>
        <v>55</v>
      </c>
      <c r="B60" s="399" t="str">
        <f>B!E17</f>
        <v>2nd Assistant Camera</v>
      </c>
      <c r="C60" s="399">
        <f>B!N17</f>
        <v>0</v>
      </c>
      <c r="D60" s="399" t="str">
        <f>B!O17</f>
        <v>days</v>
      </c>
      <c r="E60" s="399">
        <f>B!Q17</f>
        <v>0</v>
      </c>
      <c r="F60" s="399">
        <f>B!T17</f>
        <v>0</v>
      </c>
      <c r="G60" s="408">
        <f>B!W17</f>
        <v>0</v>
      </c>
      <c r="H60" t="s">
        <v>833</v>
      </c>
    </row>
    <row r="61" spans="1:8" x14ac:dyDescent="0.2">
      <c r="A61" s="399">
        <f>B!C18</f>
        <v>56</v>
      </c>
      <c r="B61" s="399" t="str">
        <f>B!E18</f>
        <v>DIT</v>
      </c>
      <c r="C61" s="399">
        <f>B!N18</f>
        <v>0</v>
      </c>
      <c r="D61" s="399" t="str">
        <f>B!O18</f>
        <v>days</v>
      </c>
      <c r="E61" s="399">
        <f>B!Q18</f>
        <v>0</v>
      </c>
      <c r="F61" s="399">
        <f>B!T18</f>
        <v>0</v>
      </c>
      <c r="G61" s="408">
        <f>B!W18</f>
        <v>0</v>
      </c>
      <c r="H61" t="s">
        <v>833</v>
      </c>
    </row>
    <row r="62" spans="1:8" x14ac:dyDescent="0.2">
      <c r="A62" s="399">
        <f>B!C19</f>
        <v>57</v>
      </c>
      <c r="B62" s="399" t="str">
        <f>B!E19</f>
        <v>Prop Master</v>
      </c>
      <c r="C62" s="399">
        <f>B!N19</f>
        <v>0</v>
      </c>
      <c r="D62" s="399" t="str">
        <f>B!O19</f>
        <v>days</v>
      </c>
      <c r="E62" s="399">
        <f>B!Q19</f>
        <v>0</v>
      </c>
      <c r="F62" s="399">
        <f>B!T19</f>
        <v>0</v>
      </c>
      <c r="G62" s="408">
        <f>B!W19</f>
        <v>0</v>
      </c>
      <c r="H62" t="s">
        <v>833</v>
      </c>
    </row>
    <row r="63" spans="1:8" x14ac:dyDescent="0.2">
      <c r="A63" s="399">
        <f>B!C20</f>
        <v>58</v>
      </c>
      <c r="B63" s="399" t="str">
        <f>B!E20</f>
        <v>Asst Props</v>
      </c>
      <c r="C63" s="399">
        <f>B!N20</f>
        <v>0</v>
      </c>
      <c r="D63" s="399" t="str">
        <f>B!O20</f>
        <v>days</v>
      </c>
      <c r="E63" s="399">
        <f>B!Q20</f>
        <v>0</v>
      </c>
      <c r="F63" s="399">
        <f>B!T20</f>
        <v>0</v>
      </c>
      <c r="G63" s="408">
        <f>B!W20</f>
        <v>0</v>
      </c>
      <c r="H63" t="s">
        <v>833</v>
      </c>
    </row>
    <row r="64" spans="1:8" x14ac:dyDescent="0.2">
      <c r="A64" s="399">
        <f>B!C21</f>
        <v>59</v>
      </c>
      <c r="B64" s="399">
        <f>B!E21</f>
        <v>0</v>
      </c>
      <c r="C64" s="399">
        <f>B!N21</f>
        <v>0</v>
      </c>
      <c r="D64" s="399" t="str">
        <f>B!O21</f>
        <v>days</v>
      </c>
      <c r="E64" s="399">
        <f>B!Q21</f>
        <v>0</v>
      </c>
      <c r="F64" s="399">
        <f>B!T21</f>
        <v>0</v>
      </c>
      <c r="G64" s="408">
        <f>B!W21</f>
        <v>0</v>
      </c>
      <c r="H64" t="s">
        <v>833</v>
      </c>
    </row>
    <row r="65" spans="1:8" x14ac:dyDescent="0.2">
      <c r="A65" s="399">
        <f>B!C22</f>
        <v>60</v>
      </c>
      <c r="B65" s="399" t="str">
        <f>B!E22</f>
        <v>Camera Op</v>
      </c>
      <c r="C65" s="399">
        <f>B!N22</f>
        <v>0</v>
      </c>
      <c r="D65" s="399" t="str">
        <f>B!O22</f>
        <v>days</v>
      </c>
      <c r="E65" s="399">
        <f>B!Q22</f>
        <v>0</v>
      </c>
      <c r="F65" s="399">
        <f>B!T22</f>
        <v>0</v>
      </c>
      <c r="G65" s="408">
        <f>B!W22</f>
        <v>0</v>
      </c>
      <c r="H65" t="s">
        <v>833</v>
      </c>
    </row>
    <row r="66" spans="1:8" x14ac:dyDescent="0.2">
      <c r="A66" s="399">
        <f>B!C23</f>
        <v>61</v>
      </c>
      <c r="B66" s="399" t="str">
        <f>B!E23</f>
        <v>Gaffer</v>
      </c>
      <c r="C66" s="399">
        <f>B!N23</f>
        <v>0</v>
      </c>
      <c r="D66" s="399" t="str">
        <f>B!O23</f>
        <v>days</v>
      </c>
      <c r="E66" s="399">
        <f>B!Q23</f>
        <v>0</v>
      </c>
      <c r="F66" s="399">
        <f>B!T23</f>
        <v>0</v>
      </c>
      <c r="G66" s="408">
        <f>B!W23</f>
        <v>0</v>
      </c>
      <c r="H66" t="s">
        <v>833</v>
      </c>
    </row>
    <row r="67" spans="1:8" x14ac:dyDescent="0.2">
      <c r="A67" s="399">
        <f>B!C24</f>
        <v>62</v>
      </c>
      <c r="B67" s="399" t="str">
        <f>B!E24</f>
        <v>Best Boy Electric</v>
      </c>
      <c r="C67" s="399">
        <f>B!N24</f>
        <v>0</v>
      </c>
      <c r="D67" s="399" t="str">
        <f>B!O24</f>
        <v>days</v>
      </c>
      <c r="E67" s="399">
        <f>B!Q24</f>
        <v>0</v>
      </c>
      <c r="F67" s="399">
        <f>B!T24</f>
        <v>0</v>
      </c>
      <c r="G67" s="408">
        <f>B!W24</f>
        <v>0</v>
      </c>
      <c r="H67" t="s">
        <v>833</v>
      </c>
    </row>
    <row r="68" spans="1:8" x14ac:dyDescent="0.2">
      <c r="A68" s="399">
        <f>B!C25</f>
        <v>63</v>
      </c>
      <c r="B68" s="399" t="str">
        <f>B!E25</f>
        <v>3rd Electric</v>
      </c>
      <c r="C68" s="399">
        <f>B!N25</f>
        <v>0</v>
      </c>
      <c r="D68" s="399" t="str">
        <f>B!O25</f>
        <v>days</v>
      </c>
      <c r="E68" s="399">
        <f>B!Q25</f>
        <v>0</v>
      </c>
      <c r="F68" s="399">
        <f>B!T25</f>
        <v>0</v>
      </c>
      <c r="G68" s="408">
        <f>B!W25</f>
        <v>0</v>
      </c>
      <c r="H68" t="s">
        <v>833</v>
      </c>
    </row>
    <row r="69" spans="1:8" x14ac:dyDescent="0.2">
      <c r="A69" s="399">
        <f>B!C26</f>
        <v>64</v>
      </c>
      <c r="B69" s="399" t="str">
        <f>B!E26</f>
        <v>Electric/Driver</v>
      </c>
      <c r="C69" s="399">
        <f>B!N26</f>
        <v>0</v>
      </c>
      <c r="D69" s="399" t="str">
        <f>B!O26</f>
        <v>days</v>
      </c>
      <c r="E69" s="399">
        <f>B!Q26</f>
        <v>0</v>
      </c>
      <c r="F69" s="399">
        <f>B!T26</f>
        <v>0</v>
      </c>
      <c r="G69" s="408">
        <f>B!W26</f>
        <v>0</v>
      </c>
      <c r="H69" t="s">
        <v>833</v>
      </c>
    </row>
    <row r="70" spans="1:8" x14ac:dyDescent="0.2">
      <c r="A70" s="399">
        <f>B!C27</f>
        <v>65</v>
      </c>
      <c r="B70" s="399" t="str">
        <f>B!E27</f>
        <v>Prep/Strike/Pre Rig Crew</v>
      </c>
      <c r="C70" s="399">
        <f>B!N27</f>
        <v>0</v>
      </c>
      <c r="D70" s="399" t="str">
        <f>B!O27</f>
        <v>days</v>
      </c>
      <c r="E70" s="399">
        <f>B!Q27</f>
        <v>0</v>
      </c>
      <c r="F70" s="399">
        <f>B!T27</f>
        <v>0</v>
      </c>
      <c r="G70" s="408">
        <f>B!W27</f>
        <v>0</v>
      </c>
      <c r="H70" t="s">
        <v>833</v>
      </c>
    </row>
    <row r="71" spans="1:8" x14ac:dyDescent="0.2">
      <c r="A71" s="399">
        <f>B!C28</f>
        <v>66</v>
      </c>
      <c r="B71" s="399" t="str">
        <f>B!E28</f>
        <v>Key Grip</v>
      </c>
      <c r="C71" s="399">
        <f>B!N28</f>
        <v>0</v>
      </c>
      <c r="D71" s="399" t="str">
        <f>B!O28</f>
        <v>days</v>
      </c>
      <c r="E71" s="399">
        <f>B!Q28</f>
        <v>0</v>
      </c>
      <c r="F71" s="399">
        <f>B!T28</f>
        <v>0</v>
      </c>
      <c r="G71" s="408">
        <f>B!W28</f>
        <v>0</v>
      </c>
      <c r="H71" t="s">
        <v>833</v>
      </c>
    </row>
    <row r="72" spans="1:8" x14ac:dyDescent="0.2">
      <c r="A72" s="399">
        <f>B!C29</f>
        <v>67</v>
      </c>
      <c r="B72" s="399" t="str">
        <f>B!E29</f>
        <v>Best Boy Grip</v>
      </c>
      <c r="C72" s="399">
        <f>B!N29</f>
        <v>0</v>
      </c>
      <c r="D72" s="399" t="str">
        <f>B!O29</f>
        <v>days</v>
      </c>
      <c r="E72" s="399">
        <f>B!Q29</f>
        <v>0</v>
      </c>
      <c r="F72" s="399">
        <f>B!T29</f>
        <v>0</v>
      </c>
      <c r="G72" s="408">
        <f>B!W29</f>
        <v>0</v>
      </c>
      <c r="H72" t="s">
        <v>833</v>
      </c>
    </row>
    <row r="73" spans="1:8" x14ac:dyDescent="0.2">
      <c r="A73" s="399">
        <f>B!C30</f>
        <v>68</v>
      </c>
      <c r="B73" s="399" t="str">
        <f>B!E30</f>
        <v>3rd Grip</v>
      </c>
      <c r="C73" s="399">
        <f>B!N30</f>
        <v>0</v>
      </c>
      <c r="D73" s="399" t="str">
        <f>B!O30</f>
        <v>days</v>
      </c>
      <c r="E73" s="399">
        <f>B!Q30</f>
        <v>0</v>
      </c>
      <c r="F73" s="399">
        <f>B!T30</f>
        <v>0</v>
      </c>
      <c r="G73" s="408">
        <f>B!W30</f>
        <v>0</v>
      </c>
      <c r="H73" t="s">
        <v>833</v>
      </c>
    </row>
    <row r="74" spans="1:8" x14ac:dyDescent="0.2">
      <c r="A74" s="399">
        <f>B!C31</f>
        <v>69</v>
      </c>
      <c r="B74" s="399" t="str">
        <f>B!E31</f>
        <v>Grip/Driver</v>
      </c>
      <c r="C74" s="399">
        <f>B!N31</f>
        <v>0</v>
      </c>
      <c r="D74" s="399" t="str">
        <f>B!O31</f>
        <v>days</v>
      </c>
      <c r="E74" s="399">
        <f>B!Q31</f>
        <v>0</v>
      </c>
      <c r="F74" s="399">
        <f>B!T31</f>
        <v>0</v>
      </c>
      <c r="G74" s="408">
        <f>B!W31</f>
        <v>0</v>
      </c>
      <c r="H74" t="s">
        <v>833</v>
      </c>
    </row>
    <row r="75" spans="1:8" x14ac:dyDescent="0.2">
      <c r="A75" s="399">
        <f>B!C32</f>
        <v>70</v>
      </c>
      <c r="B75" s="399" t="str">
        <f>B!E32</f>
        <v>Crane Tech 2x</v>
      </c>
      <c r="C75" s="399">
        <f>B!N32</f>
        <v>0</v>
      </c>
      <c r="D75" s="399" t="str">
        <f>B!O32</f>
        <v>days</v>
      </c>
      <c r="E75" s="399">
        <f>B!Q32</f>
        <v>0</v>
      </c>
      <c r="F75" s="399">
        <f>B!T32</f>
        <v>0</v>
      </c>
      <c r="G75" s="408">
        <f>B!W32</f>
        <v>0</v>
      </c>
      <c r="H75" t="s">
        <v>833</v>
      </c>
    </row>
    <row r="76" spans="1:8" x14ac:dyDescent="0.2">
      <c r="A76" s="399">
        <f>B!C33</f>
        <v>71</v>
      </c>
      <c r="B76" s="399" t="str">
        <f>B!E33</f>
        <v>Crane Head Tech</v>
      </c>
      <c r="C76" s="399">
        <f>B!N33</f>
        <v>0</v>
      </c>
      <c r="D76" s="399" t="str">
        <f>B!O33</f>
        <v>days</v>
      </c>
      <c r="E76" s="399">
        <f>B!Q33</f>
        <v>0</v>
      </c>
      <c r="F76" s="399">
        <f>B!T33</f>
        <v>0</v>
      </c>
      <c r="G76" s="408">
        <f>B!W33</f>
        <v>0</v>
      </c>
      <c r="H76" t="s">
        <v>833</v>
      </c>
    </row>
    <row r="77" spans="1:8" x14ac:dyDescent="0.2">
      <c r="A77" s="399">
        <f>B!C34</f>
        <v>72</v>
      </c>
      <c r="B77" s="399" t="str">
        <f>B!E34</f>
        <v>Steadi Cam Op</v>
      </c>
      <c r="C77" s="399">
        <f>B!N34</f>
        <v>0</v>
      </c>
      <c r="D77" s="399" t="str">
        <f>B!O34</f>
        <v>days</v>
      </c>
      <c r="E77" s="399">
        <f>B!Q34</f>
        <v>0</v>
      </c>
      <c r="F77" s="399">
        <f>B!T34</f>
        <v>0</v>
      </c>
      <c r="G77" s="408">
        <f>B!W34</f>
        <v>0</v>
      </c>
      <c r="H77" t="s">
        <v>833</v>
      </c>
    </row>
    <row r="78" spans="1:8" x14ac:dyDescent="0.2">
      <c r="A78" s="399">
        <f>B!C35</f>
        <v>73</v>
      </c>
      <c r="B78" s="399" t="str">
        <f>B!E35</f>
        <v>Choreographer</v>
      </c>
      <c r="C78" s="399">
        <f>B!N35</f>
        <v>0</v>
      </c>
      <c r="D78" s="399" t="str">
        <f>B!O35</f>
        <v>days</v>
      </c>
      <c r="E78" s="399">
        <f>B!Q35</f>
        <v>0</v>
      </c>
      <c r="F78" s="399">
        <f>B!T35</f>
        <v>0</v>
      </c>
      <c r="G78" s="408">
        <f>B!W35</f>
        <v>0</v>
      </c>
      <c r="H78" t="s">
        <v>833</v>
      </c>
    </row>
    <row r="79" spans="1:8" x14ac:dyDescent="0.2">
      <c r="A79" s="399">
        <f>B!C36</f>
        <v>74</v>
      </c>
      <c r="B79" s="399" t="str">
        <f>B!E36</f>
        <v>Make-Up/Hair</v>
      </c>
      <c r="C79" s="399">
        <f>B!N36</f>
        <v>0</v>
      </c>
      <c r="D79" s="399" t="str">
        <f>B!O36</f>
        <v>days</v>
      </c>
      <c r="E79" s="399">
        <f>B!Q36</f>
        <v>0</v>
      </c>
      <c r="F79" s="399">
        <f>B!T36</f>
        <v>0</v>
      </c>
      <c r="G79" s="408">
        <f>B!W36</f>
        <v>0</v>
      </c>
      <c r="H79" t="s">
        <v>833</v>
      </c>
    </row>
    <row r="80" spans="1:8" x14ac:dyDescent="0.2">
      <c r="A80" s="399">
        <f>B!C37</f>
        <v>75</v>
      </c>
      <c r="B80" s="399" t="str">
        <f>B!E37</f>
        <v>Make-Up/Hair Asst</v>
      </c>
      <c r="C80" s="399">
        <f>B!N37</f>
        <v>0</v>
      </c>
      <c r="D80" s="399" t="str">
        <f>B!O37</f>
        <v>days</v>
      </c>
      <c r="E80" s="399">
        <f>B!Q37</f>
        <v>0</v>
      </c>
      <c r="F80" s="399">
        <f>B!T37</f>
        <v>0</v>
      </c>
      <c r="G80" s="408">
        <f>B!W37</f>
        <v>0</v>
      </c>
      <c r="H80" t="s">
        <v>833</v>
      </c>
    </row>
    <row r="81" spans="1:8" x14ac:dyDescent="0.2">
      <c r="A81" s="399">
        <f>B!C38</f>
        <v>76</v>
      </c>
      <c r="B81" s="399" t="str">
        <f>B!E38</f>
        <v>Wardrobe Stylist</v>
      </c>
      <c r="C81" s="399">
        <f>B!N38</f>
        <v>0</v>
      </c>
      <c r="D81" s="399" t="str">
        <f>B!O38</f>
        <v>days</v>
      </c>
      <c r="E81" s="399">
        <f>B!Q38</f>
        <v>0</v>
      </c>
      <c r="F81" s="399">
        <f>B!T38</f>
        <v>0</v>
      </c>
      <c r="G81" s="408">
        <f>B!W38</f>
        <v>0</v>
      </c>
      <c r="H81" t="s">
        <v>833</v>
      </c>
    </row>
    <row r="82" spans="1:8" x14ac:dyDescent="0.2">
      <c r="A82" s="399">
        <f>B!C39</f>
        <v>77</v>
      </c>
      <c r="B82" s="399" t="str">
        <f>B!E39</f>
        <v xml:space="preserve">Asst Wardrobe </v>
      </c>
      <c r="C82" s="399">
        <f>B!N39</f>
        <v>0</v>
      </c>
      <c r="D82" s="399" t="str">
        <f>B!O39</f>
        <v>days</v>
      </c>
      <c r="E82" s="399">
        <f>B!Q39</f>
        <v>0</v>
      </c>
      <c r="F82" s="399">
        <f>B!T39</f>
        <v>0</v>
      </c>
      <c r="G82" s="408">
        <f>B!W39</f>
        <v>0</v>
      </c>
      <c r="H82" t="s">
        <v>833</v>
      </c>
    </row>
    <row r="83" spans="1:8" x14ac:dyDescent="0.2">
      <c r="A83" s="399">
        <f>B!C40</f>
        <v>78</v>
      </c>
      <c r="B83" s="399" t="str">
        <f>B!E40</f>
        <v>Script Supervisor</v>
      </c>
      <c r="C83" s="399">
        <f>B!N40</f>
        <v>0</v>
      </c>
      <c r="D83" s="399" t="str">
        <f>B!O40</f>
        <v>days</v>
      </c>
      <c r="E83" s="399">
        <f>B!Q40</f>
        <v>0</v>
      </c>
      <c r="F83" s="399">
        <f>B!T40</f>
        <v>0</v>
      </c>
      <c r="G83" s="408">
        <f>B!W40</f>
        <v>0</v>
      </c>
      <c r="H83" t="s">
        <v>833</v>
      </c>
    </row>
    <row r="84" spans="1:8" x14ac:dyDescent="0.2">
      <c r="A84" s="399">
        <f>B!C41</f>
        <v>79</v>
      </c>
      <c r="B84" s="399" t="str">
        <f>B!E41</f>
        <v>Boom Operator</v>
      </c>
      <c r="C84" s="399">
        <f>B!N41</f>
        <v>0</v>
      </c>
      <c r="D84" s="399" t="str">
        <f>B!O41</f>
        <v>days</v>
      </c>
      <c r="E84" s="399">
        <f>B!Q41</f>
        <v>0</v>
      </c>
      <c r="F84" s="399">
        <f>B!T41</f>
        <v>0</v>
      </c>
      <c r="G84" s="408">
        <f>B!W41</f>
        <v>0</v>
      </c>
      <c r="H84" t="s">
        <v>833</v>
      </c>
    </row>
    <row r="85" spans="1:8" x14ac:dyDescent="0.2">
      <c r="A85" s="399">
        <f>B!C42</f>
        <v>80</v>
      </c>
      <c r="B85" s="399" t="str">
        <f>B!E42</f>
        <v>Sound Mixer</v>
      </c>
      <c r="C85" s="399">
        <f>B!N42</f>
        <v>0</v>
      </c>
      <c r="D85" s="399" t="str">
        <f>B!O42</f>
        <v>days</v>
      </c>
      <c r="E85" s="399">
        <f>B!Q42</f>
        <v>0</v>
      </c>
      <c r="F85" s="399">
        <f>B!T42</f>
        <v>0</v>
      </c>
      <c r="G85" s="408">
        <f>B!W42</f>
        <v>0</v>
      </c>
      <c r="H85" t="s">
        <v>833</v>
      </c>
    </row>
    <row r="86" spans="1:8" x14ac:dyDescent="0.2">
      <c r="A86" s="399">
        <f>B!C43</f>
        <v>81</v>
      </c>
      <c r="B86" s="399" t="str">
        <f>B!E43</f>
        <v>VTR Operator</v>
      </c>
      <c r="C86" s="399">
        <f>B!N43</f>
        <v>0</v>
      </c>
      <c r="D86" s="399" t="str">
        <f>B!O43</f>
        <v>days</v>
      </c>
      <c r="E86" s="399">
        <f>B!Q43</f>
        <v>0</v>
      </c>
      <c r="F86" s="399">
        <f>B!T43</f>
        <v>0</v>
      </c>
      <c r="G86" s="408">
        <f>B!W43</f>
        <v>0</v>
      </c>
      <c r="H86" t="s">
        <v>833</v>
      </c>
    </row>
    <row r="87" spans="1:8" x14ac:dyDescent="0.2">
      <c r="A87" s="399">
        <f>B!C44</f>
        <v>82</v>
      </c>
      <c r="B87" s="399" t="str">
        <f>B!E44</f>
        <v>Stunt Coordinator</v>
      </c>
      <c r="C87" s="399">
        <f>B!N44</f>
        <v>0</v>
      </c>
      <c r="D87" s="399" t="str">
        <f>B!O44</f>
        <v>days</v>
      </c>
      <c r="E87" s="399">
        <f>B!Q44</f>
        <v>0</v>
      </c>
      <c r="F87" s="399">
        <f>B!T44</f>
        <v>0</v>
      </c>
      <c r="G87" s="408">
        <f>B!W44</f>
        <v>0</v>
      </c>
      <c r="H87" t="s">
        <v>833</v>
      </c>
    </row>
    <row r="88" spans="1:8" x14ac:dyDescent="0.2">
      <c r="A88" s="399">
        <f>B!C45</f>
        <v>83</v>
      </c>
      <c r="B88" s="399" t="str">
        <f>B!E45</f>
        <v>Safety Officer</v>
      </c>
      <c r="C88" s="399">
        <f>B!N45</f>
        <v>0</v>
      </c>
      <c r="D88" s="399" t="str">
        <f>B!O45</f>
        <v>days</v>
      </c>
      <c r="E88" s="399">
        <f>B!Q45</f>
        <v>0</v>
      </c>
      <c r="F88" s="399">
        <f>B!T45</f>
        <v>0</v>
      </c>
      <c r="G88" s="408">
        <f>B!W45</f>
        <v>0</v>
      </c>
      <c r="H88" t="s">
        <v>833</v>
      </c>
    </row>
    <row r="89" spans="1:8" x14ac:dyDescent="0.2">
      <c r="A89" s="399">
        <f>B!C46</f>
        <v>84</v>
      </c>
      <c r="B89" s="399" t="str">
        <f>B!E46</f>
        <v>Site Rep</v>
      </c>
      <c r="C89" s="399">
        <f>B!N46</f>
        <v>0</v>
      </c>
      <c r="D89" s="399" t="str">
        <f>B!O46</f>
        <v>days</v>
      </c>
      <c r="E89" s="399">
        <f>B!Q46</f>
        <v>0</v>
      </c>
      <c r="F89" s="399">
        <f>B!T46</f>
        <v>0</v>
      </c>
      <c r="G89" s="408">
        <f>B!W46</f>
        <v>0</v>
      </c>
      <c r="H89" t="s">
        <v>833</v>
      </c>
    </row>
    <row r="90" spans="1:8" x14ac:dyDescent="0.2">
      <c r="A90" s="399">
        <f>B!C47</f>
        <v>85</v>
      </c>
      <c r="B90" s="399" t="str">
        <f>B!E47</f>
        <v>Storyboard Artist</v>
      </c>
      <c r="C90" s="399">
        <f>B!N47</f>
        <v>0</v>
      </c>
      <c r="D90" s="399" t="str">
        <f>B!O47</f>
        <v>days</v>
      </c>
      <c r="E90" s="399">
        <f>B!Q47</f>
        <v>0</v>
      </c>
      <c r="F90" s="399">
        <f>B!T47</f>
        <v>0</v>
      </c>
      <c r="G90" s="408">
        <f>B!W47</f>
        <v>0</v>
      </c>
      <c r="H90" t="s">
        <v>833</v>
      </c>
    </row>
    <row r="91" spans="1:8" x14ac:dyDescent="0.2">
      <c r="A91" s="399">
        <f>B!C48</f>
        <v>86</v>
      </c>
      <c r="B91" s="399" t="str">
        <f>B!E48</f>
        <v>Catering Crew</v>
      </c>
      <c r="C91" s="399">
        <f>B!N48</f>
        <v>0</v>
      </c>
      <c r="D91" s="399" t="str">
        <f>B!O48</f>
        <v>days</v>
      </c>
      <c r="E91" s="399">
        <f>B!Q48</f>
        <v>0</v>
      </c>
      <c r="F91" s="399">
        <f>B!T48</f>
        <v>0</v>
      </c>
      <c r="G91" s="408">
        <f>B!W48</f>
        <v>0</v>
      </c>
      <c r="H91" t="s">
        <v>833</v>
      </c>
    </row>
    <row r="92" spans="1:8" x14ac:dyDescent="0.2">
      <c r="A92" s="399">
        <f>B!C49</f>
        <v>87</v>
      </c>
      <c r="B92" s="399" t="str">
        <f>B!E49</f>
        <v>Location Manager</v>
      </c>
      <c r="C92" s="399">
        <f>B!N49</f>
        <v>0</v>
      </c>
      <c r="D92" s="399" t="str">
        <f>B!O49</f>
        <v>days</v>
      </c>
      <c r="E92" s="399">
        <f>B!Q49</f>
        <v>0</v>
      </c>
      <c r="F92" s="399">
        <f>B!T49</f>
        <v>0</v>
      </c>
      <c r="G92" s="408">
        <f>B!W49</f>
        <v>0</v>
      </c>
      <c r="H92" t="s">
        <v>833</v>
      </c>
    </row>
    <row r="93" spans="1:8" x14ac:dyDescent="0.2">
      <c r="A93" s="399">
        <f>B!C50</f>
        <v>88</v>
      </c>
      <c r="B93" s="399" t="str">
        <f>B!E50</f>
        <v>Compliance Assistant</v>
      </c>
      <c r="C93" s="399">
        <f>B!N50</f>
        <v>0</v>
      </c>
      <c r="D93" s="399" t="str">
        <f>B!O50</f>
        <v>days</v>
      </c>
      <c r="E93" s="399">
        <f>B!Q50</f>
        <v>0</v>
      </c>
      <c r="F93" s="399">
        <f>B!T50</f>
        <v>0</v>
      </c>
      <c r="G93" s="408">
        <f>B!W50</f>
        <v>0</v>
      </c>
      <c r="H93" t="s">
        <v>833</v>
      </c>
    </row>
    <row r="94" spans="1:8" x14ac:dyDescent="0.2">
      <c r="A94" s="399">
        <f>B!C51</f>
        <v>89</v>
      </c>
      <c r="B94" s="399" t="str">
        <f>B!E51</f>
        <v>2nd AD</v>
      </c>
      <c r="C94" s="399">
        <f>B!N51</f>
        <v>0</v>
      </c>
      <c r="D94" s="399" t="str">
        <f>B!O51</f>
        <v>days</v>
      </c>
      <c r="E94" s="399">
        <f>B!Q51</f>
        <v>0</v>
      </c>
      <c r="F94" s="399">
        <f>B!T51</f>
        <v>0</v>
      </c>
      <c r="G94" s="408">
        <f>B!W51</f>
        <v>0</v>
      </c>
      <c r="H94" t="s">
        <v>833</v>
      </c>
    </row>
    <row r="95" spans="1:8" x14ac:dyDescent="0.2">
      <c r="A95" s="399">
        <f>B!C52</f>
        <v>90</v>
      </c>
      <c r="B95" s="399" t="str">
        <f>B!E52</f>
        <v>Medic</v>
      </c>
      <c r="C95" s="399">
        <f>B!N52</f>
        <v>0</v>
      </c>
      <c r="D95" s="399" t="str">
        <f>B!O52</f>
        <v>days</v>
      </c>
      <c r="E95" s="399">
        <f>B!Q52</f>
        <v>450</v>
      </c>
      <c r="F95" s="399">
        <f>B!T52</f>
        <v>0</v>
      </c>
      <c r="G95" s="408">
        <f>B!W52</f>
        <v>0</v>
      </c>
      <c r="H95" t="s">
        <v>833</v>
      </c>
    </row>
    <row r="96" spans="1:8" x14ac:dyDescent="0.2">
      <c r="A96" s="399">
        <f>B!C53</f>
        <v>91</v>
      </c>
      <c r="B96" s="399" t="str">
        <f>B!E53</f>
        <v>Craft Service</v>
      </c>
      <c r="C96" s="399">
        <f>B!N53</f>
        <v>0</v>
      </c>
      <c r="D96" s="399" t="str">
        <f>B!O53</f>
        <v>days</v>
      </c>
      <c r="E96" s="399">
        <f>B!Q53</f>
        <v>0</v>
      </c>
      <c r="F96" s="399">
        <f>B!T53</f>
        <v>0</v>
      </c>
      <c r="G96" s="408">
        <f>B!W53</f>
        <v>0</v>
      </c>
      <c r="H96" t="s">
        <v>833</v>
      </c>
    </row>
    <row r="97" spans="1:8" x14ac:dyDescent="0.2">
      <c r="A97" s="399">
        <f>B!C54</f>
        <v>92</v>
      </c>
      <c r="B97" s="399" t="str">
        <f>B!E54</f>
        <v>Firefighter</v>
      </c>
      <c r="C97" s="399">
        <f>B!N54</f>
        <v>0</v>
      </c>
      <c r="D97" s="399" t="str">
        <f>B!O54</f>
        <v>days</v>
      </c>
      <c r="E97" s="399">
        <f>B!Q54</f>
        <v>0</v>
      </c>
      <c r="F97" s="399">
        <f>B!T54</f>
        <v>0</v>
      </c>
      <c r="G97" s="408">
        <f>B!W54</f>
        <v>0</v>
      </c>
      <c r="H97" t="s">
        <v>833</v>
      </c>
    </row>
    <row r="98" spans="1:8" x14ac:dyDescent="0.2">
      <c r="A98" s="399">
        <f>B!C55</f>
        <v>93</v>
      </c>
      <c r="B98" s="399" t="str">
        <f>B!E55</f>
        <v>Police Officers/Ranger/CHP</v>
      </c>
      <c r="C98" s="399">
        <f>B!N55</f>
        <v>0</v>
      </c>
      <c r="D98" s="399" t="str">
        <f>B!O55</f>
        <v>days</v>
      </c>
      <c r="E98" s="399">
        <f>B!Q55</f>
        <v>0</v>
      </c>
      <c r="F98" s="399">
        <f>B!T55</f>
        <v>0</v>
      </c>
      <c r="G98" s="408">
        <f>B!W55</f>
        <v>0</v>
      </c>
      <c r="H98" t="s">
        <v>833</v>
      </c>
    </row>
    <row r="99" spans="1:8" x14ac:dyDescent="0.2">
      <c r="A99" s="399">
        <f>B!C56</f>
        <v>94</v>
      </c>
      <c r="B99" s="399" t="str">
        <f>B!E56</f>
        <v>Welfare/Teacher</v>
      </c>
      <c r="C99" s="399">
        <f>B!N56</f>
        <v>0</v>
      </c>
      <c r="D99" s="399" t="str">
        <f>B!O56</f>
        <v>days</v>
      </c>
      <c r="E99" s="399">
        <f>B!Q56</f>
        <v>0</v>
      </c>
      <c r="F99" s="399">
        <f>B!T56</f>
        <v>0</v>
      </c>
      <c r="G99" s="408">
        <f>B!W56</f>
        <v>0</v>
      </c>
      <c r="H99" t="s">
        <v>833</v>
      </c>
    </row>
    <row r="100" spans="1:8" x14ac:dyDescent="0.2">
      <c r="A100" s="399">
        <f>B!C57</f>
        <v>95</v>
      </c>
      <c r="B100" s="399" t="str">
        <f>B!E57</f>
        <v>Gang Boss</v>
      </c>
      <c r="C100" s="399">
        <f>B!N57</f>
        <v>0</v>
      </c>
      <c r="D100" s="399" t="str">
        <f>B!O57</f>
        <v>days</v>
      </c>
      <c r="E100" s="399">
        <f>B!Q57</f>
        <v>0</v>
      </c>
      <c r="F100" s="399">
        <f>B!T57</f>
        <v>0</v>
      </c>
      <c r="G100" s="408">
        <f>B!W57</f>
        <v>0</v>
      </c>
      <c r="H100" t="s">
        <v>833</v>
      </c>
    </row>
    <row r="101" spans="1:8" x14ac:dyDescent="0.2">
      <c r="A101" s="399">
        <f>B!C58</f>
        <v>96</v>
      </c>
      <c r="B101" s="399" t="str">
        <f>B!E58</f>
        <v>Teamster Drivers / Animal Wranglers</v>
      </c>
      <c r="C101" s="399">
        <f>B!N58</f>
        <v>0</v>
      </c>
      <c r="D101" s="399" t="str">
        <f>B!O58</f>
        <v>days</v>
      </c>
      <c r="E101" s="399">
        <f>B!Q58</f>
        <v>0</v>
      </c>
      <c r="F101" s="399">
        <f>B!T58</f>
        <v>0</v>
      </c>
      <c r="G101" s="408">
        <f>B!W58</f>
        <v>0</v>
      </c>
      <c r="H101" t="s">
        <v>833</v>
      </c>
    </row>
    <row r="102" spans="1:8" x14ac:dyDescent="0.2">
      <c r="A102" s="399">
        <f>B!C59</f>
        <v>97</v>
      </c>
      <c r="B102" s="399" t="str">
        <f>B!E59</f>
        <v>Production Supervisor</v>
      </c>
      <c r="C102" s="399">
        <f>B!N59</f>
        <v>0</v>
      </c>
      <c r="D102" s="399" t="str">
        <f>B!O59</f>
        <v>days</v>
      </c>
      <c r="E102" s="399">
        <f>B!Q59</f>
        <v>0</v>
      </c>
      <c r="F102" s="399">
        <f>B!T59</f>
        <v>0</v>
      </c>
      <c r="G102" s="408">
        <f>B!W59</f>
        <v>0</v>
      </c>
      <c r="H102" t="s">
        <v>833</v>
      </c>
    </row>
    <row r="103" spans="1:8" x14ac:dyDescent="0.2">
      <c r="A103" s="399">
        <f>B!C60</f>
        <v>98</v>
      </c>
      <c r="B103" s="399" t="str">
        <f>B!E60</f>
        <v>Assistant Production Supervisor</v>
      </c>
      <c r="C103" s="399">
        <f>B!N60</f>
        <v>0</v>
      </c>
      <c r="D103" s="399" t="str">
        <f>B!O60</f>
        <v>days</v>
      </c>
      <c r="E103" s="399">
        <f>B!Q60</f>
        <v>0</v>
      </c>
      <c r="F103" s="399">
        <f>B!T60</f>
        <v>0</v>
      </c>
      <c r="G103" s="408">
        <f>B!W60</f>
        <v>0</v>
      </c>
      <c r="H103" t="s">
        <v>833</v>
      </c>
    </row>
    <row r="104" spans="1:8" x14ac:dyDescent="0.2">
      <c r="A104" s="399">
        <f>B!C61</f>
        <v>99</v>
      </c>
      <c r="B104" s="399" t="str">
        <f>B!E61</f>
        <v>Production Assistant</v>
      </c>
      <c r="C104" s="399">
        <f>B!N61</f>
        <v>0</v>
      </c>
      <c r="D104" s="399" t="str">
        <f>B!O61</f>
        <v>days</v>
      </c>
      <c r="E104" s="399">
        <f>B!Q61</f>
        <v>0</v>
      </c>
      <c r="F104" s="399">
        <f>B!T61</f>
        <v>0</v>
      </c>
      <c r="G104" s="408">
        <f>B!W61</f>
        <v>0</v>
      </c>
      <c r="H104" t="s">
        <v>833</v>
      </c>
    </row>
    <row r="105" spans="1:8" x14ac:dyDescent="0.2">
      <c r="A105" s="399">
        <f>B!C62</f>
        <v>100</v>
      </c>
      <c r="B105" s="399" t="str">
        <f>B!E62</f>
        <v>Production Assistant</v>
      </c>
      <c r="C105" s="399">
        <f>B!N62</f>
        <v>0</v>
      </c>
      <c r="D105" s="399" t="str">
        <f>B!O62</f>
        <v>days</v>
      </c>
      <c r="E105" s="399">
        <f>B!Q62</f>
        <v>0</v>
      </c>
      <c r="F105" s="399">
        <f>B!T62</f>
        <v>0</v>
      </c>
      <c r="G105" s="408">
        <f>B!W62</f>
        <v>0</v>
      </c>
      <c r="H105" t="s">
        <v>833</v>
      </c>
    </row>
    <row r="106" spans="1:8" x14ac:dyDescent="0.2">
      <c r="A106" s="399"/>
      <c r="B106" s="399"/>
      <c r="C106" s="399"/>
      <c r="D106" s="399"/>
      <c r="E106" s="399"/>
      <c r="F106" s="399" t="str">
        <f>B!O63</f>
        <v>Sub Total B</v>
      </c>
      <c r="G106" s="408">
        <f>B!W63</f>
        <v>0</v>
      </c>
      <c r="H106" t="s">
        <v>833</v>
      </c>
    </row>
    <row r="107" spans="1:8" x14ac:dyDescent="0.2">
      <c r="A107" s="399"/>
      <c r="B107" s="399"/>
      <c r="C107" s="399"/>
      <c r="D107" s="399"/>
      <c r="E107" s="399"/>
      <c r="F107" s="399" t="str">
        <f>B!O64</f>
        <v>Fringes</v>
      </c>
      <c r="G107" s="408">
        <f>B!W64</f>
        <v>0</v>
      </c>
      <c r="H107" t="s">
        <v>833</v>
      </c>
    </row>
    <row r="108" spans="1:8" x14ac:dyDescent="0.2">
      <c r="A108" s="399"/>
      <c r="B108" s="399"/>
      <c r="C108" s="399"/>
      <c r="D108" s="399"/>
      <c r="E108" s="399"/>
      <c r="F108" s="399" t="str">
        <f>B!O65</f>
        <v>Total</v>
      </c>
      <c r="G108" s="408">
        <f>B!W65</f>
        <v>0</v>
      </c>
      <c r="H108" t="s">
        <v>833</v>
      </c>
    </row>
    <row r="109" spans="1:8" x14ac:dyDescent="0.2">
      <c r="A109" s="399"/>
      <c r="B109" s="399"/>
      <c r="C109" s="399"/>
      <c r="D109" s="399"/>
      <c r="E109" s="399"/>
      <c r="F109" s="399"/>
    </row>
    <row r="110" spans="1:8" x14ac:dyDescent="0.2">
      <c r="A110" t="s">
        <v>821</v>
      </c>
      <c r="B110" t="s">
        <v>822</v>
      </c>
      <c r="C110" t="s">
        <v>376</v>
      </c>
      <c r="D110" t="s">
        <v>823</v>
      </c>
      <c r="E110" t="s">
        <v>220</v>
      </c>
      <c r="F110" t="s">
        <v>400</v>
      </c>
      <c r="G110" s="408" t="s">
        <v>370</v>
      </c>
    </row>
    <row r="111" spans="1:8" x14ac:dyDescent="0.2">
      <c r="A111" s="399">
        <f>CDE!C10</f>
        <v>101</v>
      </c>
      <c r="B111" s="399" t="str">
        <f>CDE!E10</f>
        <v>Craft Service</v>
      </c>
      <c r="C111" s="399">
        <f>CDE!N10</f>
        <v>0</v>
      </c>
      <c r="D111" s="399" t="str">
        <f>CDE!O10</f>
        <v>each</v>
      </c>
      <c r="E111" s="399">
        <f>CDE!Q10</f>
        <v>0</v>
      </c>
      <c r="F111" s="399">
        <f>CDE!T10</f>
        <v>0</v>
      </c>
      <c r="G111" s="408">
        <f>CDE!W10</f>
        <v>0</v>
      </c>
      <c r="H111" t="s">
        <v>834</v>
      </c>
    </row>
    <row r="112" spans="1:8" x14ac:dyDescent="0.2">
      <c r="A112" s="399">
        <f>CDE!C11</f>
        <v>102</v>
      </c>
      <c r="B112" s="399" t="str">
        <f>CDE!E11</f>
        <v>Per Diems</v>
      </c>
      <c r="C112" s="399">
        <f>CDE!N11</f>
        <v>0</v>
      </c>
      <c r="D112" s="399" t="str">
        <f>CDE!O11</f>
        <v>each</v>
      </c>
      <c r="E112" s="399">
        <f>CDE!Q11</f>
        <v>0</v>
      </c>
      <c r="F112" s="399">
        <f>CDE!T11</f>
        <v>0</v>
      </c>
      <c r="G112" s="408">
        <f>CDE!W11</f>
        <v>0</v>
      </c>
      <c r="H112" t="s">
        <v>834</v>
      </c>
    </row>
    <row r="113" spans="1:8" x14ac:dyDescent="0.2">
      <c r="A113" s="399">
        <f>CDE!C12</f>
        <v>103</v>
      </c>
      <c r="B113" s="399" t="str">
        <f>CDE!E12</f>
        <v>Hotels</v>
      </c>
      <c r="C113" s="399">
        <f>CDE!N12</f>
        <v>0</v>
      </c>
      <c r="D113" s="399" t="str">
        <f>CDE!O12</f>
        <v>each</v>
      </c>
      <c r="E113" s="399">
        <f>CDE!Q12</f>
        <v>0</v>
      </c>
      <c r="F113" s="399">
        <f>CDE!T12</f>
        <v>0</v>
      </c>
      <c r="G113" s="408">
        <f>CDE!W12</f>
        <v>0</v>
      </c>
      <c r="H113" t="s">
        <v>834</v>
      </c>
    </row>
    <row r="114" spans="1:8" x14ac:dyDescent="0.2">
      <c r="A114" s="399">
        <f>CDE!C13</f>
        <v>104</v>
      </c>
      <c r="B114" s="399" t="str">
        <f>CDE!E13</f>
        <v>Scouting Expenses</v>
      </c>
      <c r="C114" s="399">
        <f>CDE!N13</f>
        <v>0</v>
      </c>
      <c r="D114" s="399" t="str">
        <f>CDE!O13</f>
        <v>each</v>
      </c>
      <c r="E114" s="399">
        <f>CDE!Q13</f>
        <v>0</v>
      </c>
      <c r="F114" s="399">
        <f>CDE!T13</f>
        <v>0</v>
      </c>
      <c r="G114" s="408">
        <f>CDE!W13</f>
        <v>0</v>
      </c>
      <c r="H114" t="s">
        <v>834</v>
      </c>
    </row>
    <row r="115" spans="1:8" x14ac:dyDescent="0.2">
      <c r="A115" s="399">
        <f>CDE!C14</f>
        <v>105</v>
      </c>
      <c r="B115" s="399" t="str">
        <f>CDE!E14</f>
        <v>Deliveries &amp; Taxi</v>
      </c>
      <c r="C115" s="399">
        <f>CDE!N14</f>
        <v>0</v>
      </c>
      <c r="D115" s="399" t="str">
        <f>CDE!O14</f>
        <v>allow</v>
      </c>
      <c r="E115" s="399">
        <f>CDE!Q14</f>
        <v>0</v>
      </c>
      <c r="F115" s="399">
        <f>CDE!T14</f>
        <v>0</v>
      </c>
      <c r="G115" s="408">
        <f>CDE!W14</f>
        <v>0</v>
      </c>
      <c r="H115" t="s">
        <v>834</v>
      </c>
    </row>
    <row r="116" spans="1:8" x14ac:dyDescent="0.2">
      <c r="A116" s="399">
        <f>CDE!C15</f>
        <v>106</v>
      </c>
      <c r="B116" s="399" t="str">
        <f>CDE!E15</f>
        <v>Car Rental</v>
      </c>
      <c r="C116" s="399">
        <f>CDE!N15</f>
        <v>0</v>
      </c>
      <c r="D116" s="399" t="str">
        <f>CDE!O15</f>
        <v>each</v>
      </c>
      <c r="E116" s="399">
        <f>CDE!Q15</f>
        <v>0</v>
      </c>
      <c r="F116" s="399">
        <f>CDE!T15</f>
        <v>0</v>
      </c>
      <c r="G116" s="408">
        <f>CDE!W15</f>
        <v>0</v>
      </c>
      <c r="H116" t="s">
        <v>834</v>
      </c>
    </row>
    <row r="117" spans="1:8" x14ac:dyDescent="0.2">
      <c r="A117" s="399">
        <f>CDE!C16</f>
        <v>107</v>
      </c>
      <c r="B117" s="399" t="str">
        <f>CDE!E16</f>
        <v>Trucking</v>
      </c>
      <c r="C117" s="399">
        <f>CDE!N16</f>
        <v>0</v>
      </c>
      <c r="D117" s="399" t="str">
        <f>CDE!O16</f>
        <v>each</v>
      </c>
      <c r="E117" s="399">
        <f>CDE!Q16</f>
        <v>0</v>
      </c>
      <c r="F117" s="399">
        <f>CDE!T16</f>
        <v>0</v>
      </c>
      <c r="G117" s="408">
        <f>CDE!W16</f>
        <v>0</v>
      </c>
      <c r="H117" t="s">
        <v>834</v>
      </c>
    </row>
    <row r="118" spans="1:8" x14ac:dyDescent="0.2">
      <c r="A118" s="399">
        <f>CDE!C17</f>
        <v>108</v>
      </c>
      <c r="B118" s="399" t="str">
        <f>CDE!E17</f>
        <v>Casting Director</v>
      </c>
      <c r="C118" s="399">
        <f>CDE!J17+CDE!N17</f>
        <v>0</v>
      </c>
      <c r="D118" s="399" t="str">
        <f>CDE!O17</f>
        <v>days</v>
      </c>
      <c r="E118" s="399">
        <f>CDE!Q17</f>
        <v>400</v>
      </c>
      <c r="F118" s="399">
        <f>CDE!T17</f>
        <v>0</v>
      </c>
      <c r="G118" s="408">
        <f>CDE!W17</f>
        <v>0</v>
      </c>
      <c r="H118" t="s">
        <v>834</v>
      </c>
    </row>
    <row r="119" spans="1:8" x14ac:dyDescent="0.2">
      <c r="A119" s="399">
        <f>CDE!C18</f>
        <v>109</v>
      </c>
      <c r="B119" s="399" t="str">
        <f>CDE!E18</f>
        <v>Casting Facility</v>
      </c>
      <c r="C119" s="399">
        <f>CDE!J18+CDE!N18</f>
        <v>0</v>
      </c>
      <c r="D119" s="399" t="str">
        <f>CDE!O18</f>
        <v>days</v>
      </c>
      <c r="E119" s="399">
        <f>CDE!Q18</f>
        <v>1100</v>
      </c>
      <c r="F119" s="399">
        <f>CDE!T18</f>
        <v>0</v>
      </c>
      <c r="G119" s="408">
        <f>CDE!W18</f>
        <v>0</v>
      </c>
      <c r="H119" t="s">
        <v>834</v>
      </c>
    </row>
    <row r="120" spans="1:8" x14ac:dyDescent="0.2">
      <c r="A120" s="399">
        <f>CDE!C19</f>
        <v>110</v>
      </c>
      <c r="B120" s="399" t="str">
        <f>CDE!E19</f>
        <v>Home Econ Supplies</v>
      </c>
      <c r="C120" s="399">
        <f>CDE!N19</f>
        <v>0</v>
      </c>
      <c r="D120" s="399" t="str">
        <f>CDE!O19</f>
        <v>each</v>
      </c>
      <c r="E120" s="399">
        <f>CDE!Q19</f>
        <v>0</v>
      </c>
      <c r="F120" s="399">
        <f>CDE!T19</f>
        <v>0</v>
      </c>
      <c r="G120" s="408">
        <f>CDE!W19</f>
        <v>0</v>
      </c>
      <c r="H120" t="s">
        <v>834</v>
      </c>
    </row>
    <row r="121" spans="1:8" x14ac:dyDescent="0.2">
      <c r="A121" s="399">
        <f>CDE!C20</f>
        <v>111</v>
      </c>
      <c r="B121" s="399" t="str">
        <f>CDE!E20</f>
        <v>Telephone &amp; Cable</v>
      </c>
      <c r="C121" s="399">
        <f>CDE!N20</f>
        <v>0</v>
      </c>
      <c r="D121" s="399" t="str">
        <f>CDE!O20</f>
        <v>each</v>
      </c>
      <c r="E121" s="399">
        <f>CDE!Q20</f>
        <v>0</v>
      </c>
      <c r="F121" s="399">
        <f>CDE!T20</f>
        <v>0</v>
      </c>
      <c r="G121" s="408">
        <f>CDE!W20</f>
        <v>0</v>
      </c>
      <c r="H121" t="s">
        <v>834</v>
      </c>
    </row>
    <row r="122" spans="1:8" x14ac:dyDescent="0.2">
      <c r="A122" s="399">
        <f>CDE!C21</f>
        <v>112</v>
      </c>
      <c r="B122" s="399" t="str">
        <f>CDE!E21</f>
        <v>Working Meals</v>
      </c>
      <c r="C122" s="399">
        <f>CDE!N21</f>
        <v>0</v>
      </c>
      <c r="D122" s="399" t="str">
        <f>CDE!O21</f>
        <v>each</v>
      </c>
      <c r="E122" s="399">
        <f>CDE!Q21</f>
        <v>0</v>
      </c>
      <c r="F122" s="399">
        <f>CDE!T21</f>
        <v>0</v>
      </c>
      <c r="G122" s="408">
        <f>CDE!W21</f>
        <v>0</v>
      </c>
      <c r="H122" t="s">
        <v>834</v>
      </c>
    </row>
    <row r="123" spans="1:8" x14ac:dyDescent="0.2">
      <c r="A123" s="399">
        <f>CDE!C22</f>
        <v>113</v>
      </c>
      <c r="B123" s="399" t="str">
        <f>CDE!E22</f>
        <v>Messengers</v>
      </c>
      <c r="C123" s="399">
        <f>CDE!N22</f>
        <v>0</v>
      </c>
      <c r="D123" s="399" t="str">
        <f>CDE!O22</f>
        <v>each</v>
      </c>
      <c r="E123" s="399">
        <f>CDE!Q22</f>
        <v>0</v>
      </c>
      <c r="F123" s="399">
        <f>CDE!T22</f>
        <v>0</v>
      </c>
      <c r="G123" s="408">
        <f>CDE!W22</f>
        <v>0</v>
      </c>
      <c r="H123" t="s">
        <v>834</v>
      </c>
    </row>
    <row r="124" spans="1:8" x14ac:dyDescent="0.2">
      <c r="A124" s="399"/>
      <c r="B124" s="399"/>
      <c r="C124" s="399"/>
      <c r="E124" s="399"/>
      <c r="F124" s="399" t="str">
        <f>CDE!O23</f>
        <v>Total C</v>
      </c>
      <c r="G124" s="408">
        <f>CDE!W23</f>
        <v>0</v>
      </c>
      <c r="H124" t="s">
        <v>834</v>
      </c>
    </row>
    <row r="125" spans="1:8" x14ac:dyDescent="0.2">
      <c r="A125" s="399"/>
      <c r="B125" s="399"/>
      <c r="C125" s="399"/>
      <c r="D125" s="399"/>
      <c r="E125" s="399"/>
      <c r="F125" s="399"/>
    </row>
    <row r="126" spans="1:8" x14ac:dyDescent="0.2">
      <c r="A126" s="399"/>
      <c r="B126" s="399"/>
      <c r="C126" s="399"/>
      <c r="D126" s="399"/>
      <c r="E126" s="399"/>
      <c r="F126" s="399"/>
    </row>
    <row r="127" spans="1:8" x14ac:dyDescent="0.2">
      <c r="A127" t="s">
        <v>821</v>
      </c>
      <c r="B127" t="s">
        <v>822</v>
      </c>
      <c r="C127" t="s">
        <v>376</v>
      </c>
      <c r="D127" t="s">
        <v>823</v>
      </c>
      <c r="E127" t="s">
        <v>220</v>
      </c>
      <c r="F127" t="s">
        <v>400</v>
      </c>
      <c r="G127" s="408" t="s">
        <v>370</v>
      </c>
    </row>
    <row r="128" spans="1:8" x14ac:dyDescent="0.2">
      <c r="A128" s="399">
        <f>CDE!C27</f>
        <v>114</v>
      </c>
      <c r="B128" s="399" t="str">
        <f>CDE!E27</f>
        <v>Location Fees</v>
      </c>
      <c r="C128" s="399">
        <f>CDE!N27</f>
        <v>0</v>
      </c>
      <c r="D128" s="399" t="str">
        <f>CDE!O27</f>
        <v>each</v>
      </c>
      <c r="E128" s="399">
        <f>CDE!Q27</f>
        <v>0</v>
      </c>
      <c r="F128" s="399">
        <f>CDE!T27</f>
        <v>0</v>
      </c>
      <c r="G128" s="408">
        <f>CDE!W27</f>
        <v>0</v>
      </c>
      <c r="H128" t="s">
        <v>835</v>
      </c>
    </row>
    <row r="129" spans="1:8" x14ac:dyDescent="0.2">
      <c r="A129" s="399">
        <f>CDE!C28</f>
        <v>115</v>
      </c>
      <c r="B129" s="399" t="str">
        <f>CDE!E28</f>
        <v>Permits</v>
      </c>
      <c r="C129" s="399">
        <f>CDE!N28</f>
        <v>0</v>
      </c>
      <c r="D129" s="399" t="str">
        <f>CDE!O28</f>
        <v>each</v>
      </c>
      <c r="E129" s="399">
        <f>CDE!Q28</f>
        <v>0</v>
      </c>
      <c r="F129" s="399">
        <f>CDE!T28</f>
        <v>0</v>
      </c>
      <c r="G129" s="408">
        <f>CDE!W28</f>
        <v>0</v>
      </c>
      <c r="H129" t="s">
        <v>835</v>
      </c>
    </row>
    <row r="130" spans="1:8" x14ac:dyDescent="0.2">
      <c r="A130" s="399">
        <f>CDE!C29</f>
        <v>116</v>
      </c>
      <c r="B130" s="399" t="str">
        <f>CDE!E29</f>
        <v>Lane Closures</v>
      </c>
      <c r="C130" s="399">
        <f>CDE!N29</f>
        <v>0</v>
      </c>
      <c r="D130" s="399" t="str">
        <f>CDE!O29</f>
        <v>each</v>
      </c>
      <c r="E130" s="399">
        <f>CDE!Q29</f>
        <v>0</v>
      </c>
      <c r="F130" s="399">
        <f>CDE!T29</f>
        <v>0</v>
      </c>
      <c r="G130" s="408">
        <f>CDE!W29</f>
        <v>0</v>
      </c>
      <c r="H130" t="s">
        <v>835</v>
      </c>
    </row>
    <row r="131" spans="1:8" x14ac:dyDescent="0.2">
      <c r="A131" s="399">
        <f>CDE!C30</f>
        <v>117</v>
      </c>
      <c r="B131" s="399" t="str">
        <f>CDE!E30</f>
        <v>Set Security</v>
      </c>
      <c r="C131" s="399">
        <f>CDE!N30</f>
        <v>0</v>
      </c>
      <c r="D131" s="399" t="str">
        <f>CDE!O30</f>
        <v>each</v>
      </c>
      <c r="E131" s="399">
        <f>CDE!Q30</f>
        <v>22</v>
      </c>
      <c r="F131" s="399">
        <f>CDE!T30</f>
        <v>0</v>
      </c>
      <c r="G131" s="408">
        <f>CDE!W30</f>
        <v>0</v>
      </c>
      <c r="H131" t="s">
        <v>835</v>
      </c>
    </row>
    <row r="132" spans="1:8" x14ac:dyDescent="0.2">
      <c r="A132" s="399">
        <f>CDE!C31</f>
        <v>118</v>
      </c>
      <c r="B132" s="399" t="str">
        <f>CDE!E31</f>
        <v>Cargo Van</v>
      </c>
      <c r="C132" s="399">
        <f>CDE!N31</f>
        <v>0</v>
      </c>
      <c r="D132" s="399" t="str">
        <f>CDE!O31</f>
        <v>each</v>
      </c>
      <c r="E132" s="399">
        <f>CDE!Q31</f>
        <v>0</v>
      </c>
      <c r="F132" s="399">
        <f>CDE!T31</f>
        <v>0</v>
      </c>
      <c r="G132" s="408">
        <f>CDE!W31</f>
        <v>0</v>
      </c>
      <c r="H132" t="s">
        <v>835</v>
      </c>
    </row>
    <row r="133" spans="1:8" x14ac:dyDescent="0.2">
      <c r="A133" s="399">
        <f>CDE!C32</f>
        <v>119</v>
      </c>
      <c r="B133" s="399" t="str">
        <f>CDE!E32</f>
        <v>Production Trucking</v>
      </c>
      <c r="C133" s="399">
        <f>CDE!N32</f>
        <v>0</v>
      </c>
      <c r="D133" s="399" t="str">
        <f>CDE!O32</f>
        <v>each</v>
      </c>
      <c r="E133" s="399">
        <f>CDE!Q32</f>
        <v>0</v>
      </c>
      <c r="F133" s="399">
        <f>CDE!T32</f>
        <v>0</v>
      </c>
      <c r="G133" s="408">
        <f>CDE!W32</f>
        <v>0</v>
      </c>
      <c r="H133" t="s">
        <v>835</v>
      </c>
    </row>
    <row r="134" spans="1:8" x14ac:dyDescent="0.2">
      <c r="A134" s="399">
        <f>CDE!C33</f>
        <v>120</v>
      </c>
      <c r="B134" s="399" t="str">
        <f>CDE!E33</f>
        <v>Camera Truck</v>
      </c>
      <c r="C134" s="399">
        <f>CDE!N33</f>
        <v>0</v>
      </c>
      <c r="D134" s="399" t="str">
        <f>CDE!O33</f>
        <v>each</v>
      </c>
      <c r="E134" s="399">
        <f>CDE!Q33</f>
        <v>0</v>
      </c>
      <c r="F134" s="399">
        <f>CDE!T33</f>
        <v>0</v>
      </c>
      <c r="G134" s="408">
        <f>CDE!W33</f>
        <v>0</v>
      </c>
      <c r="H134" t="s">
        <v>835</v>
      </c>
    </row>
    <row r="135" spans="1:8" x14ac:dyDescent="0.2">
      <c r="A135" s="399">
        <f>CDE!C34</f>
        <v>121</v>
      </c>
      <c r="B135" s="399" t="str">
        <f>CDE!E34</f>
        <v>Car Rentals</v>
      </c>
      <c r="C135" s="399">
        <f>CDE!N34</f>
        <v>0</v>
      </c>
      <c r="D135" s="399" t="str">
        <f>CDE!O34</f>
        <v>each</v>
      </c>
      <c r="E135" s="399">
        <f>CDE!Q34</f>
        <v>0</v>
      </c>
      <c r="F135" s="399">
        <f>CDE!T34</f>
        <v>0</v>
      </c>
      <c r="G135" s="408">
        <f>CDE!W34</f>
        <v>0</v>
      </c>
      <c r="H135" t="s">
        <v>835</v>
      </c>
    </row>
    <row r="136" spans="1:8" x14ac:dyDescent="0.2">
      <c r="A136" s="399">
        <f>CDE!C35</f>
        <v>122</v>
      </c>
      <c r="B136" s="399" t="str">
        <f>CDE!E35</f>
        <v>Bus Rentals</v>
      </c>
      <c r="C136" s="399">
        <f>CDE!N35</f>
        <v>0</v>
      </c>
      <c r="D136" s="399" t="str">
        <f>CDE!O35</f>
        <v>each</v>
      </c>
      <c r="E136" s="399">
        <f>CDE!Q35</f>
        <v>0</v>
      </c>
      <c r="F136" s="399">
        <f>CDE!T35</f>
        <v>0</v>
      </c>
      <c r="G136" s="408">
        <f>CDE!W35</f>
        <v>0</v>
      </c>
      <c r="H136" t="s">
        <v>835</v>
      </c>
    </row>
    <row r="137" spans="1:8" x14ac:dyDescent="0.2">
      <c r="A137" s="399">
        <f>CDE!C36</f>
        <v>123</v>
      </c>
      <c r="B137" s="399" t="str">
        <f>CDE!E36</f>
        <v>Limousines</v>
      </c>
      <c r="C137" s="399">
        <f>CDE!N36</f>
        <v>0</v>
      </c>
      <c r="D137" s="399" t="str">
        <f>CDE!O36</f>
        <v>each</v>
      </c>
      <c r="E137" s="399">
        <f>CDE!Q36</f>
        <v>0</v>
      </c>
      <c r="F137" s="399">
        <f>CDE!T36</f>
        <v>0</v>
      </c>
      <c r="G137" s="408">
        <f>CDE!W36</f>
        <v>0</v>
      </c>
      <c r="H137" t="s">
        <v>835</v>
      </c>
    </row>
    <row r="138" spans="1:8" x14ac:dyDescent="0.2">
      <c r="A138" s="399">
        <f>CDE!C37</f>
        <v>124</v>
      </c>
      <c r="B138" s="399" t="str">
        <f>CDE!E37</f>
        <v>Dressing Room Vehicles</v>
      </c>
      <c r="C138" s="399">
        <f>CDE!N37</f>
        <v>0</v>
      </c>
      <c r="D138" s="399" t="str">
        <f>CDE!O37</f>
        <v>each</v>
      </c>
      <c r="E138" s="399">
        <f>CDE!Q37</f>
        <v>0</v>
      </c>
      <c r="F138" s="399">
        <f>CDE!T37</f>
        <v>0</v>
      </c>
      <c r="G138" s="408">
        <f>CDE!W37</f>
        <v>0</v>
      </c>
      <c r="H138" t="s">
        <v>835</v>
      </c>
    </row>
    <row r="139" spans="1:8" x14ac:dyDescent="0.2">
      <c r="A139" s="399">
        <f>CDE!C38</f>
        <v>125</v>
      </c>
      <c r="B139" s="399" t="str">
        <f>CDE!E38</f>
        <v>Production MoHo</v>
      </c>
      <c r="C139" s="399">
        <f>CDE!N38</f>
        <v>0</v>
      </c>
      <c r="D139" s="399" t="str">
        <f>CDE!O38</f>
        <v>each</v>
      </c>
      <c r="E139" s="399">
        <f>CDE!Q38</f>
        <v>0</v>
      </c>
      <c r="F139" s="399">
        <f>CDE!T38</f>
        <v>0</v>
      </c>
      <c r="G139" s="408">
        <f>CDE!W38</f>
        <v>0</v>
      </c>
      <c r="H139" t="s">
        <v>835</v>
      </c>
    </row>
    <row r="140" spans="1:8" x14ac:dyDescent="0.2">
      <c r="A140" s="399">
        <f>CDE!C39</f>
        <v>126</v>
      </c>
      <c r="B140" s="399" t="str">
        <f>CDE!E39</f>
        <v>Other Vehicles</v>
      </c>
      <c r="C140" s="399">
        <f>CDE!N39</f>
        <v>0</v>
      </c>
      <c r="D140" s="399" t="str">
        <f>CDE!O39</f>
        <v>each</v>
      </c>
      <c r="E140" s="399">
        <f>CDE!Q39</f>
        <v>0</v>
      </c>
      <c r="F140" s="399">
        <f>CDE!T39</f>
        <v>0</v>
      </c>
      <c r="G140" s="408">
        <f>CDE!W39</f>
        <v>0</v>
      </c>
      <c r="H140" t="s">
        <v>835</v>
      </c>
    </row>
    <row r="141" spans="1:8" x14ac:dyDescent="0.2">
      <c r="A141" s="399">
        <f>CDE!C40</f>
        <v>127</v>
      </c>
      <c r="B141" s="399" t="str">
        <f>CDE!E40</f>
        <v>Parking/Tolls/Gas</v>
      </c>
      <c r="C141" s="399">
        <f>CDE!N40</f>
        <v>0</v>
      </c>
      <c r="D141" s="399" t="str">
        <f>CDE!O40</f>
        <v>each</v>
      </c>
      <c r="E141" s="399">
        <f>CDE!Q40</f>
        <v>0</v>
      </c>
      <c r="F141" s="399">
        <f>CDE!T40</f>
        <v>0</v>
      </c>
      <c r="G141" s="408">
        <f>CDE!W40</f>
        <v>0</v>
      </c>
      <c r="H141" t="s">
        <v>835</v>
      </c>
    </row>
    <row r="142" spans="1:8" x14ac:dyDescent="0.2">
      <c r="A142" s="399">
        <f>CDE!C41</f>
        <v>128</v>
      </c>
      <c r="B142" s="399" t="str">
        <f>CDE!E41</f>
        <v>Excess Bags/Homeland Security</v>
      </c>
      <c r="C142" s="399">
        <f>CDE!N41</f>
        <v>0</v>
      </c>
      <c r="D142" s="399" t="str">
        <f>CDE!O41</f>
        <v>each</v>
      </c>
      <c r="E142" s="399">
        <f>CDE!Q41</f>
        <v>0</v>
      </c>
      <c r="F142" s="399">
        <f>CDE!T41</f>
        <v>0</v>
      </c>
      <c r="G142" s="408">
        <f>CDE!W41</f>
        <v>0</v>
      </c>
      <c r="H142" t="s">
        <v>835</v>
      </c>
    </row>
    <row r="143" spans="1:8" x14ac:dyDescent="0.2">
      <c r="A143" s="399">
        <f>CDE!C42</f>
        <v>129</v>
      </c>
      <c r="B143" s="399" t="str">
        <f>CDE!E42</f>
        <v>Air Fares</v>
      </c>
      <c r="C143" s="399">
        <f>CDE!N42</f>
        <v>0</v>
      </c>
      <c r="D143" s="399" t="str">
        <f>CDE!O42</f>
        <v>each</v>
      </c>
      <c r="E143" s="399">
        <f>CDE!Q42</f>
        <v>0</v>
      </c>
      <c r="F143" s="399">
        <f>CDE!T42</f>
        <v>0</v>
      </c>
      <c r="G143" s="408">
        <f>CDE!W42</f>
        <v>0</v>
      </c>
      <c r="H143" t="s">
        <v>835</v>
      </c>
    </row>
    <row r="144" spans="1:8" x14ac:dyDescent="0.2">
      <c r="A144" s="399">
        <f>CDE!C43</f>
        <v>130</v>
      </c>
      <c r="B144" s="399" t="str">
        <f>CDE!E43</f>
        <v>Hotels</v>
      </c>
      <c r="C144" s="399">
        <f>CDE!N43</f>
        <v>0</v>
      </c>
      <c r="D144" s="399" t="str">
        <f>CDE!O43</f>
        <v>each</v>
      </c>
      <c r="E144" s="399">
        <f>CDE!Q43</f>
        <v>0</v>
      </c>
      <c r="F144" s="399">
        <f>CDE!T43</f>
        <v>0</v>
      </c>
      <c r="G144" s="408">
        <f>CDE!W43</f>
        <v>0</v>
      </c>
      <c r="H144" t="s">
        <v>835</v>
      </c>
    </row>
    <row r="145" spans="1:8" x14ac:dyDescent="0.2">
      <c r="A145" s="399">
        <f>CDE!C44</f>
        <v>131</v>
      </c>
      <c r="B145" s="399" t="str">
        <f>CDE!E44</f>
        <v>Per Diems</v>
      </c>
      <c r="C145" s="399">
        <f>CDE!N44</f>
        <v>0</v>
      </c>
      <c r="D145" s="399" t="str">
        <f>CDE!O44</f>
        <v>each</v>
      </c>
      <c r="E145" s="399">
        <f>CDE!Q44</f>
        <v>0</v>
      </c>
      <c r="F145" s="399">
        <f>CDE!T44</f>
        <v>0</v>
      </c>
      <c r="G145" s="408">
        <f>CDE!W44</f>
        <v>0</v>
      </c>
      <c r="H145" t="s">
        <v>835</v>
      </c>
    </row>
    <row r="146" spans="1:8" x14ac:dyDescent="0.2">
      <c r="A146" s="399">
        <f>CDE!C45</f>
        <v>132</v>
      </c>
      <c r="B146" s="399" t="str">
        <f>CDE!E45</f>
        <v>Talent Meals</v>
      </c>
      <c r="C146" s="399">
        <f>CDE!N45</f>
        <v>0</v>
      </c>
      <c r="D146" s="399" t="str">
        <f>CDE!O45</f>
        <v>each</v>
      </c>
      <c r="E146" s="399">
        <f>CDE!Q45</f>
        <v>0</v>
      </c>
      <c r="F146" s="399">
        <f>CDE!T45</f>
        <v>0</v>
      </c>
      <c r="G146" s="408">
        <f>CDE!W45</f>
        <v>0</v>
      </c>
      <c r="H146" t="s">
        <v>835</v>
      </c>
    </row>
    <row r="147" spans="1:8" x14ac:dyDescent="0.2">
      <c r="A147" s="399">
        <f>CDE!C46</f>
        <v>133</v>
      </c>
      <c r="B147" s="399" t="str">
        <f>CDE!E46</f>
        <v>Breakfast</v>
      </c>
      <c r="C147" s="399">
        <f>CDE!N46</f>
        <v>0</v>
      </c>
      <c r="D147" s="399" t="str">
        <f>CDE!O46</f>
        <v>ppl</v>
      </c>
      <c r="E147" s="399">
        <f>CDE!Q46</f>
        <v>0</v>
      </c>
      <c r="F147" s="399">
        <f>CDE!T46</f>
        <v>0</v>
      </c>
      <c r="G147" s="408">
        <f>CDE!W46</f>
        <v>0</v>
      </c>
      <c r="H147" t="s">
        <v>835</v>
      </c>
    </row>
    <row r="148" spans="1:8" x14ac:dyDescent="0.2">
      <c r="A148" s="399">
        <f>CDE!C47</f>
        <v>134</v>
      </c>
      <c r="B148" s="399" t="str">
        <f>CDE!E47</f>
        <v>Lunch</v>
      </c>
      <c r="C148" s="399">
        <f>CDE!N47</f>
        <v>0</v>
      </c>
      <c r="D148" s="399" t="str">
        <f>CDE!O47</f>
        <v>ppl</v>
      </c>
      <c r="E148" s="399">
        <f>CDE!Q47</f>
        <v>0</v>
      </c>
      <c r="F148" s="399">
        <f>CDE!T47</f>
        <v>0</v>
      </c>
      <c r="G148" s="408">
        <f>CDE!W47</f>
        <v>0</v>
      </c>
      <c r="H148" t="s">
        <v>835</v>
      </c>
    </row>
    <row r="149" spans="1:8" x14ac:dyDescent="0.2">
      <c r="A149" s="399">
        <f>CDE!C48</f>
        <v>135</v>
      </c>
      <c r="B149" s="399" t="str">
        <f>CDE!E48</f>
        <v>Dinner</v>
      </c>
      <c r="C149" s="399">
        <f>CDE!N48</f>
        <v>0</v>
      </c>
      <c r="D149" s="399" t="str">
        <f>CDE!O48</f>
        <v>ppl</v>
      </c>
      <c r="E149" s="399">
        <f>CDE!Q48</f>
        <v>0</v>
      </c>
      <c r="F149" s="399">
        <f>CDE!T48</f>
        <v>0</v>
      </c>
      <c r="G149" s="408">
        <f>CDE!W48</f>
        <v>0</v>
      </c>
      <c r="H149" t="s">
        <v>835</v>
      </c>
    </row>
    <row r="150" spans="1:8" x14ac:dyDescent="0.2">
      <c r="A150" s="399">
        <f>CDE!C49</f>
        <v>136</v>
      </c>
      <c r="B150" s="399" t="str">
        <f>CDE!E49</f>
        <v>Cabs/ Ubers/ Lyfts / Other Transportation</v>
      </c>
      <c r="C150" s="399">
        <f>CDE!N49</f>
        <v>0</v>
      </c>
      <c r="D150" s="399" t="str">
        <f>CDE!O49</f>
        <v>each</v>
      </c>
      <c r="E150" s="399">
        <f>CDE!Q49</f>
        <v>0</v>
      </c>
      <c r="F150" s="399">
        <f>CDE!T49</f>
        <v>0</v>
      </c>
      <c r="G150" s="408">
        <f>CDE!W49</f>
        <v>0</v>
      </c>
      <c r="H150" t="s">
        <v>835</v>
      </c>
    </row>
    <row r="151" spans="1:8" x14ac:dyDescent="0.2">
      <c r="A151" s="399">
        <f>CDE!C50</f>
        <v>137</v>
      </c>
      <c r="B151" s="399" t="str">
        <f>CDE!E50</f>
        <v>Kit Rental</v>
      </c>
      <c r="C151" s="399">
        <f>CDE!N50</f>
        <v>0</v>
      </c>
      <c r="D151" s="399" t="str">
        <f>CDE!O50</f>
        <v>each</v>
      </c>
      <c r="E151" s="399">
        <f>CDE!Q50</f>
        <v>0</v>
      </c>
      <c r="F151" s="399">
        <f>CDE!T50</f>
        <v>0</v>
      </c>
      <c r="G151" s="408">
        <f>CDE!W50</f>
        <v>0</v>
      </c>
      <c r="H151" t="s">
        <v>835</v>
      </c>
    </row>
    <row r="152" spans="1:8" x14ac:dyDescent="0.2">
      <c r="A152" s="399">
        <f>CDE!C51</f>
        <v>138</v>
      </c>
      <c r="B152" s="399" t="str">
        <f>CDE!E51</f>
        <v>Art Work</v>
      </c>
      <c r="C152" s="399">
        <f>CDE!N51</f>
        <v>0</v>
      </c>
      <c r="D152" s="399" t="str">
        <f>CDE!O51</f>
        <v>each</v>
      </c>
      <c r="E152" s="399">
        <f>CDE!Q51</f>
        <v>0</v>
      </c>
      <c r="F152" s="399">
        <f>CDE!T51</f>
        <v>0</v>
      </c>
      <c r="G152" s="408">
        <f>CDE!W51</f>
        <v>0</v>
      </c>
      <c r="H152" t="s">
        <v>835</v>
      </c>
    </row>
    <row r="153" spans="1:8" x14ac:dyDescent="0.2">
      <c r="A153" s="399">
        <f>CDE!C52</f>
        <v>139</v>
      </c>
      <c r="B153" s="399" t="str">
        <f>CDE!E52</f>
        <v>Sustainable Practices</v>
      </c>
      <c r="C153" s="399">
        <f>CDE!N52</f>
        <v>0</v>
      </c>
      <c r="D153" s="399" t="str">
        <f>CDE!O52</f>
        <v>allow</v>
      </c>
      <c r="E153" s="399">
        <f>CDE!Q52</f>
        <v>0</v>
      </c>
      <c r="F153" s="399">
        <f>CDE!T52</f>
        <v>0</v>
      </c>
      <c r="G153" s="408">
        <f>CDE!W52</f>
        <v>0</v>
      </c>
      <c r="H153" t="s">
        <v>835</v>
      </c>
    </row>
    <row r="154" spans="1:8" x14ac:dyDescent="0.2">
      <c r="A154" s="399"/>
      <c r="B154" s="399"/>
      <c r="C154" s="399"/>
      <c r="E154" s="399"/>
      <c r="F154" s="399" t="str">
        <f>CDE!O53</f>
        <v>Total D</v>
      </c>
      <c r="G154" s="408">
        <f>CDE!W53</f>
        <v>0</v>
      </c>
      <c r="H154" t="s">
        <v>835</v>
      </c>
    </row>
    <row r="155" spans="1:8" x14ac:dyDescent="0.2">
      <c r="A155" s="399"/>
      <c r="B155" s="399"/>
      <c r="C155" s="399"/>
      <c r="D155" s="399"/>
      <c r="E155" s="399"/>
      <c r="F155" s="399"/>
    </row>
    <row r="156" spans="1:8" ht="15" customHeight="1" x14ac:dyDescent="0.2">
      <c r="A156" s="399"/>
      <c r="B156" s="399"/>
      <c r="C156" s="399"/>
      <c r="D156" s="399"/>
      <c r="E156" s="399"/>
      <c r="F156" s="399"/>
    </row>
    <row r="157" spans="1:8" x14ac:dyDescent="0.2">
      <c r="A157" t="s">
        <v>821</v>
      </c>
      <c r="B157" t="s">
        <v>822</v>
      </c>
      <c r="C157" t="s">
        <v>376</v>
      </c>
      <c r="D157" t="s">
        <v>823</v>
      </c>
      <c r="E157" t="s">
        <v>220</v>
      </c>
      <c r="F157" t="s">
        <v>400</v>
      </c>
      <c r="G157" s="408" t="s">
        <v>370</v>
      </c>
    </row>
    <row r="158" spans="1:8" x14ac:dyDescent="0.2">
      <c r="A158" s="399">
        <f>CDE!C57</f>
        <v>140</v>
      </c>
      <c r="B158" s="399" t="str">
        <f>CDE!E57</f>
        <v>Prop Rental</v>
      </c>
      <c r="C158" s="399">
        <f>CDE!N57</f>
        <v>0</v>
      </c>
      <c r="D158" s="399" t="str">
        <f>CDE!O57</f>
        <v>each</v>
      </c>
      <c r="E158" s="399">
        <f>CDE!Q57</f>
        <v>333</v>
      </c>
      <c r="F158" s="399">
        <f>CDE!T57</f>
        <v>0</v>
      </c>
      <c r="G158" s="408">
        <f>CDE!W57</f>
        <v>0</v>
      </c>
      <c r="H158" t="s">
        <v>836</v>
      </c>
    </row>
    <row r="159" spans="1:8" x14ac:dyDescent="0.2">
      <c r="A159" s="399">
        <f>CDE!C58</f>
        <v>141</v>
      </c>
      <c r="B159" s="399" t="str">
        <f>CDE!E58</f>
        <v>Prop Purchase</v>
      </c>
      <c r="C159" s="399">
        <f>CDE!N58</f>
        <v>0</v>
      </c>
      <c r="D159" s="399" t="str">
        <f>CDE!O58</f>
        <v>each</v>
      </c>
      <c r="E159" s="399">
        <f>CDE!Q58</f>
        <v>0</v>
      </c>
      <c r="F159" s="399">
        <f>CDE!T58</f>
        <v>0</v>
      </c>
      <c r="G159" s="408">
        <f>CDE!W58</f>
        <v>0</v>
      </c>
      <c r="H159" t="s">
        <v>836</v>
      </c>
    </row>
    <row r="160" spans="1:8" x14ac:dyDescent="0.2">
      <c r="A160" s="399">
        <f>CDE!C59</f>
        <v>142</v>
      </c>
      <c r="B160" s="399" t="str">
        <f>CDE!E59</f>
        <v>Prop Fabrication</v>
      </c>
      <c r="C160" s="399">
        <f>CDE!N59</f>
        <v>0</v>
      </c>
      <c r="D160" s="399" t="str">
        <f>CDE!O59</f>
        <v>each</v>
      </c>
      <c r="E160" s="399">
        <f>CDE!Q59</f>
        <v>0</v>
      </c>
      <c r="F160" s="399">
        <f>CDE!T59</f>
        <v>0</v>
      </c>
      <c r="G160" s="408">
        <f>CDE!W59</f>
        <v>0</v>
      </c>
      <c r="H160" t="s">
        <v>836</v>
      </c>
    </row>
    <row r="161" spans="1:8" x14ac:dyDescent="0.2">
      <c r="A161" s="399">
        <f>CDE!C60</f>
        <v>143</v>
      </c>
      <c r="B161" s="399" t="str">
        <f>CDE!E60</f>
        <v>Wardrobe Rental</v>
      </c>
      <c r="C161" s="399">
        <f>CDE!N60</f>
        <v>0</v>
      </c>
      <c r="D161" s="399" t="str">
        <f>CDE!O60</f>
        <v>each</v>
      </c>
      <c r="E161" s="399">
        <f>CDE!Q60</f>
        <v>0</v>
      </c>
      <c r="F161" s="399">
        <f>CDE!T60</f>
        <v>0</v>
      </c>
      <c r="G161" s="408">
        <f>CDE!W60</f>
        <v>0</v>
      </c>
      <c r="H161" t="s">
        <v>836</v>
      </c>
    </row>
    <row r="162" spans="1:8" x14ac:dyDescent="0.2">
      <c r="A162" s="399">
        <f>CDE!C61</f>
        <v>144</v>
      </c>
      <c r="B162" s="399" t="str">
        <f>CDE!E61</f>
        <v>Wardrobe Purchase</v>
      </c>
      <c r="C162" s="399">
        <f>CDE!N61</f>
        <v>0</v>
      </c>
      <c r="D162" s="399" t="str">
        <f>CDE!O61</f>
        <v>each</v>
      </c>
      <c r="E162" s="399">
        <f>CDE!Q61</f>
        <v>0</v>
      </c>
      <c r="F162" s="399">
        <f>CDE!T61</f>
        <v>0</v>
      </c>
      <c r="G162" s="408">
        <f>CDE!W61</f>
        <v>0</v>
      </c>
      <c r="H162" t="s">
        <v>836</v>
      </c>
    </row>
    <row r="163" spans="1:8" x14ac:dyDescent="0.2">
      <c r="A163" s="399">
        <f>CDE!C62</f>
        <v>145</v>
      </c>
      <c r="B163" s="399" t="str">
        <f>CDE!E62</f>
        <v>Costumes</v>
      </c>
      <c r="C163" s="399">
        <f>CDE!N62</f>
        <v>0</v>
      </c>
      <c r="D163" s="399" t="str">
        <f>CDE!O62</f>
        <v>each</v>
      </c>
      <c r="E163" s="399">
        <f>CDE!Q62</f>
        <v>0</v>
      </c>
      <c r="F163" s="399">
        <f>CDE!T62</f>
        <v>0</v>
      </c>
      <c r="G163" s="408">
        <f>CDE!W62</f>
        <v>0</v>
      </c>
      <c r="H163" t="s">
        <v>836</v>
      </c>
    </row>
    <row r="164" spans="1:8" x14ac:dyDescent="0.2">
      <c r="A164" s="399">
        <f>CDE!C63</f>
        <v>146</v>
      </c>
      <c r="B164" s="399" t="str">
        <f>CDE!E63</f>
        <v>Picture Vehicles</v>
      </c>
      <c r="C164" s="399">
        <f>CDE!N63</f>
        <v>0</v>
      </c>
      <c r="D164" s="399" t="str">
        <f>CDE!O63</f>
        <v>each</v>
      </c>
      <c r="E164" s="399">
        <f>CDE!Q63</f>
        <v>0</v>
      </c>
      <c r="F164" s="399">
        <f>CDE!T63</f>
        <v>0</v>
      </c>
      <c r="G164" s="408">
        <f>CDE!W63</f>
        <v>0</v>
      </c>
      <c r="H164" t="s">
        <v>836</v>
      </c>
    </row>
    <row r="165" spans="1:8" x14ac:dyDescent="0.2">
      <c r="A165" s="399">
        <f>CDE!C64</f>
        <v>147</v>
      </c>
      <c r="B165" s="399" t="str">
        <f>CDE!E64</f>
        <v>Animals &amp; Handlers</v>
      </c>
      <c r="C165" s="399">
        <f>CDE!N64</f>
        <v>0</v>
      </c>
      <c r="D165" s="399" t="str">
        <f>CDE!O64</f>
        <v>each</v>
      </c>
      <c r="E165" s="399">
        <f>CDE!Q64</f>
        <v>0</v>
      </c>
      <c r="F165" s="399">
        <f>CDE!T64</f>
        <v>0</v>
      </c>
      <c r="G165" s="408">
        <f>CDE!W64</f>
        <v>0</v>
      </c>
      <c r="H165" t="s">
        <v>836</v>
      </c>
    </row>
    <row r="166" spans="1:8" x14ac:dyDescent="0.2">
      <c r="A166" s="399">
        <f>CDE!C65</f>
        <v>148</v>
      </c>
      <c r="B166" s="399" t="str">
        <f>CDE!E65</f>
        <v>Theatrical Makeup</v>
      </c>
      <c r="C166" s="399">
        <f>CDE!N65</f>
        <v>0</v>
      </c>
      <c r="D166" s="399" t="str">
        <f>CDE!O65</f>
        <v>each</v>
      </c>
      <c r="E166" s="399">
        <f>CDE!Q65</f>
        <v>0</v>
      </c>
      <c r="F166" s="399">
        <f>CDE!T65</f>
        <v>0</v>
      </c>
      <c r="G166" s="408">
        <f>CDE!W65</f>
        <v>0</v>
      </c>
      <c r="H166" t="s">
        <v>836</v>
      </c>
    </row>
    <row r="167" spans="1:8" x14ac:dyDescent="0.2">
      <c r="A167" s="399">
        <f>CDE!C66</f>
        <v>149</v>
      </c>
      <c r="B167" s="399" t="str">
        <f>CDE!E66</f>
        <v xml:space="preserve">Product Prep / Color Correct </v>
      </c>
      <c r="C167" s="399">
        <f>CDE!N66</f>
        <v>0</v>
      </c>
      <c r="D167" s="399" t="str">
        <f>CDE!O66</f>
        <v>each</v>
      </c>
      <c r="E167" s="399">
        <f>CDE!Q66</f>
        <v>0</v>
      </c>
      <c r="F167" s="399">
        <f>CDE!T66</f>
        <v>0</v>
      </c>
      <c r="G167" s="408">
        <f>CDE!W66</f>
        <v>0</v>
      </c>
      <c r="H167" t="s">
        <v>836</v>
      </c>
    </row>
    <row r="168" spans="1:8" x14ac:dyDescent="0.2">
      <c r="A168" s="399">
        <f>CDE!C67</f>
        <v>150</v>
      </c>
      <c r="B168" s="399" t="str">
        <f>CDE!E67</f>
        <v>Greens</v>
      </c>
      <c r="C168" s="399">
        <f>CDE!N67</f>
        <v>0</v>
      </c>
      <c r="D168" s="399" t="str">
        <f>CDE!O67</f>
        <v>each</v>
      </c>
      <c r="E168" s="399">
        <f>CDE!Q67</f>
        <v>0</v>
      </c>
      <c r="F168" s="399">
        <f>CDE!T67</f>
        <v>0</v>
      </c>
      <c r="G168" s="408">
        <f>CDE!W67</f>
        <v>0</v>
      </c>
      <c r="H168" t="s">
        <v>836</v>
      </c>
    </row>
    <row r="169" spans="1:8" x14ac:dyDescent="0.2">
      <c r="A169" s="399"/>
      <c r="B169" s="399"/>
      <c r="C169" s="399"/>
      <c r="E169" s="399"/>
      <c r="F169" s="399" t="str">
        <f>CDE!O68</f>
        <v>Total E</v>
      </c>
      <c r="G169" s="408">
        <f>CDE!W68</f>
        <v>0</v>
      </c>
      <c r="H169" t="s">
        <v>836</v>
      </c>
    </row>
    <row r="170" spans="1:8" x14ac:dyDescent="0.2">
      <c r="A170" s="399"/>
      <c r="B170" s="399"/>
      <c r="C170" s="399"/>
      <c r="D170" s="399"/>
      <c r="E170" s="399"/>
      <c r="F170" s="399"/>
    </row>
    <row r="171" spans="1:8" x14ac:dyDescent="0.2">
      <c r="A171" t="s">
        <v>821</v>
      </c>
      <c r="B171" t="s">
        <v>822</v>
      </c>
      <c r="C171" t="s">
        <v>376</v>
      </c>
      <c r="D171" t="s">
        <v>823</v>
      </c>
      <c r="E171" t="s">
        <v>220</v>
      </c>
      <c r="F171" t="s">
        <v>400</v>
      </c>
      <c r="G171" s="408" t="s">
        <v>370</v>
      </c>
    </row>
    <row r="172" spans="1:8" x14ac:dyDescent="0.2">
      <c r="A172" s="399">
        <f>FGH!C12</f>
        <v>151</v>
      </c>
      <c r="B172" s="399" t="str">
        <f>FGH!E12</f>
        <v xml:space="preserve">Rental For Build Days </v>
      </c>
      <c r="C172" s="399">
        <f>FGH!N12</f>
        <v>0</v>
      </c>
      <c r="D172" s="399" t="str">
        <f>FGH!O12</f>
        <v>days</v>
      </c>
      <c r="E172" s="399">
        <f>FGH!Q12</f>
        <v>0</v>
      </c>
      <c r="F172" s="399">
        <f>FGH!T12</f>
        <v>0</v>
      </c>
      <c r="G172" s="408">
        <f>FGH!W12</f>
        <v>0</v>
      </c>
      <c r="H172" t="s">
        <v>837</v>
      </c>
    </row>
    <row r="173" spans="1:8" x14ac:dyDescent="0.2">
      <c r="A173" s="399">
        <f>FGH!C13</f>
        <v>152</v>
      </c>
      <c r="B173" s="399" t="str">
        <f>FGH!E13</f>
        <v>Build OT Hours</v>
      </c>
      <c r="C173" s="399">
        <f>FGH!N13</f>
        <v>0</v>
      </c>
      <c r="D173" s="399" t="str">
        <f>FGH!O13</f>
        <v>hrs</v>
      </c>
      <c r="E173" s="399">
        <f>FGH!Q13</f>
        <v>0</v>
      </c>
      <c r="F173" s="399">
        <f>FGH!T13</f>
        <v>0</v>
      </c>
      <c r="G173" s="408">
        <f>FGH!W13</f>
        <v>0</v>
      </c>
      <c r="H173" t="s">
        <v>837</v>
      </c>
    </row>
    <row r="174" spans="1:8" x14ac:dyDescent="0.2">
      <c r="A174" s="399">
        <f>FGH!C14</f>
        <v>153</v>
      </c>
      <c r="B174" s="399" t="str">
        <f>FGH!E14</f>
        <v>Rental for Pre-Lite Days</v>
      </c>
      <c r="C174" s="399">
        <f>FGH!N14</f>
        <v>0</v>
      </c>
      <c r="D174" s="399" t="str">
        <f>FGH!O14</f>
        <v>days</v>
      </c>
      <c r="E174" s="399">
        <f>FGH!Q14</f>
        <v>0</v>
      </c>
      <c r="F174" s="399">
        <f>FGH!T14</f>
        <v>0</v>
      </c>
      <c r="G174" s="408">
        <f>FGH!W14</f>
        <v>0</v>
      </c>
      <c r="H174" t="s">
        <v>837</v>
      </c>
    </row>
    <row r="175" spans="1:8" x14ac:dyDescent="0.2">
      <c r="A175" s="399">
        <f>FGH!C15</f>
        <v>154</v>
      </c>
      <c r="B175" s="399" t="str">
        <f>FGH!E15</f>
        <v>Pre-Lite OT Hours</v>
      </c>
      <c r="C175" s="399">
        <f>FGH!N15</f>
        <v>0</v>
      </c>
      <c r="D175" s="399" t="str">
        <f>FGH!O15</f>
        <v>days</v>
      </c>
      <c r="E175" s="399">
        <f>FGH!Q15</f>
        <v>0</v>
      </c>
      <c r="F175" s="399">
        <f>FGH!T15</f>
        <v>0</v>
      </c>
      <c r="G175" s="408">
        <f>FGH!W15</f>
        <v>0</v>
      </c>
      <c r="H175" t="s">
        <v>837</v>
      </c>
    </row>
    <row r="176" spans="1:8" x14ac:dyDescent="0.2">
      <c r="A176" s="399">
        <f>FGH!C16</f>
        <v>155</v>
      </c>
      <c r="B176" s="399" t="str">
        <f>FGH!E16</f>
        <v>Rental for Shoot Days</v>
      </c>
      <c r="C176" s="399">
        <f>FGH!N16</f>
        <v>0</v>
      </c>
      <c r="D176" s="399" t="str">
        <f>FGH!O16</f>
        <v>days</v>
      </c>
      <c r="E176" s="399">
        <f>FGH!Q16</f>
        <v>0</v>
      </c>
      <c r="F176" s="399">
        <f>FGH!T16</f>
        <v>0</v>
      </c>
      <c r="G176" s="408">
        <f>FGH!W16</f>
        <v>0</v>
      </c>
      <c r="H176" t="s">
        <v>837</v>
      </c>
    </row>
    <row r="177" spans="1:8" x14ac:dyDescent="0.2">
      <c r="A177" s="399">
        <f>FGH!C17</f>
        <v>156</v>
      </c>
      <c r="B177" s="399" t="str">
        <f>FGH!E17</f>
        <v>Shoot OT Hours</v>
      </c>
      <c r="C177" s="399">
        <f>FGH!N17</f>
        <v>0</v>
      </c>
      <c r="D177" s="399" t="str">
        <f>FGH!O17</f>
        <v>hrs</v>
      </c>
      <c r="E177" s="399">
        <f>FGH!Q17</f>
        <v>0</v>
      </c>
      <c r="F177" s="399">
        <f>FGH!T17</f>
        <v>0</v>
      </c>
      <c r="G177" s="408">
        <f>FGH!W17</f>
        <v>0</v>
      </c>
      <c r="H177" t="s">
        <v>837</v>
      </c>
    </row>
    <row r="178" spans="1:8" x14ac:dyDescent="0.2">
      <c r="A178" s="399">
        <f>FGH!C18</f>
        <v>157</v>
      </c>
      <c r="B178" s="399" t="str">
        <f>FGH!E18</f>
        <v>Rental for Strike Days</v>
      </c>
      <c r="C178" s="399">
        <f>FGH!N18</f>
        <v>0</v>
      </c>
      <c r="D178" s="399" t="str">
        <f>FGH!O18</f>
        <v>days</v>
      </c>
      <c r="E178" s="399">
        <f>FGH!Q18</f>
        <v>0</v>
      </c>
      <c r="F178" s="399">
        <f>FGH!T18</f>
        <v>0</v>
      </c>
      <c r="G178" s="408">
        <f>FGH!W18</f>
        <v>0</v>
      </c>
      <c r="H178" t="s">
        <v>837</v>
      </c>
    </row>
    <row r="179" spans="1:8" x14ac:dyDescent="0.2">
      <c r="A179" s="399">
        <f>FGH!C19</f>
        <v>158</v>
      </c>
      <c r="B179" s="399" t="str">
        <f>FGH!E19</f>
        <v>Strike OT Hours</v>
      </c>
      <c r="C179" s="399">
        <f>FGH!N19</f>
        <v>0</v>
      </c>
      <c r="D179" s="399" t="str">
        <f>FGH!O19</f>
        <v>hrs</v>
      </c>
      <c r="E179" s="399">
        <f>FGH!Q19</f>
        <v>0</v>
      </c>
      <c r="F179" s="399">
        <f>FGH!T19</f>
        <v>0</v>
      </c>
      <c r="G179" s="408">
        <f>FGH!W19</f>
        <v>0</v>
      </c>
      <c r="H179" t="s">
        <v>837</v>
      </c>
    </row>
    <row r="180" spans="1:8" x14ac:dyDescent="0.2">
      <c r="A180" s="399">
        <f>FGH!C20</f>
        <v>159</v>
      </c>
      <c r="B180" s="399" t="str">
        <f>FGH!E20</f>
        <v>Generator and Operator</v>
      </c>
      <c r="C180" s="399">
        <f>FGH!N20</f>
        <v>0</v>
      </c>
      <c r="D180" s="399" t="str">
        <f>FGH!O20</f>
        <v>days</v>
      </c>
      <c r="E180" s="399">
        <f>FGH!Q20</f>
        <v>0</v>
      </c>
      <c r="F180" s="399">
        <f>FGH!T20</f>
        <v>0</v>
      </c>
      <c r="G180" s="408">
        <f>FGH!W20</f>
        <v>0</v>
      </c>
      <c r="H180" t="s">
        <v>837</v>
      </c>
    </row>
    <row r="181" spans="1:8" x14ac:dyDescent="0.2">
      <c r="A181" s="399">
        <f>FGH!C21</f>
        <v>160</v>
      </c>
      <c r="B181" s="399" t="str">
        <f>FGH!E21</f>
        <v>Stage Manager/Studio Security</v>
      </c>
      <c r="C181" s="399">
        <f>FGH!N21</f>
        <v>0</v>
      </c>
      <c r="D181" s="399" t="str">
        <f>FGH!O21</f>
        <v>days</v>
      </c>
      <c r="E181" s="399">
        <f>FGH!Q21</f>
        <v>1222</v>
      </c>
      <c r="F181" s="399">
        <f>FGH!T21</f>
        <v>0</v>
      </c>
      <c r="G181" s="408">
        <f>FGH!W21</f>
        <v>0</v>
      </c>
      <c r="H181" t="s">
        <v>837</v>
      </c>
    </row>
    <row r="182" spans="1:8" x14ac:dyDescent="0.2">
      <c r="A182" s="399">
        <f>FGH!C22</f>
        <v>161</v>
      </c>
      <c r="B182" s="399" t="str">
        <f>FGH!E22</f>
        <v>Power Charges</v>
      </c>
      <c r="C182" s="399">
        <f>FGH!N22</f>
        <v>0</v>
      </c>
      <c r="D182" s="399" t="str">
        <f>FGH!O22</f>
        <v>days</v>
      </c>
      <c r="E182" s="399">
        <f>FGH!Q22</f>
        <v>0</v>
      </c>
      <c r="F182" s="399">
        <f>FGH!T22</f>
        <v>0</v>
      </c>
      <c r="G182" s="408">
        <f>FGH!W22</f>
        <v>0</v>
      </c>
      <c r="H182" t="s">
        <v>837</v>
      </c>
    </row>
    <row r="183" spans="1:8" x14ac:dyDescent="0.2">
      <c r="A183" s="399">
        <f>FGH!C23</f>
        <v>162</v>
      </c>
      <c r="B183" s="399" t="str">
        <f>FGH!E23</f>
        <v>Misc Studio Charges</v>
      </c>
      <c r="C183" s="399">
        <f>FGH!N23</f>
        <v>0</v>
      </c>
      <c r="D183" s="399" t="str">
        <f>FGH!O23</f>
        <v>days</v>
      </c>
      <c r="E183" s="399">
        <f>FGH!Q23</f>
        <v>0</v>
      </c>
      <c r="F183" s="399">
        <f>FGH!T23</f>
        <v>0</v>
      </c>
      <c r="G183" s="408">
        <f>FGH!W23</f>
        <v>0</v>
      </c>
      <c r="H183" t="s">
        <v>837</v>
      </c>
    </row>
    <row r="184" spans="1:8" x14ac:dyDescent="0.2">
      <c r="A184" s="399">
        <f>FGH!C24</f>
        <v>163</v>
      </c>
      <c r="B184" s="399" t="str">
        <f>FGH!E24</f>
        <v>Meals for Crew &amp; Talent</v>
      </c>
      <c r="C184" s="399">
        <f>FGH!N24</f>
        <v>0</v>
      </c>
      <c r="D184" s="399" t="str">
        <f>FGH!O24</f>
        <v>days</v>
      </c>
      <c r="E184" s="399">
        <f>FGH!Q24</f>
        <v>0</v>
      </c>
      <c r="F184" s="399">
        <f>FGH!T24</f>
        <v>0</v>
      </c>
      <c r="G184" s="408">
        <f>FGH!W24</f>
        <v>0</v>
      </c>
      <c r="H184" t="s">
        <v>837</v>
      </c>
    </row>
    <row r="185" spans="1:8" x14ac:dyDescent="0.2">
      <c r="A185" s="399">
        <f>FGH!C25</f>
        <v>164</v>
      </c>
      <c r="B185" s="399" t="str">
        <f>FGH!E25</f>
        <v>Air Conditioning</v>
      </c>
      <c r="C185" s="399">
        <f>FGH!N25</f>
        <v>0</v>
      </c>
      <c r="D185" s="399" t="str">
        <f>FGH!O25</f>
        <v>days</v>
      </c>
      <c r="E185" s="399">
        <f>FGH!Q25</f>
        <v>0</v>
      </c>
      <c r="F185" s="399">
        <f>FGH!T25</f>
        <v>0</v>
      </c>
      <c r="G185" s="408">
        <f>FGH!W25</f>
        <v>0</v>
      </c>
      <c r="H185" t="s">
        <v>837</v>
      </c>
    </row>
    <row r="186" spans="1:8" x14ac:dyDescent="0.2">
      <c r="A186" s="399">
        <f>FGH!C26</f>
        <v>165</v>
      </c>
      <c r="B186" s="399" t="str">
        <f>FGH!E26</f>
        <v>Crew Parking</v>
      </c>
      <c r="C186" s="399">
        <f>FGH!N26</f>
        <v>0</v>
      </c>
      <c r="D186" s="399" t="str">
        <f>FGH!O26</f>
        <v>days</v>
      </c>
      <c r="E186" s="399">
        <f>FGH!Q26</f>
        <v>0</v>
      </c>
      <c r="F186" s="399">
        <f>FGH!T26</f>
        <v>0</v>
      </c>
      <c r="G186" s="408">
        <f>FGH!W26</f>
        <v>0</v>
      </c>
      <c r="H186" t="s">
        <v>837</v>
      </c>
    </row>
    <row r="187" spans="1:8" x14ac:dyDescent="0.2">
      <c r="A187" s="399">
        <f>FGH!C27</f>
        <v>166</v>
      </c>
      <c r="B187" s="399" t="str">
        <f>FGH!E27</f>
        <v>Condor/Scissor Lift</v>
      </c>
      <c r="C187" s="399">
        <f>FGH!N27</f>
        <v>0</v>
      </c>
      <c r="D187" s="399" t="str">
        <f>FGH!O27</f>
        <v>days</v>
      </c>
      <c r="E187" s="399">
        <f>FGH!Q27</f>
        <v>0</v>
      </c>
      <c r="F187" s="399">
        <f>FGH!T27</f>
        <v>0</v>
      </c>
      <c r="G187" s="408">
        <f>FGH!W27</f>
        <v>0</v>
      </c>
      <c r="H187" t="s">
        <v>837</v>
      </c>
    </row>
    <row r="188" spans="1:8" x14ac:dyDescent="0.2">
      <c r="A188" s="399">
        <f>FGH!C28</f>
        <v>167</v>
      </c>
      <c r="B188" s="399" t="str">
        <f>FGH!E28</f>
        <v>Steeldeck</v>
      </c>
      <c r="C188" s="399">
        <f>FGH!N28</f>
        <v>0</v>
      </c>
      <c r="D188" s="399" t="str">
        <f>FGH!O28</f>
        <v>days</v>
      </c>
      <c r="E188" s="399">
        <f>FGH!Q28</f>
        <v>0</v>
      </c>
      <c r="F188" s="399">
        <f>FGH!T28</f>
        <v>0</v>
      </c>
      <c r="G188" s="408">
        <f>FGH!W28</f>
        <v>0</v>
      </c>
      <c r="H188" t="s">
        <v>837</v>
      </c>
    </row>
    <row r="189" spans="1:8" x14ac:dyDescent="0.2">
      <c r="A189" s="399"/>
      <c r="B189" s="399"/>
      <c r="C189" s="399"/>
      <c r="E189" s="399"/>
      <c r="F189" s="399" t="str">
        <f>FGH!O29</f>
        <v>Total F</v>
      </c>
      <c r="G189" s="408">
        <f>FGH!W29</f>
        <v>0</v>
      </c>
      <c r="H189" t="s">
        <v>837</v>
      </c>
    </row>
    <row r="190" spans="1:8" x14ac:dyDescent="0.2">
      <c r="A190" s="399"/>
      <c r="B190" s="399"/>
      <c r="C190" s="399"/>
      <c r="D190" s="399"/>
      <c r="E190" s="399"/>
      <c r="F190" s="399"/>
    </row>
    <row r="191" spans="1:8" x14ac:dyDescent="0.2">
      <c r="A191" t="s">
        <v>821</v>
      </c>
      <c r="B191" t="s">
        <v>822</v>
      </c>
      <c r="C191" t="s">
        <v>376</v>
      </c>
      <c r="D191" t="s">
        <v>823</v>
      </c>
      <c r="E191" t="s">
        <v>220</v>
      </c>
      <c r="F191" t="s">
        <v>400</v>
      </c>
      <c r="G191" s="408" t="s">
        <v>370</v>
      </c>
    </row>
    <row r="192" spans="1:8" x14ac:dyDescent="0.2">
      <c r="A192" s="399">
        <f>FGH!C34</f>
        <v>168</v>
      </c>
      <c r="B192" s="399" t="str">
        <f>FGH!E34</f>
        <v>Production Designer/Art Director</v>
      </c>
      <c r="C192" s="399">
        <f>FGH!N34</f>
        <v>0</v>
      </c>
      <c r="D192" s="399" t="str">
        <f>FGH!O34</f>
        <v>days</v>
      </c>
      <c r="E192" s="399">
        <f>FGH!Q34</f>
        <v>1000</v>
      </c>
      <c r="F192" s="399">
        <f>FGH!T34</f>
        <v>0</v>
      </c>
      <c r="G192" s="408">
        <f>FGH!W34</f>
        <v>0</v>
      </c>
      <c r="H192" t="s">
        <v>838</v>
      </c>
    </row>
    <row r="193" spans="1:8" x14ac:dyDescent="0.2">
      <c r="A193" s="399">
        <f>FGH!C35</f>
        <v>169</v>
      </c>
      <c r="B193" s="399">
        <f>FGH!E35</f>
        <v>0</v>
      </c>
      <c r="C193" s="399">
        <f>FGH!N35</f>
        <v>0</v>
      </c>
      <c r="D193" s="399" t="str">
        <f>FGH!O35</f>
        <v>days</v>
      </c>
      <c r="E193" s="399">
        <f>FGH!Q35</f>
        <v>0</v>
      </c>
      <c r="F193" s="399">
        <f>FGH!T35</f>
        <v>0</v>
      </c>
      <c r="G193" s="408">
        <f>FGH!W35</f>
        <v>0</v>
      </c>
      <c r="H193" t="s">
        <v>838</v>
      </c>
    </row>
    <row r="194" spans="1:8" x14ac:dyDescent="0.2">
      <c r="A194" s="399">
        <f>FGH!C36</f>
        <v>170</v>
      </c>
      <c r="B194" s="399" t="str">
        <f>FGH!E36</f>
        <v>Set Decorator</v>
      </c>
      <c r="C194" s="399">
        <f>FGH!N36</f>
        <v>0</v>
      </c>
      <c r="D194" s="399" t="str">
        <f>FGH!O36</f>
        <v>days</v>
      </c>
      <c r="E194" s="399">
        <f>FGH!Q36</f>
        <v>0</v>
      </c>
      <c r="F194" s="399">
        <f>FGH!T36</f>
        <v>0</v>
      </c>
      <c r="G194" s="408">
        <f>FGH!W36</f>
        <v>0</v>
      </c>
      <c r="H194" t="s">
        <v>838</v>
      </c>
    </row>
    <row r="195" spans="1:8" x14ac:dyDescent="0.2">
      <c r="A195" s="399">
        <f>FGH!C37</f>
        <v>171</v>
      </c>
      <c r="B195" s="399" t="str">
        <f>FGH!E37</f>
        <v>Art Dept Coordinator</v>
      </c>
      <c r="C195" s="399">
        <f>FGH!N37</f>
        <v>0</v>
      </c>
      <c r="D195" s="399" t="str">
        <f>FGH!O37</f>
        <v>days</v>
      </c>
      <c r="E195" s="399">
        <f>FGH!Q37</f>
        <v>1111</v>
      </c>
      <c r="F195" s="399">
        <f>FGH!T37</f>
        <v>0</v>
      </c>
      <c r="G195" s="408">
        <f>FGH!W37</f>
        <v>0</v>
      </c>
      <c r="H195" t="s">
        <v>838</v>
      </c>
    </row>
    <row r="196" spans="1:8" x14ac:dyDescent="0.2">
      <c r="A196" s="399">
        <f>FGH!C38</f>
        <v>172</v>
      </c>
      <c r="B196" s="399" t="str">
        <f>FGH!E38</f>
        <v>Prop Master</v>
      </c>
      <c r="C196" s="399">
        <f>FGH!N38</f>
        <v>0</v>
      </c>
      <c r="D196" s="399" t="str">
        <f>FGH!O38</f>
        <v>days</v>
      </c>
      <c r="E196" s="399">
        <f>FGH!Q38</f>
        <v>0</v>
      </c>
      <c r="F196" s="399">
        <f>FGH!T38</f>
        <v>0</v>
      </c>
      <c r="G196" s="408">
        <f>FGH!W38</f>
        <v>0</v>
      </c>
      <c r="H196" t="s">
        <v>838</v>
      </c>
    </row>
    <row r="197" spans="1:8" x14ac:dyDescent="0.2">
      <c r="A197" s="399">
        <f>FGH!C39</f>
        <v>173</v>
      </c>
      <c r="B197" s="399" t="str">
        <f>FGH!E39</f>
        <v>Asst Props</v>
      </c>
      <c r="C197" s="399">
        <f>FGH!N39</f>
        <v>0</v>
      </c>
      <c r="D197" s="399" t="str">
        <f>FGH!O39</f>
        <v>days</v>
      </c>
      <c r="E197" s="399">
        <f>FGH!Q39</f>
        <v>0</v>
      </c>
      <c r="F197" s="399">
        <f>FGH!T39</f>
        <v>0</v>
      </c>
      <c r="G197" s="408">
        <f>FGH!W39</f>
        <v>0</v>
      </c>
      <c r="H197" t="s">
        <v>838</v>
      </c>
    </row>
    <row r="198" spans="1:8" x14ac:dyDescent="0.2">
      <c r="A198" s="399">
        <f>FGH!C40</f>
        <v>174</v>
      </c>
      <c r="B198" s="399" t="str">
        <f>FGH!E40</f>
        <v>Swing</v>
      </c>
      <c r="C198" s="399">
        <f>FGH!N40</f>
        <v>0</v>
      </c>
      <c r="D198" s="399" t="str">
        <f>FGH!O40</f>
        <v>days</v>
      </c>
      <c r="E198" s="399">
        <f>FGH!Q40</f>
        <v>0</v>
      </c>
      <c r="F198" s="399">
        <f>FGH!T40</f>
        <v>0</v>
      </c>
      <c r="G198" s="408">
        <f>FGH!W40</f>
        <v>0</v>
      </c>
      <c r="H198" t="s">
        <v>838</v>
      </c>
    </row>
    <row r="199" spans="1:8" x14ac:dyDescent="0.2">
      <c r="A199" s="399">
        <f>FGH!C41</f>
        <v>175</v>
      </c>
      <c r="B199" s="399" t="str">
        <f>FGH!E41</f>
        <v>Leadman</v>
      </c>
      <c r="C199" s="399">
        <f>FGH!N41</f>
        <v>0</v>
      </c>
      <c r="D199" s="399" t="str">
        <f>FGH!O41</f>
        <v>days</v>
      </c>
      <c r="E199" s="399">
        <f>FGH!Q41</f>
        <v>0</v>
      </c>
      <c r="F199" s="399">
        <f>FGH!T41</f>
        <v>0</v>
      </c>
      <c r="G199" s="408">
        <f>FGH!W41</f>
        <v>0</v>
      </c>
      <c r="H199" t="s">
        <v>838</v>
      </c>
    </row>
    <row r="200" spans="1:8" x14ac:dyDescent="0.2">
      <c r="A200" s="399">
        <f>FGH!C42</f>
        <v>176</v>
      </c>
      <c r="B200" s="399" t="str">
        <f>FGH!E42</f>
        <v>Set Dresser</v>
      </c>
      <c r="C200" s="399">
        <f>FGH!N42</f>
        <v>0</v>
      </c>
      <c r="D200" s="399" t="str">
        <f>FGH!O42</f>
        <v>days</v>
      </c>
      <c r="E200" s="399">
        <f>FGH!Q42</f>
        <v>0</v>
      </c>
      <c r="F200" s="399">
        <f>FGH!T42</f>
        <v>0</v>
      </c>
      <c r="G200" s="408">
        <f>FGH!W42</f>
        <v>0</v>
      </c>
      <c r="H200" t="s">
        <v>838</v>
      </c>
    </row>
    <row r="201" spans="1:8" x14ac:dyDescent="0.2">
      <c r="A201" s="399">
        <f>FGH!C43</f>
        <v>177</v>
      </c>
      <c r="B201" s="399" t="str">
        <f>FGH!E43</f>
        <v>Scenics</v>
      </c>
      <c r="C201" s="399">
        <f>FGH!N43</f>
        <v>0</v>
      </c>
      <c r="D201" s="399" t="str">
        <f>FGH!O43</f>
        <v>days</v>
      </c>
      <c r="E201" s="399">
        <f>FGH!Q43</f>
        <v>0</v>
      </c>
      <c r="F201" s="399">
        <f>FGH!T43</f>
        <v>0</v>
      </c>
      <c r="G201" s="408">
        <f>FGH!W43</f>
        <v>0</v>
      </c>
      <c r="H201" t="s">
        <v>838</v>
      </c>
    </row>
    <row r="202" spans="1:8" x14ac:dyDescent="0.2">
      <c r="A202" s="399">
        <f>FGH!C44</f>
        <v>178</v>
      </c>
      <c r="B202" s="399" t="str">
        <f>FGH!E44</f>
        <v>Grips / Riggers</v>
      </c>
      <c r="C202" s="399">
        <f>FGH!N44</f>
        <v>0</v>
      </c>
      <c r="D202" s="399" t="str">
        <f>FGH!O44</f>
        <v>days</v>
      </c>
      <c r="E202" s="399">
        <f>FGH!Q44</f>
        <v>0</v>
      </c>
      <c r="F202" s="399">
        <f>FGH!T44</f>
        <v>0</v>
      </c>
      <c r="G202" s="408">
        <f>FGH!W44</f>
        <v>0</v>
      </c>
      <c r="H202" t="s">
        <v>838</v>
      </c>
    </row>
    <row r="203" spans="1:8" x14ac:dyDescent="0.2">
      <c r="A203" s="399">
        <f>FGH!C45</f>
        <v>179</v>
      </c>
      <c r="B203" s="399">
        <f>FGH!E45</f>
        <v>0</v>
      </c>
      <c r="C203" s="399">
        <f>FGH!N45</f>
        <v>0</v>
      </c>
      <c r="D203" s="399" t="str">
        <f>FGH!O45</f>
        <v>days</v>
      </c>
      <c r="E203" s="399">
        <f>FGH!Q45</f>
        <v>0</v>
      </c>
      <c r="F203" s="399">
        <f>FGH!T45</f>
        <v>0</v>
      </c>
      <c r="G203" s="408">
        <f>FGH!W45</f>
        <v>0</v>
      </c>
      <c r="H203" t="s">
        <v>838</v>
      </c>
    </row>
    <row r="204" spans="1:8" x14ac:dyDescent="0.2">
      <c r="A204" s="399">
        <f>FGH!C46</f>
        <v>180</v>
      </c>
      <c r="B204" s="399">
        <f>FGH!E46</f>
        <v>0</v>
      </c>
      <c r="C204" s="399">
        <f>FGH!N46</f>
        <v>0</v>
      </c>
      <c r="D204" s="399" t="str">
        <f>FGH!O46</f>
        <v>days</v>
      </c>
      <c r="E204" s="399">
        <f>FGH!Q46</f>
        <v>0</v>
      </c>
      <c r="F204" s="399">
        <f>FGH!T46</f>
        <v>0</v>
      </c>
      <c r="G204" s="408">
        <f>FGH!W46</f>
        <v>0</v>
      </c>
      <c r="H204" t="s">
        <v>838</v>
      </c>
    </row>
    <row r="205" spans="1:8" x14ac:dyDescent="0.2">
      <c r="A205" s="399"/>
      <c r="B205" s="399"/>
      <c r="C205" s="399"/>
      <c r="E205" s="399"/>
      <c r="F205" s="399" t="str">
        <f>FGH!O47</f>
        <v>Sub Total G</v>
      </c>
      <c r="G205" s="408">
        <f>FGH!W47</f>
        <v>0</v>
      </c>
      <c r="H205" t="s">
        <v>838</v>
      </c>
    </row>
    <row r="206" spans="1:8" x14ac:dyDescent="0.2">
      <c r="A206" s="399"/>
      <c r="B206" s="399"/>
      <c r="C206" s="399"/>
      <c r="E206" s="399"/>
      <c r="F206" s="399" t="str">
        <f>FGH!O48</f>
        <v>Fringes G</v>
      </c>
      <c r="G206" s="408">
        <f>FGH!W48</f>
        <v>0</v>
      </c>
      <c r="H206" t="s">
        <v>838</v>
      </c>
    </row>
    <row r="207" spans="1:8" x14ac:dyDescent="0.2">
      <c r="A207" s="399"/>
      <c r="B207" s="399"/>
      <c r="C207" s="399"/>
      <c r="E207" s="399"/>
      <c r="F207" s="399" t="str">
        <f>FGH!O49</f>
        <v>Total G</v>
      </c>
      <c r="G207" s="408">
        <f>FGH!W49</f>
        <v>0</v>
      </c>
      <c r="H207" t="s">
        <v>838</v>
      </c>
    </row>
    <row r="208" spans="1:8" x14ac:dyDescent="0.2">
      <c r="A208" s="399"/>
      <c r="B208" s="399"/>
      <c r="C208" s="399"/>
      <c r="D208" s="399"/>
      <c r="E208" s="399"/>
      <c r="F208" s="399"/>
    </row>
    <row r="209" spans="1:8" x14ac:dyDescent="0.2">
      <c r="A209" t="s">
        <v>821</v>
      </c>
      <c r="B209" t="s">
        <v>822</v>
      </c>
      <c r="C209" t="s">
        <v>376</v>
      </c>
      <c r="D209" t="s">
        <v>823</v>
      </c>
      <c r="E209" t="s">
        <v>220</v>
      </c>
      <c r="F209" t="s">
        <v>400</v>
      </c>
      <c r="G209" s="408" t="s">
        <v>370</v>
      </c>
    </row>
    <row r="210" spans="1:8" x14ac:dyDescent="0.2">
      <c r="A210" s="399">
        <f>FGH!C53</f>
        <v>181</v>
      </c>
      <c r="B210" s="399" t="str">
        <f>FGH!E53</f>
        <v>Set Dressing Rentals</v>
      </c>
      <c r="C210" s="399">
        <f>FGH!N53</f>
        <v>0</v>
      </c>
      <c r="D210" s="399" t="str">
        <f>FGH!O53</f>
        <v>each</v>
      </c>
      <c r="E210" s="399">
        <f>FGH!Q53</f>
        <v>0</v>
      </c>
      <c r="F210" s="399">
        <f>FGH!T53</f>
        <v>0</v>
      </c>
      <c r="G210" s="408">
        <f>FGH!W53</f>
        <v>0</v>
      </c>
      <c r="H210" t="s">
        <v>839</v>
      </c>
    </row>
    <row r="211" spans="1:8" x14ac:dyDescent="0.2">
      <c r="A211" s="399">
        <f>FGH!C54</f>
        <v>182</v>
      </c>
      <c r="B211" s="399" t="str">
        <f>FGH!E54</f>
        <v>Set Dressing Purchases</v>
      </c>
      <c r="C211" s="399">
        <f>FGH!N54</f>
        <v>0</v>
      </c>
      <c r="D211" s="399" t="str">
        <f>FGH!O54</f>
        <v>each</v>
      </c>
      <c r="E211" s="399">
        <f>FGH!Q54</f>
        <v>0</v>
      </c>
      <c r="F211" s="399">
        <f>FGH!T54</f>
        <v>0</v>
      </c>
      <c r="G211" s="408">
        <f>FGH!W54</f>
        <v>0</v>
      </c>
      <c r="H211" t="s">
        <v>839</v>
      </c>
    </row>
    <row r="212" spans="1:8" x14ac:dyDescent="0.2">
      <c r="A212" s="399">
        <f>FGH!C55</f>
        <v>183</v>
      </c>
      <c r="B212" s="399" t="str">
        <f>FGH!E55</f>
        <v>Art Dept Prod Supplies</v>
      </c>
      <c r="C212" s="399">
        <f>FGH!N55</f>
        <v>0</v>
      </c>
      <c r="D212" s="399" t="str">
        <f>FGH!O55</f>
        <v>each</v>
      </c>
      <c r="E212" s="399">
        <f>FGH!Q55</f>
        <v>0</v>
      </c>
      <c r="F212" s="399">
        <f>FGH!T55</f>
        <v>0</v>
      </c>
      <c r="G212" s="408">
        <f>FGH!W55</f>
        <v>0</v>
      </c>
      <c r="H212" t="s">
        <v>839</v>
      </c>
    </row>
    <row r="213" spans="1:8" x14ac:dyDescent="0.2">
      <c r="A213" s="399">
        <f>FGH!C56</f>
        <v>184</v>
      </c>
      <c r="B213" s="399" t="str">
        <f>FGH!E56</f>
        <v>Art Dept Kit Rental</v>
      </c>
      <c r="C213" s="399">
        <f>FGH!N56</f>
        <v>0</v>
      </c>
      <c r="D213" s="399" t="str">
        <f>FGH!O56</f>
        <v>each</v>
      </c>
      <c r="E213" s="399">
        <f>FGH!Q56</f>
        <v>0</v>
      </c>
      <c r="F213" s="399">
        <f>FGH!T56</f>
        <v>0</v>
      </c>
      <c r="G213" s="408">
        <f>FGH!W56</f>
        <v>0</v>
      </c>
      <c r="H213" t="s">
        <v>839</v>
      </c>
    </row>
    <row r="214" spans="1:8" x14ac:dyDescent="0.2">
      <c r="A214" s="399">
        <f>FGH!C57</f>
        <v>185</v>
      </c>
      <c r="B214" s="399" t="str">
        <f>FGH!E57</f>
        <v>Special Effects Rental</v>
      </c>
      <c r="C214" s="399">
        <f>FGH!N57</f>
        <v>0</v>
      </c>
      <c r="D214" s="399" t="str">
        <f>FGH!O57</f>
        <v>each</v>
      </c>
      <c r="E214" s="399">
        <f>FGH!Q57</f>
        <v>0</v>
      </c>
      <c r="F214" s="399">
        <f>FGH!T57</f>
        <v>0</v>
      </c>
      <c r="G214" s="408">
        <f>FGH!W57</f>
        <v>0</v>
      </c>
      <c r="H214" t="s">
        <v>839</v>
      </c>
    </row>
    <row r="215" spans="1:8" x14ac:dyDescent="0.2">
      <c r="A215" s="399">
        <f>FGH!C58</f>
        <v>186</v>
      </c>
      <c r="B215" s="399" t="str">
        <f>FGH!E58</f>
        <v>Art Dept Trucking</v>
      </c>
      <c r="C215" s="399">
        <f>FGH!N58</f>
        <v>0</v>
      </c>
      <c r="D215" s="399" t="str">
        <f>FGH!O58</f>
        <v>each</v>
      </c>
      <c r="E215" s="399">
        <f>FGH!Q58</f>
        <v>0</v>
      </c>
      <c r="F215" s="399">
        <f>FGH!T58</f>
        <v>0</v>
      </c>
      <c r="G215" s="408">
        <f>FGH!W58</f>
        <v>0</v>
      </c>
      <c r="H215" t="s">
        <v>839</v>
      </c>
    </row>
    <row r="216" spans="1:8" x14ac:dyDescent="0.2">
      <c r="A216" s="399">
        <f>FGH!C59</f>
        <v>187</v>
      </c>
      <c r="B216" s="399" t="str">
        <f>FGH!E59</f>
        <v>Outside Construction</v>
      </c>
      <c r="C216" s="399">
        <f>FGH!N59</f>
        <v>0</v>
      </c>
      <c r="D216" s="399" t="str">
        <f>FGH!O59</f>
        <v>each</v>
      </c>
      <c r="E216" s="399">
        <f>FGH!Q59</f>
        <v>0</v>
      </c>
      <c r="F216" s="399">
        <f>FGH!T59</f>
        <v>0</v>
      </c>
      <c r="G216" s="408">
        <f>FGH!W59</f>
        <v>0</v>
      </c>
      <c r="H216" t="s">
        <v>839</v>
      </c>
    </row>
    <row r="217" spans="1:8" x14ac:dyDescent="0.2">
      <c r="A217" s="399">
        <f>FGH!C60</f>
        <v>188</v>
      </c>
      <c r="B217" s="399" t="str">
        <f>FGH!E60</f>
        <v>Car Prep</v>
      </c>
      <c r="C217" s="399">
        <f>FGH!N60</f>
        <v>0</v>
      </c>
      <c r="D217" s="399" t="str">
        <f>FGH!O60</f>
        <v>each</v>
      </c>
      <c r="E217" s="399">
        <f>FGH!Q60</f>
        <v>0</v>
      </c>
      <c r="F217" s="399">
        <f>FGH!T60</f>
        <v>0</v>
      </c>
      <c r="G217" s="408">
        <f>FGH!W60</f>
        <v>0</v>
      </c>
      <c r="H217" t="s">
        <v>839</v>
      </c>
    </row>
    <row r="218" spans="1:8" x14ac:dyDescent="0.2">
      <c r="A218" s="399">
        <f>FGH!C61</f>
        <v>189</v>
      </c>
      <c r="B218" s="399" t="str">
        <f>FGH!E61</f>
        <v>Art Dept Meals</v>
      </c>
      <c r="C218" s="399">
        <f>FGH!N61</f>
        <v>0</v>
      </c>
      <c r="D218" s="399" t="str">
        <f>FGH!O61</f>
        <v>each</v>
      </c>
      <c r="E218" s="399">
        <f>FGH!Q61</f>
        <v>0</v>
      </c>
      <c r="F218" s="399">
        <f>FGH!T61</f>
        <v>0</v>
      </c>
      <c r="G218" s="408">
        <f>FGH!W61</f>
        <v>0</v>
      </c>
      <c r="H218" t="s">
        <v>839</v>
      </c>
    </row>
    <row r="219" spans="1:8" x14ac:dyDescent="0.2">
      <c r="A219" s="399">
        <f>FGH!C62</f>
        <v>190</v>
      </c>
      <c r="B219" s="399" t="str">
        <f>FGH!E62</f>
        <v>Messengers/Deliveries</v>
      </c>
      <c r="C219" s="399">
        <f>FGH!N62</f>
        <v>0</v>
      </c>
      <c r="D219" s="399" t="str">
        <f>FGH!O62</f>
        <v>each</v>
      </c>
      <c r="E219" s="399">
        <f>FGH!Q62</f>
        <v>0</v>
      </c>
      <c r="F219" s="399">
        <f>FGH!T62</f>
        <v>0</v>
      </c>
      <c r="G219" s="408">
        <f>FGH!W62</f>
        <v>0</v>
      </c>
      <c r="H219" t="s">
        <v>839</v>
      </c>
    </row>
    <row r="220" spans="1:8" x14ac:dyDescent="0.2">
      <c r="A220" s="399">
        <f>FGH!C63</f>
        <v>191</v>
      </c>
      <c r="B220" s="399">
        <f>FGH!E63</f>
        <v>0</v>
      </c>
      <c r="C220" s="399">
        <f>FGH!N63</f>
        <v>0</v>
      </c>
      <c r="D220" s="399" t="str">
        <f>FGH!O63</f>
        <v>each</v>
      </c>
      <c r="E220" s="399">
        <f>FGH!Q63</f>
        <v>0</v>
      </c>
      <c r="F220" s="399">
        <f>FGH!T63</f>
        <v>0</v>
      </c>
      <c r="G220" s="408">
        <f>FGH!W63</f>
        <v>0</v>
      </c>
      <c r="H220" t="s">
        <v>839</v>
      </c>
    </row>
    <row r="221" spans="1:8" x14ac:dyDescent="0.2">
      <c r="A221" s="399">
        <f>FGH!C64</f>
        <v>192</v>
      </c>
      <c r="B221" s="399">
        <f>FGH!E64</f>
        <v>0</v>
      </c>
      <c r="C221" s="399">
        <f>FGH!N64</f>
        <v>0</v>
      </c>
      <c r="D221" s="399" t="str">
        <f>FGH!O64</f>
        <v>each</v>
      </c>
      <c r="E221" s="399">
        <f>FGH!Q64</f>
        <v>0</v>
      </c>
      <c r="F221" s="399">
        <f>FGH!T64</f>
        <v>0</v>
      </c>
      <c r="G221" s="408">
        <f>FGH!W64</f>
        <v>0</v>
      </c>
      <c r="H221" t="s">
        <v>839</v>
      </c>
    </row>
    <row r="222" spans="1:8" x14ac:dyDescent="0.2">
      <c r="A222" s="399"/>
      <c r="B222" s="399"/>
      <c r="C222" s="399"/>
      <c r="E222" s="399"/>
      <c r="F222" s="399" t="str">
        <f>FGH!O65</f>
        <v>Total H</v>
      </c>
      <c r="G222" s="408">
        <f>FGH!W65</f>
        <v>0</v>
      </c>
      <c r="H222" t="s">
        <v>839</v>
      </c>
    </row>
    <row r="223" spans="1:8" x14ac:dyDescent="0.2">
      <c r="A223" s="399"/>
      <c r="B223" s="399"/>
      <c r="C223" s="399"/>
      <c r="D223" s="399"/>
      <c r="E223" s="399"/>
      <c r="F223" s="399"/>
    </row>
    <row r="224" spans="1:8" x14ac:dyDescent="0.2">
      <c r="A224" t="s">
        <v>821</v>
      </c>
      <c r="B224" t="s">
        <v>822</v>
      </c>
      <c r="C224" t="s">
        <v>376</v>
      </c>
      <c r="D224" t="s">
        <v>823</v>
      </c>
      <c r="E224" t="s">
        <v>220</v>
      </c>
      <c r="F224" t="s">
        <v>400</v>
      </c>
      <c r="G224" s="408" t="s">
        <v>370</v>
      </c>
    </row>
    <row r="225" spans="1:8" x14ac:dyDescent="0.2">
      <c r="A225" s="399">
        <f>IJKL!C10</f>
        <v>193</v>
      </c>
      <c r="B225" s="399" t="str">
        <f>IJKL!E10</f>
        <v>Camera Rental</v>
      </c>
      <c r="C225" s="399">
        <f>IJKL!N10</f>
        <v>0</v>
      </c>
      <c r="D225" s="399" t="str">
        <f>IJKL!O10</f>
        <v>days</v>
      </c>
      <c r="E225" s="399">
        <f>IJKL!Q10</f>
        <v>222</v>
      </c>
      <c r="F225" s="399">
        <f>IJKL!T10</f>
        <v>0</v>
      </c>
      <c r="G225" s="408">
        <f>IJKL!W10</f>
        <v>0</v>
      </c>
      <c r="H225" t="s">
        <v>840</v>
      </c>
    </row>
    <row r="226" spans="1:8" x14ac:dyDescent="0.2">
      <c r="A226" s="399">
        <f>IJKL!C11</f>
        <v>194</v>
      </c>
      <c r="B226" s="399" t="str">
        <f>IJKL!E11</f>
        <v>Sound Rental</v>
      </c>
      <c r="C226" s="399">
        <f>IJKL!N11</f>
        <v>0</v>
      </c>
      <c r="D226" s="399" t="str">
        <f>IJKL!O11</f>
        <v>days</v>
      </c>
      <c r="E226" s="399">
        <f>IJKL!Q11</f>
        <v>0</v>
      </c>
      <c r="F226" s="399">
        <f>IJKL!T11</f>
        <v>0</v>
      </c>
      <c r="G226" s="408">
        <f>IJKL!W11</f>
        <v>0</v>
      </c>
      <c r="H226" t="s">
        <v>840</v>
      </c>
    </row>
    <row r="227" spans="1:8" x14ac:dyDescent="0.2">
      <c r="A227" s="399">
        <f>IJKL!C12</f>
        <v>195</v>
      </c>
      <c r="B227" s="399" t="str">
        <f>IJKL!E12</f>
        <v>Lighting Rental</v>
      </c>
      <c r="C227" s="399">
        <f>IJKL!N12</f>
        <v>0</v>
      </c>
      <c r="D227" s="399" t="str">
        <f>IJKL!O12</f>
        <v>days</v>
      </c>
      <c r="E227" s="399">
        <f>IJKL!Q12</f>
        <v>0</v>
      </c>
      <c r="F227" s="399">
        <f>IJKL!T12</f>
        <v>0</v>
      </c>
      <c r="G227" s="408">
        <f>IJKL!W12</f>
        <v>0</v>
      </c>
      <c r="H227" t="s">
        <v>840</v>
      </c>
    </row>
    <row r="228" spans="1:8" x14ac:dyDescent="0.2">
      <c r="A228" s="399">
        <f>IJKL!C13</f>
        <v>196</v>
      </c>
      <c r="B228" s="399" t="str">
        <f>IJKL!E13</f>
        <v>Grip Rental</v>
      </c>
      <c r="C228" s="399">
        <f>IJKL!N13</f>
        <v>0</v>
      </c>
      <c r="D228" s="399" t="str">
        <f>IJKL!O13</f>
        <v>days</v>
      </c>
      <c r="E228" s="399">
        <f>IJKL!Q13</f>
        <v>0</v>
      </c>
      <c r="F228" s="399">
        <f>IJKL!T13</f>
        <v>0</v>
      </c>
      <c r="G228" s="408">
        <f>IJKL!W13</f>
        <v>0</v>
      </c>
      <c r="H228" t="s">
        <v>840</v>
      </c>
    </row>
    <row r="229" spans="1:8" x14ac:dyDescent="0.2">
      <c r="A229" s="399">
        <f>IJKL!C14</f>
        <v>197</v>
      </c>
      <c r="B229" s="399" t="str">
        <f>IJKL!E14</f>
        <v>Generator Rental</v>
      </c>
      <c r="C229" s="399">
        <f>IJKL!N14</f>
        <v>0</v>
      </c>
      <c r="D229" s="399" t="str">
        <f>IJKL!O14</f>
        <v>days</v>
      </c>
      <c r="E229" s="399">
        <f>IJKL!Q14</f>
        <v>0</v>
      </c>
      <c r="F229" s="399">
        <f>IJKL!T14</f>
        <v>0</v>
      </c>
      <c r="G229" s="408">
        <f>IJKL!W14</f>
        <v>0</v>
      </c>
      <c r="H229" t="s">
        <v>840</v>
      </c>
    </row>
    <row r="230" spans="1:8" x14ac:dyDescent="0.2">
      <c r="A230" s="399">
        <f>IJKL!C15</f>
        <v>198</v>
      </c>
      <c r="B230" s="399" t="str">
        <f>IJKL!E15</f>
        <v>Crane Rental</v>
      </c>
      <c r="C230" s="399">
        <f>IJKL!N15</f>
        <v>0</v>
      </c>
      <c r="D230" s="399" t="str">
        <f>IJKL!O15</f>
        <v>days</v>
      </c>
      <c r="E230" s="399">
        <f>IJKL!Q15</f>
        <v>0</v>
      </c>
      <c r="F230" s="399">
        <f>IJKL!T15</f>
        <v>0</v>
      </c>
      <c r="G230" s="408">
        <f>IJKL!W15</f>
        <v>0</v>
      </c>
      <c r="H230" t="s">
        <v>840</v>
      </c>
    </row>
    <row r="231" spans="1:8" x14ac:dyDescent="0.2">
      <c r="A231" s="399">
        <f>IJKL!C16</f>
        <v>199</v>
      </c>
      <c r="B231" s="399" t="str">
        <f>IJKL!E16</f>
        <v>VTR Rental</v>
      </c>
      <c r="C231" s="399">
        <f>IJKL!N16</f>
        <v>0</v>
      </c>
      <c r="D231" s="399" t="str">
        <f>IJKL!O16</f>
        <v>days</v>
      </c>
      <c r="E231" s="399">
        <f>IJKL!Q16</f>
        <v>0</v>
      </c>
      <c r="F231" s="399">
        <f>IJKL!T16</f>
        <v>0</v>
      </c>
      <c r="G231" s="408">
        <f>IJKL!W16</f>
        <v>0</v>
      </c>
      <c r="H231" t="s">
        <v>840</v>
      </c>
    </row>
    <row r="232" spans="1:8" x14ac:dyDescent="0.2">
      <c r="A232" s="399">
        <f>IJKL!C17</f>
        <v>200</v>
      </c>
      <c r="B232" s="399" t="str">
        <f>IJKL!E17</f>
        <v>Walkie Talkie Rental</v>
      </c>
      <c r="C232" s="399">
        <f>IJKL!N17</f>
        <v>0</v>
      </c>
      <c r="D232" s="399" t="str">
        <f>IJKL!O17</f>
        <v>days</v>
      </c>
      <c r="E232" s="399">
        <f>IJKL!Q17</f>
        <v>0</v>
      </c>
      <c r="F232" s="399">
        <f>IJKL!T17</f>
        <v>0</v>
      </c>
      <c r="G232" s="408">
        <f>IJKL!W17</f>
        <v>0</v>
      </c>
      <c r="H232" t="s">
        <v>840</v>
      </c>
    </row>
    <row r="233" spans="1:8" x14ac:dyDescent="0.2">
      <c r="A233" s="399">
        <f>IJKL!C18</f>
        <v>201</v>
      </c>
      <c r="B233" s="399" t="str">
        <f>IJKL!E18</f>
        <v>Dolly Rental</v>
      </c>
      <c r="C233" s="399">
        <f>IJKL!N18</f>
        <v>0</v>
      </c>
      <c r="D233" s="399" t="str">
        <f>IJKL!O18</f>
        <v>days</v>
      </c>
      <c r="E233" s="399">
        <f>IJKL!Q18</f>
        <v>0</v>
      </c>
      <c r="F233" s="399">
        <f>IJKL!T18</f>
        <v>0</v>
      </c>
      <c r="G233" s="408">
        <f>IJKL!W18</f>
        <v>0</v>
      </c>
      <c r="H233" t="s">
        <v>840</v>
      </c>
    </row>
    <row r="234" spans="1:8" x14ac:dyDescent="0.2">
      <c r="A234" s="399">
        <f>IJKL!C19</f>
        <v>202</v>
      </c>
      <c r="B234" s="399" t="str">
        <f>IJKL!E19</f>
        <v>SteadiCam</v>
      </c>
      <c r="C234" s="399">
        <f>IJKL!N19</f>
        <v>0</v>
      </c>
      <c r="D234" s="399" t="str">
        <f>IJKL!O19</f>
        <v>days</v>
      </c>
      <c r="E234" s="399">
        <f>IJKL!Q19</f>
        <v>0</v>
      </c>
      <c r="F234" s="399">
        <f>IJKL!T19</f>
        <v>0</v>
      </c>
      <c r="G234" s="408">
        <f>IJKL!W19</f>
        <v>0</v>
      </c>
      <c r="H234" t="s">
        <v>840</v>
      </c>
    </row>
    <row r="235" spans="1:8" x14ac:dyDescent="0.2">
      <c r="A235" s="399">
        <f>IJKL!C20</f>
        <v>203</v>
      </c>
      <c r="B235" s="399" t="str">
        <f>IJKL!E20</f>
        <v>Helicopter</v>
      </c>
      <c r="C235" s="399">
        <f>IJKL!N20</f>
        <v>0</v>
      </c>
      <c r="D235" s="399" t="str">
        <f>IJKL!O20</f>
        <v>days</v>
      </c>
      <c r="E235" s="399">
        <f>IJKL!Q20</f>
        <v>0</v>
      </c>
      <c r="F235" s="399">
        <f>IJKL!T20</f>
        <v>0</v>
      </c>
      <c r="G235" s="408">
        <f>IJKL!W20</f>
        <v>0</v>
      </c>
      <c r="H235" t="s">
        <v>840</v>
      </c>
    </row>
    <row r="236" spans="1:8" x14ac:dyDescent="0.2">
      <c r="A236" s="399">
        <f>IJKL!C21</f>
        <v>204</v>
      </c>
      <c r="B236" s="399" t="str">
        <f>IJKL!E21</f>
        <v>Production Supplies</v>
      </c>
      <c r="C236" s="399">
        <f>IJKL!N21</f>
        <v>0</v>
      </c>
      <c r="D236" s="399" t="str">
        <f>IJKL!O21</f>
        <v>days</v>
      </c>
      <c r="E236" s="399">
        <f>IJKL!Q21</f>
        <v>0</v>
      </c>
      <c r="F236" s="399">
        <f>IJKL!T21</f>
        <v>0</v>
      </c>
      <c r="G236" s="408">
        <f>IJKL!W21</f>
        <v>0</v>
      </c>
      <c r="H236" t="s">
        <v>840</v>
      </c>
    </row>
    <row r="237" spans="1:8" x14ac:dyDescent="0.2">
      <c r="A237" s="399">
        <f>IJKL!C22</f>
        <v>205</v>
      </c>
      <c r="B237" s="399" t="str">
        <f>IJKL!E22</f>
        <v>Jib Arm</v>
      </c>
      <c r="C237" s="399">
        <f>IJKL!N22</f>
        <v>0</v>
      </c>
      <c r="D237" s="399" t="str">
        <f>IJKL!O22</f>
        <v>days</v>
      </c>
      <c r="E237" s="399">
        <f>IJKL!Q22</f>
        <v>0</v>
      </c>
      <c r="F237" s="399">
        <f>IJKL!T22</f>
        <v>0</v>
      </c>
      <c r="G237" s="408">
        <f>IJKL!W22</f>
        <v>0</v>
      </c>
      <c r="H237" t="s">
        <v>840</v>
      </c>
    </row>
    <row r="238" spans="1:8" x14ac:dyDescent="0.2">
      <c r="A238" s="399">
        <f>IJKL!C23</f>
        <v>206</v>
      </c>
      <c r="B238" s="399" t="str">
        <f>IJKL!E23</f>
        <v>Crane Head</v>
      </c>
      <c r="C238" s="399">
        <f>IJKL!N23</f>
        <v>0</v>
      </c>
      <c r="D238" s="399" t="str">
        <f>IJKL!O23</f>
        <v>days</v>
      </c>
      <c r="E238" s="399">
        <f>IJKL!Q23</f>
        <v>0</v>
      </c>
      <c r="F238" s="399">
        <f>IJKL!T23</f>
        <v>0</v>
      </c>
      <c r="G238" s="408">
        <f>IJKL!W23</f>
        <v>0</v>
      </c>
      <c r="H238" t="s">
        <v>840</v>
      </c>
    </row>
    <row r="239" spans="1:8" x14ac:dyDescent="0.2">
      <c r="A239" s="399">
        <f>IJKL!C24</f>
        <v>207</v>
      </c>
      <c r="B239" s="399" t="str">
        <f>IJKL!E24</f>
        <v>Camera Car</v>
      </c>
      <c r="C239" s="399">
        <f>IJKL!N24</f>
        <v>0</v>
      </c>
      <c r="D239" s="399" t="str">
        <f>IJKL!O24</f>
        <v>days</v>
      </c>
      <c r="E239" s="399">
        <f>IJKL!Q24</f>
        <v>0</v>
      </c>
      <c r="F239" s="399">
        <f>IJKL!T24</f>
        <v>0</v>
      </c>
      <c r="G239" s="408">
        <f>IJKL!W24</f>
        <v>0</v>
      </c>
      <c r="H239" t="s">
        <v>840</v>
      </c>
    </row>
    <row r="240" spans="1:8" x14ac:dyDescent="0.2">
      <c r="A240" s="399">
        <f>IJKL!C25</f>
        <v>208</v>
      </c>
      <c r="B240" s="399" t="str">
        <f>IJKL!E25</f>
        <v>Expendables</v>
      </c>
      <c r="C240" s="399">
        <f>IJKL!N25</f>
        <v>0</v>
      </c>
      <c r="D240" s="399" t="str">
        <f>IJKL!O25</f>
        <v>days</v>
      </c>
      <c r="E240" s="399">
        <f>IJKL!Q25</f>
        <v>0</v>
      </c>
      <c r="F240" s="399">
        <f>IJKL!T25</f>
        <v>0</v>
      </c>
      <c r="G240" s="408">
        <f>IJKL!W25</f>
        <v>0</v>
      </c>
      <c r="H240" t="s">
        <v>840</v>
      </c>
    </row>
    <row r="241" spans="1:8" x14ac:dyDescent="0.2">
      <c r="A241" s="399">
        <f>IJKL!C26</f>
        <v>209</v>
      </c>
      <c r="B241" s="399" t="str">
        <f>IJKL!E26</f>
        <v>Lenses</v>
      </c>
      <c r="C241" s="399">
        <f>IJKL!N26</f>
        <v>0</v>
      </c>
      <c r="D241" s="399" t="str">
        <f>IJKL!O26</f>
        <v>days</v>
      </c>
      <c r="E241" s="399">
        <f>IJKL!Q26</f>
        <v>0</v>
      </c>
      <c r="F241" s="399">
        <f>IJKL!T26</f>
        <v>0</v>
      </c>
      <c r="G241" s="408">
        <f>IJKL!W26</f>
        <v>0</v>
      </c>
      <c r="H241" t="s">
        <v>840</v>
      </c>
    </row>
    <row r="242" spans="1:8" x14ac:dyDescent="0.2">
      <c r="A242" s="399">
        <f>IJKL!C27</f>
        <v>210</v>
      </c>
      <c r="B242" s="399" t="str">
        <f>IJKL!E27</f>
        <v>Cinedrives</v>
      </c>
      <c r="C242" s="399">
        <f>IJKL!N27</f>
        <v>0</v>
      </c>
      <c r="D242" s="399" t="str">
        <f>IJKL!O27</f>
        <v>days</v>
      </c>
      <c r="E242" s="399">
        <f>IJKL!Q27</f>
        <v>0</v>
      </c>
      <c r="F242" s="399">
        <f>IJKL!T27</f>
        <v>0</v>
      </c>
      <c r="G242" s="408">
        <f>IJKL!W27</f>
        <v>0</v>
      </c>
      <c r="H242" t="s">
        <v>840</v>
      </c>
    </row>
    <row r="243" spans="1:8" x14ac:dyDescent="0.2">
      <c r="A243" s="399"/>
      <c r="B243" s="399"/>
      <c r="C243" s="399"/>
      <c r="E243" s="399"/>
      <c r="F243" s="399" t="str">
        <f>IJKL!O28</f>
        <v>Total I</v>
      </c>
      <c r="G243" s="408">
        <f>IJKL!W28</f>
        <v>0</v>
      </c>
      <c r="H243" t="s">
        <v>840</v>
      </c>
    </row>
    <row r="244" spans="1:8" x14ac:dyDescent="0.2">
      <c r="A244" s="399"/>
      <c r="B244" s="399"/>
      <c r="C244" s="399"/>
      <c r="D244" s="399"/>
      <c r="E244" s="399"/>
      <c r="F244" s="399"/>
    </row>
    <row r="245" spans="1:8" x14ac:dyDescent="0.2">
      <c r="A245" s="399"/>
      <c r="B245" s="399"/>
      <c r="C245" s="399"/>
      <c r="D245" s="399"/>
      <c r="E245" s="399"/>
      <c r="F245" s="399"/>
    </row>
    <row r="246" spans="1:8" x14ac:dyDescent="0.2">
      <c r="A246" t="s">
        <v>821</v>
      </c>
      <c r="B246" t="s">
        <v>822</v>
      </c>
      <c r="C246" t="s">
        <v>376</v>
      </c>
      <c r="D246" t="s">
        <v>823</v>
      </c>
      <c r="E246" t="s">
        <v>220</v>
      </c>
      <c r="F246" t="s">
        <v>400</v>
      </c>
      <c r="G246" s="408" t="s">
        <v>370</v>
      </c>
    </row>
    <row r="247" spans="1:8" x14ac:dyDescent="0.2">
      <c r="A247" s="399">
        <f>IJKL!C32</f>
        <v>211</v>
      </c>
      <c r="B247" s="399" t="str">
        <f>IJKL!E32</f>
        <v>Media / Drives</v>
      </c>
      <c r="C247" s="399">
        <f>IJKL!N32</f>
        <v>0</v>
      </c>
      <c r="D247" s="399" t="str">
        <f>IJKL!O32</f>
        <v>each</v>
      </c>
      <c r="E247" s="399">
        <f>IJKL!Q32</f>
        <v>0</v>
      </c>
      <c r="F247" s="399">
        <f>IJKL!T32</f>
        <v>0</v>
      </c>
      <c r="G247" s="408">
        <f>IJKL!W32</f>
        <v>0</v>
      </c>
      <c r="H247" t="s">
        <v>841</v>
      </c>
    </row>
    <row r="248" spans="1:8" x14ac:dyDescent="0.2">
      <c r="A248" s="399">
        <f>IJKL!C33</f>
        <v>212</v>
      </c>
      <c r="B248" s="399" t="str">
        <f>IJKL!E33</f>
        <v>Film</v>
      </c>
      <c r="C248" s="399">
        <f>IJKL!N33</f>
        <v>0</v>
      </c>
      <c r="D248" s="399" t="str">
        <f>IJKL!O33</f>
        <v>ft</v>
      </c>
      <c r="E248" s="399">
        <f>IJKL!Q33</f>
        <v>0</v>
      </c>
      <c r="F248" s="399">
        <f>IJKL!T33</f>
        <v>0</v>
      </c>
      <c r="G248" s="408">
        <f>IJKL!W33</f>
        <v>0</v>
      </c>
      <c r="H248" t="s">
        <v>841</v>
      </c>
    </row>
    <row r="249" spans="1:8" x14ac:dyDescent="0.2">
      <c r="A249" s="399">
        <f>IJKL!C34</f>
        <v>213</v>
      </c>
      <c r="B249" s="399" t="str">
        <f>IJKL!E34</f>
        <v>Transcode / Transfer</v>
      </c>
      <c r="C249" s="399">
        <f>IJKL!N34</f>
        <v>0</v>
      </c>
      <c r="D249" s="399" t="str">
        <f>IJKL!O34</f>
        <v>hrs</v>
      </c>
      <c r="E249" s="399">
        <f>IJKL!Q34</f>
        <v>0</v>
      </c>
      <c r="F249" s="399">
        <f>IJKL!T34</f>
        <v>0</v>
      </c>
      <c r="G249" s="408">
        <f>IJKL!W34</f>
        <v>0</v>
      </c>
      <c r="H249" t="s">
        <v>841</v>
      </c>
    </row>
    <row r="250" spans="1:8" x14ac:dyDescent="0.2">
      <c r="A250" s="399">
        <f>IJKL!C35</f>
        <v>214</v>
      </c>
      <c r="B250" s="399" t="str">
        <f>IJKL!E35</f>
        <v>Process</v>
      </c>
      <c r="C250" s="399">
        <f>IJKL!N35</f>
        <v>0</v>
      </c>
      <c r="D250" s="399" t="str">
        <f>IJKL!O35</f>
        <v>hrs</v>
      </c>
      <c r="E250" s="399">
        <f>IJKL!Q35</f>
        <v>444</v>
      </c>
      <c r="F250" s="399">
        <f>IJKL!T35</f>
        <v>0</v>
      </c>
      <c r="G250" s="408">
        <f>IJKL!W35</f>
        <v>0</v>
      </c>
      <c r="H250" t="s">
        <v>841</v>
      </c>
    </row>
    <row r="251" spans="1:8" x14ac:dyDescent="0.2">
      <c r="A251" s="399">
        <f>IJKL!C36</f>
        <v>215</v>
      </c>
      <c r="B251" s="399" t="str">
        <f>IJKL!E36</f>
        <v xml:space="preserve">Dailies </v>
      </c>
      <c r="C251" s="399">
        <f>IJKL!N36</f>
        <v>0</v>
      </c>
      <c r="D251" s="399" t="str">
        <f>IJKL!O36</f>
        <v>each</v>
      </c>
      <c r="E251" s="399">
        <f>IJKL!Q36</f>
        <v>0</v>
      </c>
      <c r="F251" s="399">
        <f>IJKL!T36</f>
        <v>0</v>
      </c>
      <c r="G251" s="408">
        <f>IJKL!W36</f>
        <v>0</v>
      </c>
      <c r="H251" t="s">
        <v>841</v>
      </c>
    </row>
    <row r="252" spans="1:8" x14ac:dyDescent="0.2">
      <c r="A252" s="399">
        <f>IJKL!C37</f>
        <v>216</v>
      </c>
      <c r="B252" s="399">
        <f>IJKL!E37</f>
        <v>0</v>
      </c>
      <c r="C252" s="399">
        <f>IJKL!N37</f>
        <v>0</v>
      </c>
      <c r="D252" s="399">
        <f>IJKL!O37</f>
        <v>0</v>
      </c>
      <c r="E252" s="399">
        <f>IJKL!Q37</f>
        <v>0</v>
      </c>
      <c r="F252" s="399">
        <f>IJKL!T37</f>
        <v>0</v>
      </c>
      <c r="G252" s="408">
        <f>IJKL!W37</f>
        <v>0</v>
      </c>
      <c r="H252" t="s">
        <v>841</v>
      </c>
    </row>
    <row r="253" spans="1:8" x14ac:dyDescent="0.2">
      <c r="A253" s="399"/>
      <c r="B253" s="399"/>
      <c r="C253" s="399"/>
      <c r="E253" s="399"/>
      <c r="F253" s="399" t="str">
        <f>IJKL!O38</f>
        <v>Total J</v>
      </c>
      <c r="G253" s="408">
        <f>IJKL!W38</f>
        <v>0</v>
      </c>
      <c r="H253" t="s">
        <v>841</v>
      </c>
    </row>
    <row r="254" spans="1:8" x14ac:dyDescent="0.2">
      <c r="A254" s="399"/>
      <c r="B254" s="399"/>
      <c r="C254" s="399"/>
      <c r="D254" s="399"/>
      <c r="E254" s="399"/>
      <c r="F254" s="399"/>
    </row>
    <row r="255" spans="1:8" x14ac:dyDescent="0.2">
      <c r="A255" s="399"/>
      <c r="B255" s="399"/>
      <c r="C255" s="399"/>
      <c r="D255" s="399"/>
      <c r="E255" s="399"/>
      <c r="F255" s="399"/>
    </row>
    <row r="256" spans="1:8" x14ac:dyDescent="0.2">
      <c r="A256" t="s">
        <v>821</v>
      </c>
      <c r="B256" t="s">
        <v>822</v>
      </c>
      <c r="C256" t="s">
        <v>376</v>
      </c>
      <c r="D256" t="s">
        <v>823</v>
      </c>
      <c r="E256" t="s">
        <v>220</v>
      </c>
      <c r="F256" t="s">
        <v>400</v>
      </c>
      <c r="G256" s="408" t="s">
        <v>370</v>
      </c>
    </row>
    <row r="257" spans="1:8" x14ac:dyDescent="0.2">
      <c r="A257" s="399">
        <f>IJKL!C42</f>
        <v>217</v>
      </c>
      <c r="B257" s="399" t="str">
        <f>IJKL!E42</f>
        <v xml:space="preserve">Petty Cash </v>
      </c>
      <c r="C257" s="399">
        <f>IJKL!N42</f>
        <v>0</v>
      </c>
      <c r="D257" s="399" t="str">
        <f>IJKL!O42</f>
        <v>each</v>
      </c>
      <c r="E257" s="399">
        <f>IJKL!Q42</f>
        <v>0</v>
      </c>
      <c r="F257" s="399">
        <f>IJKL!T42</f>
        <v>0</v>
      </c>
      <c r="G257" s="408">
        <f>IJKL!W42</f>
        <v>0</v>
      </c>
      <c r="H257" t="s">
        <v>842</v>
      </c>
    </row>
    <row r="258" spans="1:8" x14ac:dyDescent="0.2">
      <c r="A258" s="399">
        <f>IJKL!C43</f>
        <v>218</v>
      </c>
      <c r="B258" s="399" t="str">
        <f>IJKL!E43</f>
        <v>Air Shipping and Carriers</v>
      </c>
      <c r="C258" s="399">
        <f>IJKL!N43</f>
        <v>0</v>
      </c>
      <c r="D258" s="399" t="str">
        <f>IJKL!O43</f>
        <v>each</v>
      </c>
      <c r="E258" s="399">
        <f>IJKL!Q43</f>
        <v>333</v>
      </c>
      <c r="F258" s="399">
        <f>IJKL!T43</f>
        <v>0</v>
      </c>
      <c r="G258" s="408">
        <f>IJKL!W43</f>
        <v>0</v>
      </c>
      <c r="H258" t="s">
        <v>842</v>
      </c>
    </row>
    <row r="259" spans="1:8" x14ac:dyDescent="0.2">
      <c r="A259" s="399">
        <f>IJKL!C44</f>
        <v>219</v>
      </c>
      <c r="B259" s="399" t="str">
        <f>IJKL!E44</f>
        <v>Phones and Cables</v>
      </c>
      <c r="C259" s="399">
        <f>IJKL!N44</f>
        <v>0</v>
      </c>
      <c r="D259" s="399" t="str">
        <f>IJKL!O44</f>
        <v>each</v>
      </c>
      <c r="E259" s="399">
        <f>IJKL!Q44</f>
        <v>0</v>
      </c>
      <c r="F259" s="399">
        <f>IJKL!T44</f>
        <v>0</v>
      </c>
      <c r="G259" s="408">
        <f>IJKL!W44</f>
        <v>0</v>
      </c>
      <c r="H259" t="s">
        <v>842</v>
      </c>
    </row>
    <row r="260" spans="1:8" x14ac:dyDescent="0.2">
      <c r="A260" s="399">
        <f>IJKL!C45</f>
        <v>220</v>
      </c>
      <c r="B260" s="399" t="str">
        <f>IJKL!E45</f>
        <v>Cash Under $15 Each</v>
      </c>
      <c r="C260" s="399">
        <f>IJKL!N45</f>
        <v>0</v>
      </c>
      <c r="D260" s="399" t="str">
        <f>IJKL!O45</f>
        <v>each</v>
      </c>
      <c r="E260" s="399">
        <f>IJKL!Q45</f>
        <v>0</v>
      </c>
      <c r="F260" s="399">
        <f>IJKL!T45</f>
        <v>0</v>
      </c>
      <c r="G260" s="408">
        <f>IJKL!W45</f>
        <v>0</v>
      </c>
      <c r="H260" t="s">
        <v>842</v>
      </c>
    </row>
    <row r="261" spans="1:8" x14ac:dyDescent="0.2">
      <c r="A261" s="399">
        <f>IJKL!C46</f>
        <v>221</v>
      </c>
      <c r="B261" s="399" t="str">
        <f>IJKL!E46</f>
        <v xml:space="preserve">External Billing Costs                                               </v>
      </c>
      <c r="C261" s="399">
        <f>IJKL!N46</f>
        <v>0</v>
      </c>
      <c r="D261" s="399" t="str">
        <f>IJKL!O46</f>
        <v>each</v>
      </c>
      <c r="E261" s="399">
        <f>IJKL!Q46</f>
        <v>0</v>
      </c>
      <c r="F261" s="399">
        <f>IJKL!T46</f>
        <v>0</v>
      </c>
      <c r="G261" s="408">
        <f>IJKL!W46</f>
        <v>0</v>
      </c>
      <c r="H261" t="s">
        <v>842</v>
      </c>
    </row>
    <row r="262" spans="1:8" x14ac:dyDescent="0.2">
      <c r="A262" s="399">
        <f>IJKL!C47</f>
        <v>222</v>
      </c>
      <c r="B262" s="399" t="str">
        <f>IJKL!E47</f>
        <v>Special Insurance</v>
      </c>
      <c r="C262" s="399">
        <f>IJKL!N47</f>
        <v>0</v>
      </c>
      <c r="D262" s="399" t="str">
        <f>IJKL!O47</f>
        <v>each</v>
      </c>
      <c r="E262" s="399">
        <f>IJKL!Q47</f>
        <v>0</v>
      </c>
      <c r="F262" s="399">
        <f>IJKL!T47</f>
        <v>0</v>
      </c>
      <c r="G262" s="408">
        <f>IJKL!W47</f>
        <v>0</v>
      </c>
      <c r="H262" t="s">
        <v>842</v>
      </c>
    </row>
    <row r="263" spans="1:8" x14ac:dyDescent="0.2">
      <c r="A263" s="399">
        <f>IJKL!C48</f>
        <v>223</v>
      </c>
      <c r="B263" s="399" t="str">
        <f>IJKL!E48</f>
        <v>Cell Phones</v>
      </c>
      <c r="C263" s="399">
        <f>IJKL!N48</f>
        <v>0</v>
      </c>
      <c r="D263" s="399" t="str">
        <f>IJKL!O48</f>
        <v>each</v>
      </c>
      <c r="E263" s="399">
        <f>IJKL!Q48</f>
        <v>0</v>
      </c>
      <c r="F263" s="399">
        <f>IJKL!T48</f>
        <v>0</v>
      </c>
      <c r="G263" s="408">
        <f>IJKL!W48</f>
        <v>0</v>
      </c>
      <c r="H263" t="s">
        <v>842</v>
      </c>
    </row>
    <row r="264" spans="1:8" x14ac:dyDescent="0.2">
      <c r="A264" s="399">
        <f>IJKL!C49</f>
        <v>224</v>
      </c>
      <c r="B264" s="399" t="str">
        <f>IJKL!E49</f>
        <v>Foreign Production Service Co</v>
      </c>
      <c r="C264" s="399">
        <f>IJKL!N49</f>
        <v>0</v>
      </c>
      <c r="D264" s="399" t="str">
        <f>IJKL!O49</f>
        <v>each</v>
      </c>
      <c r="E264" s="399">
        <f>IJKL!Q49</f>
        <v>0</v>
      </c>
      <c r="F264" s="399">
        <f>IJKL!T49</f>
        <v>0</v>
      </c>
      <c r="G264" s="408">
        <f>IJKL!W49</f>
        <v>0</v>
      </c>
      <c r="H264" t="s">
        <v>842</v>
      </c>
    </row>
    <row r="265" spans="1:8" x14ac:dyDescent="0.2">
      <c r="A265" s="399">
        <f>IJKL!C50</f>
        <v>225</v>
      </c>
      <c r="B265" s="399">
        <f>IJKL!E50</f>
        <v>0</v>
      </c>
      <c r="C265" s="399">
        <f>IJKL!N50</f>
        <v>0</v>
      </c>
      <c r="D265" s="399">
        <f>IJKL!O50</f>
        <v>0</v>
      </c>
      <c r="E265" s="399">
        <f>IJKL!Q50</f>
        <v>0</v>
      </c>
      <c r="F265" s="399">
        <f>IJKL!T50</f>
        <v>0</v>
      </c>
      <c r="G265" s="408">
        <f>IJKL!W50</f>
        <v>0</v>
      </c>
      <c r="H265" t="s">
        <v>842</v>
      </c>
    </row>
    <row r="266" spans="1:8" x14ac:dyDescent="0.2">
      <c r="A266" s="399">
        <f>IJKL!C51</f>
        <v>226</v>
      </c>
      <c r="B266" s="399">
        <f>IJKL!E51</f>
        <v>0</v>
      </c>
      <c r="C266" s="399">
        <f>IJKL!N51</f>
        <v>0</v>
      </c>
      <c r="D266" s="399">
        <f>IJKL!O51</f>
        <v>0</v>
      </c>
      <c r="E266" s="399">
        <f>IJKL!Q51</f>
        <v>0</v>
      </c>
      <c r="F266" s="399">
        <f>IJKL!T51</f>
        <v>0</v>
      </c>
      <c r="G266" s="408">
        <f>IJKL!W51</f>
        <v>0</v>
      </c>
      <c r="H266" t="s">
        <v>842</v>
      </c>
    </row>
    <row r="267" spans="1:8" x14ac:dyDescent="0.2">
      <c r="A267" s="399"/>
      <c r="B267" s="399"/>
      <c r="C267" s="399"/>
      <c r="E267" s="399"/>
      <c r="F267" s="399" t="str">
        <f>IJKL!O52</f>
        <v>Total K</v>
      </c>
      <c r="G267" s="408">
        <f>IJKL!W52</f>
        <v>0</v>
      </c>
      <c r="H267" t="s">
        <v>842</v>
      </c>
    </row>
    <row r="268" spans="1:8" x14ac:dyDescent="0.2">
      <c r="A268" s="399"/>
      <c r="B268" s="399"/>
      <c r="C268" s="399"/>
      <c r="D268" s="399"/>
      <c r="E268" s="399"/>
      <c r="F268" s="399"/>
    </row>
    <row r="269" spans="1:8" x14ac:dyDescent="0.2">
      <c r="A269" s="399"/>
      <c r="B269" s="399"/>
      <c r="C269" s="399"/>
      <c r="D269" s="399"/>
      <c r="E269" s="399"/>
      <c r="F269" s="399"/>
    </row>
    <row r="270" spans="1:8" x14ac:dyDescent="0.2">
      <c r="A270" t="s">
        <v>821</v>
      </c>
      <c r="B270" t="s">
        <v>822</v>
      </c>
      <c r="C270" t="s">
        <v>376</v>
      </c>
      <c r="D270" t="s">
        <v>823</v>
      </c>
      <c r="E270" t="s">
        <v>220</v>
      </c>
      <c r="F270" t="s">
        <v>400</v>
      </c>
      <c r="G270" s="408" t="s">
        <v>370</v>
      </c>
    </row>
    <row r="271" spans="1:8" x14ac:dyDescent="0.2">
      <c r="A271" s="399">
        <f>IJKL!C56</f>
        <v>227</v>
      </c>
      <c r="B271" s="399" t="str">
        <f>IJKL!E56</f>
        <v>Director Prep</v>
      </c>
      <c r="C271" s="399">
        <f>IJKL!N56</f>
        <v>0</v>
      </c>
      <c r="D271" s="399" t="str">
        <f>IJKL!O56</f>
        <v>days</v>
      </c>
      <c r="E271" s="399">
        <f>IJKL!Q56</f>
        <v>11111</v>
      </c>
      <c r="F271" s="399">
        <f>IJKL!T56</f>
        <v>0</v>
      </c>
      <c r="G271" s="408">
        <f>IJKL!W56</f>
        <v>0</v>
      </c>
      <c r="H271" t="s">
        <v>84</v>
      </c>
    </row>
    <row r="272" spans="1:8" x14ac:dyDescent="0.2">
      <c r="A272" s="399">
        <f>IJKL!C57</f>
        <v>228</v>
      </c>
      <c r="B272" s="399" t="str">
        <f>IJKL!E57</f>
        <v>Director Travel</v>
      </c>
      <c r="C272" s="399">
        <f>IJKL!N57</f>
        <v>0</v>
      </c>
      <c r="D272" s="399" t="str">
        <f>IJKL!O57</f>
        <v>days</v>
      </c>
      <c r="E272" s="399">
        <f>IJKL!Q57</f>
        <v>0</v>
      </c>
      <c r="F272" s="399">
        <f>IJKL!T57</f>
        <v>0</v>
      </c>
      <c r="G272" s="408">
        <f>IJKL!W57</f>
        <v>0</v>
      </c>
      <c r="H272" t="s">
        <v>84</v>
      </c>
    </row>
    <row r="273" spans="1:8" x14ac:dyDescent="0.2">
      <c r="A273" s="399">
        <f>IJKL!C58</f>
        <v>229</v>
      </c>
      <c r="B273" s="399" t="str">
        <f>IJKL!E58</f>
        <v>Director Shoot</v>
      </c>
      <c r="C273" s="399">
        <f>IJKL!N58</f>
        <v>0</v>
      </c>
      <c r="D273" s="399" t="str">
        <f>IJKL!O58</f>
        <v>days</v>
      </c>
      <c r="E273" s="399">
        <f>IJKL!Q58</f>
        <v>0</v>
      </c>
      <c r="F273" s="399">
        <f>IJKL!T58</f>
        <v>0</v>
      </c>
      <c r="G273" s="408">
        <f>IJKL!W58</f>
        <v>0</v>
      </c>
      <c r="H273" t="s">
        <v>84</v>
      </c>
    </row>
    <row r="274" spans="1:8" x14ac:dyDescent="0.2">
      <c r="A274" s="399">
        <f>IJKL!C59</f>
        <v>230</v>
      </c>
      <c r="B274" s="399" t="str">
        <f>IJKL!E59</f>
        <v>Director Post</v>
      </c>
      <c r="C274" s="399">
        <f>IJKL!N59</f>
        <v>0</v>
      </c>
      <c r="D274" s="399" t="str">
        <f>IJKL!O59</f>
        <v>days</v>
      </c>
      <c r="E274" s="399">
        <f>IJKL!Q59</f>
        <v>0</v>
      </c>
      <c r="F274" s="399">
        <f>IJKL!T59</f>
        <v>0</v>
      </c>
      <c r="G274" s="408">
        <f>IJKL!W59</f>
        <v>0</v>
      </c>
      <c r="H274" t="s">
        <v>84</v>
      </c>
    </row>
    <row r="275" spans="1:8" x14ac:dyDescent="0.2">
      <c r="A275" s="399">
        <f>IJKL!C60</f>
        <v>231</v>
      </c>
      <c r="B275" s="399" t="str">
        <f>IJKL!E60</f>
        <v>Fringes</v>
      </c>
      <c r="C275" s="399">
        <f>IJKL!N60</f>
        <v>0</v>
      </c>
      <c r="D275" s="399" t="str">
        <f>IJKL!O60</f>
        <v>days</v>
      </c>
      <c r="E275" s="399">
        <f>IJKL!Q60</f>
        <v>12121</v>
      </c>
      <c r="F275" s="399">
        <f>IJKL!T60</f>
        <v>0</v>
      </c>
      <c r="G275" s="408">
        <f>IJKL!W60</f>
        <v>0</v>
      </c>
      <c r="H275" t="s">
        <v>84</v>
      </c>
    </row>
    <row r="276" spans="1:8" x14ac:dyDescent="0.2">
      <c r="A276" s="399">
        <f>IJKL!C61</f>
        <v>232</v>
      </c>
      <c r="B276" s="399">
        <f>IJKL!E61</f>
        <v>0</v>
      </c>
      <c r="C276" s="399">
        <f>IJKL!N61</f>
        <v>0</v>
      </c>
      <c r="D276" s="399">
        <f>IJKL!O61</f>
        <v>0</v>
      </c>
      <c r="E276" s="399">
        <f>IJKL!Q61</f>
        <v>0</v>
      </c>
      <c r="F276" s="399">
        <f>IJKL!T61</f>
        <v>0</v>
      </c>
      <c r="G276" s="408">
        <f>IJKL!W61</f>
        <v>0</v>
      </c>
      <c r="H276" t="s">
        <v>84</v>
      </c>
    </row>
    <row r="277" spans="1:8" x14ac:dyDescent="0.2">
      <c r="A277" s="399">
        <f>IJKL!C62</f>
        <v>233</v>
      </c>
      <c r="B277" s="399">
        <f>IJKL!E62</f>
        <v>0</v>
      </c>
      <c r="C277" s="399">
        <f>IJKL!N62</f>
        <v>0</v>
      </c>
      <c r="D277" s="399">
        <f>IJKL!O62</f>
        <v>0</v>
      </c>
      <c r="E277" s="399">
        <f>IJKL!Q62</f>
        <v>0</v>
      </c>
      <c r="F277" s="399">
        <f>IJKL!T62</f>
        <v>0</v>
      </c>
      <c r="G277" s="408">
        <f>IJKL!W62</f>
        <v>0</v>
      </c>
      <c r="H277" t="s">
        <v>84</v>
      </c>
    </row>
    <row r="278" spans="1:8" x14ac:dyDescent="0.2">
      <c r="A278" s="399"/>
      <c r="B278" s="399"/>
      <c r="C278" s="399"/>
      <c r="E278" s="399"/>
      <c r="F278" s="399" t="str">
        <f>IJKL!O63</f>
        <v>Total L</v>
      </c>
      <c r="G278" s="408">
        <f>IJKL!W63</f>
        <v>0</v>
      </c>
      <c r="H278" t="s">
        <v>84</v>
      </c>
    </row>
    <row r="279" spans="1:8" x14ac:dyDescent="0.2">
      <c r="A279" s="399"/>
      <c r="B279" s="399"/>
      <c r="C279" s="399"/>
      <c r="D279" s="399"/>
      <c r="E279" s="399"/>
      <c r="F279" s="399"/>
    </row>
    <row r="280" spans="1:8" x14ac:dyDescent="0.2">
      <c r="A280" t="s">
        <v>821</v>
      </c>
      <c r="B280" t="s">
        <v>822</v>
      </c>
      <c r="C280" t="s">
        <v>376</v>
      </c>
      <c r="D280" t="s">
        <v>823</v>
      </c>
      <c r="E280" t="s">
        <v>220</v>
      </c>
      <c r="F280" t="s">
        <v>400</v>
      </c>
      <c r="G280" s="408" t="s">
        <v>370</v>
      </c>
    </row>
    <row r="281" spans="1:8" x14ac:dyDescent="0.2">
      <c r="A281" s="399">
        <f>MN!C11</f>
        <v>234</v>
      </c>
      <c r="B281" s="399" t="str">
        <f>MN!E11</f>
        <v>O/C Principals</v>
      </c>
      <c r="C281" s="399">
        <f>MN!N11</f>
        <v>0</v>
      </c>
      <c r="D281" s="399" t="str">
        <f>MN!O11</f>
        <v>days</v>
      </c>
      <c r="E281" s="399">
        <f>MN!Q11</f>
        <v>1000</v>
      </c>
      <c r="F281" s="399">
        <f>MN!T11</f>
        <v>0</v>
      </c>
      <c r="G281" s="408">
        <f>MN!W11</f>
        <v>0</v>
      </c>
      <c r="H281" t="s">
        <v>380</v>
      </c>
    </row>
    <row r="282" spans="1:8" x14ac:dyDescent="0.2">
      <c r="A282" s="399">
        <f>MN!C12</f>
        <v>235</v>
      </c>
      <c r="B282" s="399" t="str">
        <f>MN!E12</f>
        <v xml:space="preserve">O/C Principals </v>
      </c>
      <c r="C282" s="399">
        <f>MN!N12</f>
        <v>0</v>
      </c>
      <c r="D282" s="399" t="str">
        <f>MN!O12</f>
        <v>days</v>
      </c>
      <c r="E282" s="399">
        <f>MN!Q12</f>
        <v>0</v>
      </c>
      <c r="F282" s="399">
        <f>MN!T12</f>
        <v>0</v>
      </c>
      <c r="G282" s="408">
        <f>MN!W12</f>
        <v>0</v>
      </c>
      <c r="H282" t="s">
        <v>380</v>
      </c>
    </row>
    <row r="283" spans="1:8" x14ac:dyDescent="0.2">
      <c r="A283" s="399">
        <f>MN!C13</f>
        <v>236</v>
      </c>
      <c r="B283" s="399" t="str">
        <f>MN!E13</f>
        <v>O/C Principals</v>
      </c>
      <c r="C283" s="399">
        <f>MN!N13</f>
        <v>0</v>
      </c>
      <c r="D283" s="399" t="str">
        <f>MN!O13</f>
        <v>days</v>
      </c>
      <c r="E283" s="399">
        <f>MN!Q13</f>
        <v>1000</v>
      </c>
      <c r="F283" s="399">
        <f>MN!T13</f>
        <v>0</v>
      </c>
      <c r="G283" s="408">
        <f>MN!W13</f>
        <v>0</v>
      </c>
      <c r="H283" t="s">
        <v>380</v>
      </c>
    </row>
    <row r="284" spans="1:8" x14ac:dyDescent="0.2">
      <c r="A284" s="399">
        <f>MN!C14</f>
        <v>237</v>
      </c>
      <c r="B284" s="399" t="str">
        <f>MN!E14</f>
        <v>O/C Principals</v>
      </c>
      <c r="C284" s="399">
        <f>MN!N14</f>
        <v>0</v>
      </c>
      <c r="D284" s="399" t="str">
        <f>MN!O14</f>
        <v>days</v>
      </c>
      <c r="E284" s="399">
        <f>MN!Q14</f>
        <v>0</v>
      </c>
      <c r="F284" s="399">
        <f>MN!T14</f>
        <v>0</v>
      </c>
      <c r="G284" s="408">
        <f>MN!W14</f>
        <v>0</v>
      </c>
      <c r="H284" t="s">
        <v>380</v>
      </c>
    </row>
    <row r="285" spans="1:8" x14ac:dyDescent="0.2">
      <c r="A285" s="399">
        <f>MN!C15</f>
        <v>238</v>
      </c>
      <c r="B285" s="399" t="str">
        <f>MN!E15</f>
        <v>O/C Principals</v>
      </c>
      <c r="C285" s="399">
        <f>MN!N15</f>
        <v>0</v>
      </c>
      <c r="D285" s="399" t="str">
        <f>MN!O15</f>
        <v>days</v>
      </c>
      <c r="E285" s="399">
        <f>MN!Q15</f>
        <v>0</v>
      </c>
      <c r="F285" s="399">
        <f>MN!T15</f>
        <v>0</v>
      </c>
      <c r="G285" s="408">
        <f>MN!W15</f>
        <v>0</v>
      </c>
      <c r="H285" t="s">
        <v>380</v>
      </c>
    </row>
    <row r="286" spans="1:8" x14ac:dyDescent="0.2">
      <c r="A286" s="399">
        <f>MN!C16</f>
        <v>239</v>
      </c>
      <c r="B286" s="399" t="str">
        <f>MN!E16</f>
        <v>O/C Principals</v>
      </c>
      <c r="C286" s="399">
        <f>MN!N16</f>
        <v>0</v>
      </c>
      <c r="D286" s="399" t="str">
        <f>MN!O16</f>
        <v>days</v>
      </c>
      <c r="E286" s="399">
        <f>MN!Q16</f>
        <v>0</v>
      </c>
      <c r="F286" s="399">
        <f>MN!T16</f>
        <v>0</v>
      </c>
      <c r="G286" s="408">
        <f>MN!W16</f>
        <v>0</v>
      </c>
      <c r="H286" t="s">
        <v>380</v>
      </c>
    </row>
    <row r="287" spans="1:8" x14ac:dyDescent="0.2">
      <c r="A287" s="399">
        <f>MN!C17</f>
        <v>240</v>
      </c>
      <c r="B287" s="399" t="str">
        <f>MN!E17</f>
        <v>O/C Principals</v>
      </c>
      <c r="C287" s="399">
        <f>MN!N17</f>
        <v>0</v>
      </c>
      <c r="D287" s="399" t="str">
        <f>MN!O17</f>
        <v>days</v>
      </c>
      <c r="E287" s="399">
        <f>MN!Q17</f>
        <v>0</v>
      </c>
      <c r="F287" s="399">
        <f>MN!T17</f>
        <v>0</v>
      </c>
      <c r="G287" s="408">
        <f>MN!W17</f>
        <v>0</v>
      </c>
      <c r="H287" t="s">
        <v>380</v>
      </c>
    </row>
    <row r="288" spans="1:8" x14ac:dyDescent="0.2">
      <c r="A288" s="399">
        <f>MN!C18</f>
        <v>241</v>
      </c>
      <c r="B288" s="399" t="str">
        <f>MN!E18</f>
        <v>O/C Principals</v>
      </c>
      <c r="C288" s="399">
        <f>MN!N18</f>
        <v>0</v>
      </c>
      <c r="D288" s="399" t="str">
        <f>MN!O18</f>
        <v>days</v>
      </c>
      <c r="E288" s="399">
        <f>MN!Q18</f>
        <v>0</v>
      </c>
      <c r="F288" s="399">
        <f>MN!T18</f>
        <v>0</v>
      </c>
      <c r="G288" s="408">
        <f>MN!W18</f>
        <v>0</v>
      </c>
      <c r="H288" t="s">
        <v>380</v>
      </c>
    </row>
    <row r="289" spans="1:8" x14ac:dyDescent="0.2">
      <c r="A289" s="399">
        <f>MN!C19</f>
        <v>242</v>
      </c>
      <c r="B289" s="399" t="str">
        <f>MN!E19</f>
        <v>O/C Principals</v>
      </c>
      <c r="C289" s="399">
        <f>MN!N19</f>
        <v>0</v>
      </c>
      <c r="D289" s="399" t="str">
        <f>MN!O19</f>
        <v>days</v>
      </c>
      <c r="E289" s="399">
        <f>MN!Q19</f>
        <v>0</v>
      </c>
      <c r="F289" s="399">
        <f>MN!T19</f>
        <v>0</v>
      </c>
      <c r="G289" s="408">
        <f>MN!W19</f>
        <v>0</v>
      </c>
      <c r="H289" t="s">
        <v>380</v>
      </c>
    </row>
    <row r="290" spans="1:8" x14ac:dyDescent="0.2">
      <c r="A290" s="399">
        <f>MN!C20</f>
        <v>243</v>
      </c>
      <c r="B290" s="399">
        <f>MN!E20</f>
        <v>0</v>
      </c>
      <c r="C290" s="399">
        <f>MN!N20</f>
        <v>0</v>
      </c>
      <c r="D290" s="399" t="str">
        <f>MN!O20</f>
        <v>days</v>
      </c>
      <c r="E290" s="399">
        <f>MN!Q20</f>
        <v>0</v>
      </c>
      <c r="F290" s="399">
        <f>MN!T20</f>
        <v>0</v>
      </c>
      <c r="G290" s="408">
        <f>MN!W20</f>
        <v>0</v>
      </c>
      <c r="H290" t="s">
        <v>380</v>
      </c>
    </row>
    <row r="291" spans="1:8" x14ac:dyDescent="0.2">
      <c r="A291" s="399">
        <f>MN!C21</f>
        <v>244</v>
      </c>
      <c r="B291" s="399" t="str">
        <f>MN!E21</f>
        <v>Office Extras</v>
      </c>
      <c r="C291" s="399">
        <f>MN!N21</f>
        <v>0</v>
      </c>
      <c r="D291" s="399" t="str">
        <f>MN!O21</f>
        <v>days</v>
      </c>
      <c r="E291" s="399">
        <f>MN!Q21</f>
        <v>0</v>
      </c>
      <c r="F291" s="399">
        <f>MN!T21</f>
        <v>0</v>
      </c>
      <c r="G291" s="408">
        <f>MN!W21</f>
        <v>0</v>
      </c>
      <c r="H291" t="s">
        <v>380</v>
      </c>
    </row>
    <row r="292" spans="1:8" x14ac:dyDescent="0.2">
      <c r="A292" s="399">
        <f>MN!C22</f>
        <v>245</v>
      </c>
      <c r="B292" s="399">
        <f>MN!E22</f>
        <v>0</v>
      </c>
      <c r="C292" s="399">
        <f>MN!N22</f>
        <v>0</v>
      </c>
      <c r="D292" s="399" t="str">
        <f>MN!O22</f>
        <v>days</v>
      </c>
      <c r="E292" s="399">
        <f>MN!Q22</f>
        <v>0</v>
      </c>
      <c r="F292" s="399">
        <f>MN!T22</f>
        <v>0</v>
      </c>
      <c r="G292" s="408">
        <f>MN!W22</f>
        <v>0</v>
      </c>
      <c r="H292" t="s">
        <v>380</v>
      </c>
    </row>
    <row r="293" spans="1:8" x14ac:dyDescent="0.2">
      <c r="A293" s="399">
        <f>MN!C23</f>
        <v>246</v>
      </c>
      <c r="B293" s="399" t="str">
        <f>MN!E23</f>
        <v>Crowd Extras</v>
      </c>
      <c r="C293" s="399">
        <f>MN!N23</f>
        <v>0</v>
      </c>
      <c r="D293" s="399" t="str">
        <f>MN!O23</f>
        <v>days</v>
      </c>
      <c r="E293" s="399">
        <f>MN!Q23</f>
        <v>0</v>
      </c>
      <c r="F293" s="399">
        <f>MN!T23</f>
        <v>0</v>
      </c>
      <c r="G293" s="408">
        <f>MN!W23</f>
        <v>0</v>
      </c>
      <c r="H293" t="s">
        <v>380</v>
      </c>
    </row>
    <row r="294" spans="1:8" x14ac:dyDescent="0.2">
      <c r="A294" s="399">
        <f>MN!C24</f>
        <v>247</v>
      </c>
      <c r="B294" s="399" t="str">
        <f>MN!E24</f>
        <v>General Extras</v>
      </c>
      <c r="C294" s="399">
        <f>MN!N24</f>
        <v>0</v>
      </c>
      <c r="D294" s="399" t="str">
        <f>MN!O24</f>
        <v>days</v>
      </c>
      <c r="E294" s="399">
        <f>MN!Q24</f>
        <v>0</v>
      </c>
      <c r="F294" s="399">
        <f>MN!T24</f>
        <v>0</v>
      </c>
      <c r="G294" s="408">
        <f>MN!W24</f>
        <v>0</v>
      </c>
      <c r="H294" t="s">
        <v>380</v>
      </c>
    </row>
    <row r="295" spans="1:8" x14ac:dyDescent="0.2">
      <c r="A295" s="399">
        <f>MN!C25</f>
        <v>248</v>
      </c>
      <c r="B295" s="399" t="str">
        <f>MN!E25</f>
        <v>General Extras</v>
      </c>
      <c r="C295" s="399">
        <f>MN!N25</f>
        <v>0</v>
      </c>
      <c r="D295" s="399" t="str">
        <f>MN!O25</f>
        <v>days</v>
      </c>
      <c r="E295" s="399">
        <f>MN!Q25</f>
        <v>0</v>
      </c>
      <c r="F295" s="399">
        <f>MN!T25</f>
        <v>0</v>
      </c>
      <c r="G295" s="408">
        <f>MN!W25</f>
        <v>0</v>
      </c>
      <c r="H295" t="s">
        <v>380</v>
      </c>
    </row>
    <row r="296" spans="1:8" x14ac:dyDescent="0.2">
      <c r="A296" s="399">
        <f>MN!C26</f>
        <v>249</v>
      </c>
      <c r="B296" s="399" t="str">
        <f>MN!E26</f>
        <v>General Extras</v>
      </c>
      <c r="C296" s="399">
        <f>MN!N26</f>
        <v>0</v>
      </c>
      <c r="D296" s="399" t="str">
        <f>MN!O26</f>
        <v>days</v>
      </c>
      <c r="E296" s="399">
        <f>MN!Q26</f>
        <v>0</v>
      </c>
      <c r="F296" s="399">
        <f>MN!T26</f>
        <v>0</v>
      </c>
      <c r="G296" s="408">
        <f>MN!W26</f>
        <v>0</v>
      </c>
      <c r="H296" t="s">
        <v>380</v>
      </c>
    </row>
    <row r="297" spans="1:8" x14ac:dyDescent="0.2">
      <c r="A297" s="399">
        <f>MN!C27</f>
        <v>250</v>
      </c>
      <c r="B297" s="399" t="str">
        <f>MN!E27</f>
        <v>General Extras</v>
      </c>
      <c r="C297" s="399">
        <f>MN!N27</f>
        <v>0</v>
      </c>
      <c r="D297" s="399" t="str">
        <f>MN!O27</f>
        <v>days</v>
      </c>
      <c r="E297" s="399">
        <f>MN!Q27</f>
        <v>0</v>
      </c>
      <c r="F297" s="399">
        <f>MN!T27</f>
        <v>0</v>
      </c>
      <c r="G297" s="408">
        <f>MN!W27</f>
        <v>0</v>
      </c>
      <c r="H297" t="s">
        <v>380</v>
      </c>
    </row>
    <row r="298" spans="1:8" x14ac:dyDescent="0.2">
      <c r="A298" s="399">
        <f>MN!C28</f>
        <v>251</v>
      </c>
      <c r="B298" s="399" t="str">
        <f>MN!E28</f>
        <v>General Extras</v>
      </c>
      <c r="C298" s="399">
        <f>MN!N28</f>
        <v>0</v>
      </c>
      <c r="D298" s="399" t="str">
        <f>MN!O28</f>
        <v>days</v>
      </c>
      <c r="E298" s="399">
        <f>MN!Q28</f>
        <v>0</v>
      </c>
      <c r="F298" s="399">
        <f>MN!T28</f>
        <v>0</v>
      </c>
      <c r="G298" s="408">
        <f>MN!W28</f>
        <v>0</v>
      </c>
      <c r="H298" t="s">
        <v>380</v>
      </c>
    </row>
    <row r="299" spans="1:8" x14ac:dyDescent="0.2">
      <c r="A299" s="399">
        <f>MN!C29</f>
        <v>252</v>
      </c>
      <c r="B299" s="399">
        <f>MN!E29</f>
        <v>0</v>
      </c>
      <c r="C299" s="399">
        <f>MN!N29</f>
        <v>0</v>
      </c>
      <c r="D299" s="399" t="str">
        <f>MN!O29</f>
        <v>days</v>
      </c>
      <c r="E299" s="399">
        <f>MN!Q29</f>
        <v>0</v>
      </c>
      <c r="F299" s="399">
        <f>MN!T29</f>
        <v>0</v>
      </c>
      <c r="G299" s="408">
        <f>MN!W29</f>
        <v>0</v>
      </c>
      <c r="H299" t="s">
        <v>380</v>
      </c>
    </row>
    <row r="300" spans="1:8" x14ac:dyDescent="0.2">
      <c r="A300" s="399">
        <f>MN!C30</f>
        <v>253</v>
      </c>
      <c r="B300" s="399">
        <f>MN!E30</f>
        <v>0</v>
      </c>
      <c r="C300" s="399">
        <f>MN!N30</f>
        <v>0</v>
      </c>
      <c r="D300" s="399" t="str">
        <f>MN!O30</f>
        <v>days</v>
      </c>
      <c r="E300" s="399">
        <f>MN!Q30</f>
        <v>0</v>
      </c>
      <c r="F300" s="399">
        <f>MN!T30</f>
        <v>0</v>
      </c>
      <c r="G300" s="408">
        <f>MN!W30</f>
        <v>0</v>
      </c>
      <c r="H300" t="s">
        <v>380</v>
      </c>
    </row>
    <row r="301" spans="1:8" x14ac:dyDescent="0.2">
      <c r="A301" s="399">
        <f>MN!C31</f>
        <v>254</v>
      </c>
      <c r="B301" s="399">
        <f>MN!E31</f>
        <v>0</v>
      </c>
      <c r="C301" s="399">
        <f>MN!N31</f>
        <v>0</v>
      </c>
      <c r="D301" s="399" t="str">
        <f>MN!O31</f>
        <v>days</v>
      </c>
      <c r="E301" s="399">
        <f>MN!Q31</f>
        <v>0</v>
      </c>
      <c r="F301" s="399">
        <f>MN!T31</f>
        <v>0</v>
      </c>
      <c r="G301" s="408">
        <f>MN!W31</f>
        <v>0</v>
      </c>
      <c r="H301" t="s">
        <v>380</v>
      </c>
    </row>
    <row r="302" spans="1:8" x14ac:dyDescent="0.2">
      <c r="A302" s="399">
        <f>MN!C32</f>
        <v>255</v>
      </c>
      <c r="B302" s="399" t="str">
        <f>MN!E32</f>
        <v>Hand Models</v>
      </c>
      <c r="C302" s="399">
        <f>MN!N32</f>
        <v>0</v>
      </c>
      <c r="D302" s="399" t="str">
        <f>MN!O32</f>
        <v>days</v>
      </c>
      <c r="E302" s="399">
        <f>MN!Q32</f>
        <v>0</v>
      </c>
      <c r="F302" s="399">
        <f>MN!T32</f>
        <v>0</v>
      </c>
      <c r="G302" s="408">
        <f>MN!W32</f>
        <v>0</v>
      </c>
      <c r="H302" t="s">
        <v>380</v>
      </c>
    </row>
    <row r="303" spans="1:8" x14ac:dyDescent="0.2">
      <c r="A303" s="399">
        <f>MN!C33</f>
        <v>256</v>
      </c>
      <c r="B303" s="399">
        <f>MN!E33</f>
        <v>0</v>
      </c>
      <c r="C303" s="399">
        <f>MN!N33</f>
        <v>0</v>
      </c>
      <c r="D303" s="399" t="str">
        <f>MN!O33</f>
        <v>days</v>
      </c>
      <c r="E303" s="399">
        <f>MN!Q33</f>
        <v>0</v>
      </c>
      <c r="F303" s="399">
        <f>MN!T33</f>
        <v>0</v>
      </c>
      <c r="G303" s="408">
        <f>MN!W33</f>
        <v>0</v>
      </c>
      <c r="H303" t="s">
        <v>380</v>
      </c>
    </row>
    <row r="304" spans="1:8" x14ac:dyDescent="0.2">
      <c r="A304" s="399">
        <f>MN!C34</f>
        <v>257</v>
      </c>
      <c r="B304" s="399">
        <f>MN!E34</f>
        <v>0</v>
      </c>
      <c r="C304" s="399">
        <f>MN!N34</f>
        <v>0</v>
      </c>
      <c r="D304" s="399" t="str">
        <f>MN!O34</f>
        <v>days</v>
      </c>
      <c r="E304" s="399">
        <f>MN!Q34</f>
        <v>0</v>
      </c>
      <c r="F304" s="399">
        <f>MN!T34</f>
        <v>0</v>
      </c>
      <c r="G304" s="408">
        <f>MN!W34</f>
        <v>0</v>
      </c>
      <c r="H304" t="s">
        <v>380</v>
      </c>
    </row>
    <row r="305" spans="1:8" x14ac:dyDescent="0.2">
      <c r="A305" s="399">
        <f>MN!C35</f>
        <v>258</v>
      </c>
      <c r="B305" s="399" t="str">
        <f>MN!E35</f>
        <v>Voice Over</v>
      </c>
      <c r="C305" s="399">
        <f>MN!N35</f>
        <v>0</v>
      </c>
      <c r="D305" s="399" t="str">
        <f>MN!O35</f>
        <v>days</v>
      </c>
      <c r="E305" s="399">
        <f>MN!Q35</f>
        <v>0</v>
      </c>
      <c r="F305" s="399">
        <f>MN!T35</f>
        <v>0</v>
      </c>
      <c r="G305" s="408">
        <f>MN!W35</f>
        <v>0</v>
      </c>
      <c r="H305" t="s">
        <v>380</v>
      </c>
    </row>
    <row r="306" spans="1:8" x14ac:dyDescent="0.2">
      <c r="A306" s="399">
        <f>MN!C36</f>
        <v>259</v>
      </c>
      <c r="B306" s="399" t="str">
        <f>MN!E36</f>
        <v>Fitting Fees</v>
      </c>
      <c r="C306" s="399">
        <f>MN!N36</f>
        <v>0</v>
      </c>
      <c r="D306" s="399" t="str">
        <f>MN!O36</f>
        <v>days</v>
      </c>
      <c r="E306" s="399">
        <f>MN!Q36</f>
        <v>0</v>
      </c>
      <c r="F306" s="399">
        <f>MN!T36</f>
        <v>0</v>
      </c>
      <c r="G306" s="408">
        <f>MN!W36</f>
        <v>0</v>
      </c>
      <c r="H306" t="s">
        <v>380</v>
      </c>
    </row>
    <row r="307" spans="1:8" x14ac:dyDescent="0.2">
      <c r="A307" s="399">
        <f>MN!C37</f>
        <v>260</v>
      </c>
      <c r="B307" s="399" t="str">
        <f>MN!E37</f>
        <v>Fitting Fees</v>
      </c>
      <c r="C307" s="399">
        <f>MN!N37</f>
        <v>0</v>
      </c>
      <c r="D307" s="399" t="str">
        <f>MN!O37</f>
        <v>days</v>
      </c>
      <c r="E307" s="399">
        <f>MN!Q37</f>
        <v>0</v>
      </c>
      <c r="F307" s="399">
        <f>MN!T37</f>
        <v>0</v>
      </c>
      <c r="G307" s="408">
        <f>MN!W37</f>
        <v>0</v>
      </c>
      <c r="H307" t="s">
        <v>380</v>
      </c>
    </row>
    <row r="308" spans="1:8" x14ac:dyDescent="0.2">
      <c r="A308" s="399">
        <f>MN!C38</f>
        <v>261</v>
      </c>
      <c r="B308" s="399">
        <f>MN!E38</f>
        <v>0</v>
      </c>
      <c r="C308" s="399">
        <f>MN!N38</f>
        <v>0</v>
      </c>
      <c r="D308" s="399" t="str">
        <f>MN!O38</f>
        <v>days</v>
      </c>
      <c r="E308" s="399">
        <f>MN!Q38</f>
        <v>0</v>
      </c>
      <c r="F308" s="399">
        <f>MN!T38</f>
        <v>0</v>
      </c>
      <c r="G308" s="408">
        <f>MN!W38</f>
        <v>0</v>
      </c>
      <c r="H308" t="s">
        <v>380</v>
      </c>
    </row>
    <row r="309" spans="1:8" x14ac:dyDescent="0.2">
      <c r="A309" s="399">
        <f>MN!C39</f>
        <v>262</v>
      </c>
      <c r="B309" s="399" t="str">
        <f>MN!E39</f>
        <v>Audition Fees</v>
      </c>
      <c r="C309" s="399">
        <f>MN!N39</f>
        <v>0</v>
      </c>
      <c r="D309" s="399" t="str">
        <f>MN!O39</f>
        <v>days</v>
      </c>
      <c r="E309" s="399">
        <f>MN!Q39</f>
        <v>0</v>
      </c>
      <c r="F309" s="399">
        <f>MN!T39</f>
        <v>0</v>
      </c>
      <c r="G309" s="408">
        <f>MN!W39</f>
        <v>0</v>
      </c>
      <c r="H309" t="s">
        <v>380</v>
      </c>
    </row>
    <row r="310" spans="1:8" x14ac:dyDescent="0.2">
      <c r="A310" s="399">
        <f>MN!C40</f>
        <v>263</v>
      </c>
      <c r="B310" s="399" t="str">
        <f>MN!E40</f>
        <v>Audition Fees</v>
      </c>
      <c r="C310" s="399">
        <f>MN!N40</f>
        <v>0</v>
      </c>
      <c r="D310" s="399" t="str">
        <f>MN!O40</f>
        <v>days</v>
      </c>
      <c r="E310" s="399">
        <f>MN!Q40</f>
        <v>0</v>
      </c>
      <c r="F310" s="399">
        <f>MN!T40</f>
        <v>0</v>
      </c>
      <c r="G310" s="408">
        <f>MN!W40</f>
        <v>0</v>
      </c>
      <c r="H310" t="s">
        <v>380</v>
      </c>
    </row>
    <row r="311" spans="1:8" x14ac:dyDescent="0.2">
      <c r="A311" s="399">
        <f>MN!C41</f>
        <v>264</v>
      </c>
      <c r="B311" s="399">
        <f>MN!E41</f>
        <v>0</v>
      </c>
      <c r="C311" s="399">
        <f>MN!N41</f>
        <v>0</v>
      </c>
      <c r="D311" s="399" t="str">
        <f>MN!O41</f>
        <v>days</v>
      </c>
      <c r="E311" s="399">
        <f>MN!Q41</f>
        <v>0</v>
      </c>
      <c r="F311" s="399">
        <f>MN!T41</f>
        <v>0</v>
      </c>
      <c r="G311" s="408">
        <f>MN!W41</f>
        <v>0</v>
      </c>
      <c r="H311" t="s">
        <v>380</v>
      </c>
    </row>
    <row r="312" spans="1:8" x14ac:dyDescent="0.2">
      <c r="A312" s="399">
        <f>MN!C42</f>
        <v>265</v>
      </c>
      <c r="B312" s="399">
        <f>MN!E42</f>
        <v>0</v>
      </c>
      <c r="C312" s="399">
        <f>MN!N42</f>
        <v>0</v>
      </c>
      <c r="D312" s="399" t="str">
        <f>MN!O42</f>
        <v>days</v>
      </c>
      <c r="E312" s="399">
        <f>MN!Q42</f>
        <v>0</v>
      </c>
      <c r="F312" s="399">
        <f>MN!T42</f>
        <v>0</v>
      </c>
      <c r="G312" s="408">
        <f>MN!W42</f>
        <v>0</v>
      </c>
      <c r="H312" t="s">
        <v>380</v>
      </c>
    </row>
    <row r="313" spans="1:8" x14ac:dyDescent="0.2">
      <c r="A313" s="399">
        <f>MN!C47</f>
        <v>266</v>
      </c>
      <c r="B313" s="399" t="str">
        <f>MN!E47</f>
        <v>Talent Agency Fees</v>
      </c>
      <c r="C313" s="399">
        <f>MN!N47</f>
        <v>0</v>
      </c>
      <c r="D313" s="399">
        <f>MN!O47</f>
        <v>0</v>
      </c>
      <c r="E313" s="399">
        <f>MN!Q47</f>
        <v>0</v>
      </c>
      <c r="F313" s="399">
        <f>MN!T47</f>
        <v>0</v>
      </c>
      <c r="G313" s="408">
        <f>MN!W47</f>
        <v>0</v>
      </c>
      <c r="H313" t="s">
        <v>380</v>
      </c>
    </row>
    <row r="314" spans="1:8" x14ac:dyDescent="0.2">
      <c r="A314" s="399">
        <f>MN!C48</f>
        <v>267</v>
      </c>
      <c r="B314" s="399" t="str">
        <f>MN!E48</f>
        <v>Talent Payroll Service</v>
      </c>
      <c r="C314" s="399">
        <f>MN!N48</f>
        <v>0</v>
      </c>
      <c r="D314" s="399">
        <f>MN!O48</f>
        <v>0</v>
      </c>
      <c r="E314" s="399">
        <f>MN!Q48</f>
        <v>0</v>
      </c>
      <c r="F314" s="399">
        <f>MN!T48</f>
        <v>0</v>
      </c>
      <c r="G314" s="408">
        <f>MN!W48</f>
        <v>0</v>
      </c>
      <c r="H314" t="s">
        <v>380</v>
      </c>
    </row>
    <row r="315" spans="1:8" x14ac:dyDescent="0.2">
      <c r="A315" s="399">
        <f>MN!C49</f>
        <v>268</v>
      </c>
      <c r="B315" s="399" t="str">
        <f>MN!E49</f>
        <v>Talent Wardrobe Allowance</v>
      </c>
      <c r="C315" s="399">
        <f>MN!N49</f>
        <v>0</v>
      </c>
      <c r="D315" s="399">
        <f>MN!O49</f>
        <v>0</v>
      </c>
      <c r="E315" s="399">
        <f>MN!Q49</f>
        <v>0</v>
      </c>
      <c r="F315" s="399">
        <f>MN!T49</f>
        <v>0</v>
      </c>
      <c r="G315" s="408">
        <f>MN!W49</f>
        <v>0</v>
      </c>
      <c r="H315" t="s">
        <v>380</v>
      </c>
    </row>
    <row r="316" spans="1:8" x14ac:dyDescent="0.2">
      <c r="A316" s="399">
        <f>MN!C50</f>
        <v>269</v>
      </c>
      <c r="B316" s="399">
        <f>MN!E50</f>
        <v>0</v>
      </c>
      <c r="C316" s="399">
        <f>MN!N50</f>
        <v>0</v>
      </c>
      <c r="D316" s="399">
        <f>MN!O50</f>
        <v>0</v>
      </c>
      <c r="E316" s="399">
        <f>MN!Q50</f>
        <v>0</v>
      </c>
      <c r="F316" s="399">
        <f>MN!T50</f>
        <v>0</v>
      </c>
      <c r="G316" s="408">
        <f>MN!W50</f>
        <v>0</v>
      </c>
      <c r="H316" t="s">
        <v>380</v>
      </c>
    </row>
    <row r="317" spans="1:8" x14ac:dyDescent="0.2">
      <c r="A317" s="399">
        <f>MN!C51</f>
        <v>270</v>
      </c>
      <c r="B317" s="399">
        <f>MN!E51</f>
        <v>0</v>
      </c>
      <c r="C317" s="399">
        <f>MN!N51</f>
        <v>0</v>
      </c>
      <c r="D317" s="399">
        <f>MN!O51</f>
        <v>0</v>
      </c>
      <c r="E317" s="399">
        <f>MN!Q51</f>
        <v>0</v>
      </c>
      <c r="F317" s="399">
        <f>MN!T51</f>
        <v>0</v>
      </c>
      <c r="G317" s="408">
        <f>MN!W51</f>
        <v>0</v>
      </c>
      <c r="H317" t="s">
        <v>380</v>
      </c>
    </row>
    <row r="318" spans="1:8" x14ac:dyDescent="0.2">
      <c r="A318" s="399"/>
      <c r="B318" s="399"/>
      <c r="C318" s="399"/>
      <c r="E318" s="399"/>
      <c r="F318" s="399" t="str">
        <f>MN!O44</f>
        <v>Fringes</v>
      </c>
      <c r="G318" s="408">
        <f>MN!W44</f>
        <v>0</v>
      </c>
      <c r="H318" t="s">
        <v>380</v>
      </c>
    </row>
    <row r="319" spans="1:8" x14ac:dyDescent="0.2">
      <c r="A319" s="399"/>
      <c r="B319" s="399"/>
      <c r="C319" s="399"/>
      <c r="E319" s="399"/>
      <c r="F319" s="399" t="str">
        <f>MN!O52</f>
        <v>Handling Fee M</v>
      </c>
      <c r="G319" s="408">
        <f>MN!W52</f>
        <v>0</v>
      </c>
      <c r="H319" t="s">
        <v>380</v>
      </c>
    </row>
    <row r="320" spans="1:8" x14ac:dyDescent="0.2">
      <c r="A320" s="399"/>
      <c r="B320" s="399"/>
      <c r="C320" s="399"/>
      <c r="E320" s="399"/>
      <c r="F320" s="399" t="str">
        <f>MN!O53</f>
        <v>Total M</v>
      </c>
      <c r="G320" s="408">
        <f>MN!W53</f>
        <v>0</v>
      </c>
      <c r="H320" t="s">
        <v>380</v>
      </c>
    </row>
    <row r="321" spans="1:8" x14ac:dyDescent="0.2">
      <c r="A321" s="399"/>
      <c r="B321" s="399"/>
      <c r="C321" s="399"/>
      <c r="D321" s="399"/>
      <c r="E321" s="399"/>
      <c r="F321" s="399"/>
    </row>
    <row r="322" spans="1:8" x14ac:dyDescent="0.2">
      <c r="A322" s="399"/>
      <c r="B322" s="399"/>
      <c r="C322" s="399"/>
      <c r="D322" s="399"/>
      <c r="E322" s="399"/>
      <c r="F322" s="399"/>
    </row>
    <row r="323" spans="1:8" x14ac:dyDescent="0.2">
      <c r="A323" t="s">
        <v>821</v>
      </c>
      <c r="B323" t="s">
        <v>822</v>
      </c>
      <c r="C323" t="s">
        <v>376</v>
      </c>
      <c r="D323" t="s">
        <v>823</v>
      </c>
      <c r="E323" t="s">
        <v>220</v>
      </c>
      <c r="F323" t="s">
        <v>400</v>
      </c>
      <c r="G323" s="408" t="s">
        <v>370</v>
      </c>
    </row>
    <row r="324" spans="1:8" x14ac:dyDescent="0.2">
      <c r="A324" s="399">
        <f>MN!C57</f>
        <v>271</v>
      </c>
      <c r="B324" s="399" t="str">
        <f>MN!E57</f>
        <v>Talent Air Fares</v>
      </c>
      <c r="C324" s="399">
        <f>MN!N57</f>
        <v>0</v>
      </c>
      <c r="D324" s="399" t="str">
        <f>MN!O57</f>
        <v>each</v>
      </c>
      <c r="E324" s="399">
        <f>MN!Q57</f>
        <v>1000</v>
      </c>
      <c r="F324" s="399">
        <f>MN!T57</f>
        <v>0</v>
      </c>
      <c r="G324" s="408">
        <f>MN!W57</f>
        <v>0</v>
      </c>
      <c r="H324" t="s">
        <v>381</v>
      </c>
    </row>
    <row r="325" spans="1:8" x14ac:dyDescent="0.2">
      <c r="A325" s="399">
        <f>MN!C58</f>
        <v>272</v>
      </c>
      <c r="B325" s="399" t="str">
        <f>MN!E58</f>
        <v>Talent Per Diem</v>
      </c>
      <c r="C325" s="399">
        <f>MN!N58</f>
        <v>0</v>
      </c>
      <c r="D325" s="399" t="str">
        <f>MN!O58</f>
        <v>each</v>
      </c>
      <c r="E325" s="399">
        <f>MN!Q58</f>
        <v>0</v>
      </c>
      <c r="F325" s="399">
        <f>MN!T58</f>
        <v>0</v>
      </c>
      <c r="G325" s="408">
        <f>MN!W58</f>
        <v>0</v>
      </c>
      <c r="H325" t="s">
        <v>381</v>
      </c>
    </row>
    <row r="326" spans="1:8" x14ac:dyDescent="0.2">
      <c r="A326" s="399">
        <f>MN!C59</f>
        <v>273</v>
      </c>
      <c r="B326" s="399" t="str">
        <f>MN!E59</f>
        <v>Talent Gd Transportation</v>
      </c>
      <c r="C326" s="399">
        <f>MN!N59</f>
        <v>0</v>
      </c>
      <c r="D326" s="399" t="str">
        <f>MN!O59</f>
        <v>each</v>
      </c>
      <c r="E326" s="399">
        <f>MN!Q59</f>
        <v>0</v>
      </c>
      <c r="F326" s="399">
        <f>MN!T59</f>
        <v>0</v>
      </c>
      <c r="G326" s="408">
        <f>MN!W59</f>
        <v>0</v>
      </c>
      <c r="H326" t="s">
        <v>381</v>
      </c>
    </row>
    <row r="327" spans="1:8" x14ac:dyDescent="0.2">
      <c r="A327" s="399">
        <f>MN!C60</f>
        <v>274</v>
      </c>
      <c r="B327" s="399">
        <f>MN!E60</f>
        <v>0</v>
      </c>
      <c r="C327" s="399">
        <f>MN!N60</f>
        <v>0</v>
      </c>
      <c r="D327" s="399" t="str">
        <f>MN!O60</f>
        <v>each</v>
      </c>
      <c r="E327" s="399">
        <f>MN!Q60</f>
        <v>0</v>
      </c>
      <c r="F327" s="399">
        <f>MN!T60</f>
        <v>0</v>
      </c>
      <c r="G327" s="408">
        <f>MN!W60</f>
        <v>0</v>
      </c>
      <c r="H327" t="s">
        <v>381</v>
      </c>
    </row>
    <row r="328" spans="1:8" x14ac:dyDescent="0.2">
      <c r="A328" s="399">
        <f>MN!C61</f>
        <v>275</v>
      </c>
      <c r="B328" s="399">
        <f>MN!E61</f>
        <v>0</v>
      </c>
      <c r="C328" s="399">
        <f>MN!N61</f>
        <v>0</v>
      </c>
      <c r="D328" s="399" t="str">
        <f>MN!O61</f>
        <v>each</v>
      </c>
      <c r="E328" s="399">
        <f>MN!Q61</f>
        <v>0</v>
      </c>
      <c r="F328" s="399">
        <f>MN!T61</f>
        <v>0</v>
      </c>
      <c r="G328" s="408">
        <f>MN!W61</f>
        <v>0</v>
      </c>
      <c r="H328" t="s">
        <v>381</v>
      </c>
    </row>
    <row r="329" spans="1:8" x14ac:dyDescent="0.2">
      <c r="A329" s="399">
        <f>MN!C62</f>
        <v>276</v>
      </c>
      <c r="B329" s="399">
        <f>MN!E62</f>
        <v>0</v>
      </c>
      <c r="C329" s="399">
        <f>MN!N62</f>
        <v>0</v>
      </c>
      <c r="D329" s="399" t="str">
        <f>MN!O62</f>
        <v>each</v>
      </c>
      <c r="E329" s="399">
        <f>MN!Q62</f>
        <v>0</v>
      </c>
      <c r="F329" s="399">
        <f>MN!T62</f>
        <v>0</v>
      </c>
      <c r="G329" s="408">
        <f>MN!W62</f>
        <v>0</v>
      </c>
      <c r="H329" t="s">
        <v>381</v>
      </c>
    </row>
    <row r="330" spans="1:8" x14ac:dyDescent="0.2">
      <c r="A330" s="399"/>
      <c r="B330" s="399"/>
      <c r="C330" s="399"/>
      <c r="E330" s="399"/>
      <c r="F330" s="399" t="str">
        <f>MN!O63</f>
        <v>Sub Total N</v>
      </c>
      <c r="G330" s="408">
        <f>MN!W63</f>
        <v>0</v>
      </c>
      <c r="H330" t="s">
        <v>381</v>
      </c>
    </row>
    <row r="331" spans="1:8" x14ac:dyDescent="0.2">
      <c r="A331" s="399"/>
      <c r="B331" s="399"/>
      <c r="C331" s="399"/>
      <c r="E331" s="399"/>
      <c r="F331" s="399" t="str">
        <f>MN!O64</f>
        <v>Handling Fee N</v>
      </c>
      <c r="G331" s="408">
        <f>MN!W64</f>
        <v>0</v>
      </c>
      <c r="H331" t="s">
        <v>381</v>
      </c>
    </row>
    <row r="332" spans="1:8" x14ac:dyDescent="0.2">
      <c r="A332" s="399"/>
      <c r="B332" s="399"/>
      <c r="C332" s="399"/>
      <c r="E332" s="399"/>
      <c r="F332" s="399" t="str">
        <f>MN!O65</f>
        <v>Total N</v>
      </c>
      <c r="G332" s="408">
        <f>MN!W65</f>
        <v>0</v>
      </c>
      <c r="H332" t="s">
        <v>381</v>
      </c>
    </row>
    <row r="333" spans="1:8" x14ac:dyDescent="0.2">
      <c r="A333" s="399"/>
      <c r="B333" s="399"/>
      <c r="C333" s="399"/>
      <c r="D333" s="399"/>
      <c r="E333" s="399"/>
      <c r="F333" s="399"/>
    </row>
    <row r="334" spans="1:8" x14ac:dyDescent="0.2">
      <c r="A334" t="s">
        <v>821</v>
      </c>
      <c r="B334" t="s">
        <v>822</v>
      </c>
      <c r="C334" t="s">
        <v>376</v>
      </c>
      <c r="D334" t="s">
        <v>823</v>
      </c>
      <c r="E334" t="s">
        <v>220</v>
      </c>
      <c r="F334" t="s">
        <v>400</v>
      </c>
      <c r="G334" s="408" t="s">
        <v>370</v>
      </c>
    </row>
    <row r="335" spans="1:8" x14ac:dyDescent="0.2">
      <c r="A335" s="399">
        <f>O!C10</f>
        <v>277</v>
      </c>
      <c r="B335" s="399">
        <f>O!E10</f>
        <v>0</v>
      </c>
      <c r="C335" s="399">
        <f>O!N10</f>
        <v>0</v>
      </c>
      <c r="D335" s="399" t="str">
        <f>O!O10</f>
        <v>each</v>
      </c>
      <c r="E335" s="399">
        <f>O!Q10</f>
        <v>0</v>
      </c>
      <c r="F335" s="399">
        <f>O!T10</f>
        <v>0</v>
      </c>
      <c r="G335" s="408">
        <f>O!W10</f>
        <v>0</v>
      </c>
      <c r="H335" t="s">
        <v>843</v>
      </c>
    </row>
    <row r="336" spans="1:8" x14ac:dyDescent="0.2">
      <c r="A336" s="399">
        <f>O!C11</f>
        <v>278</v>
      </c>
      <c r="B336" s="399">
        <f>O!E11</f>
        <v>0</v>
      </c>
      <c r="C336" s="399">
        <f>O!N11</f>
        <v>0</v>
      </c>
      <c r="D336" s="399" t="str">
        <f>O!O11</f>
        <v>each</v>
      </c>
      <c r="E336" s="399">
        <f>O!Q11</f>
        <v>500</v>
      </c>
      <c r="F336" s="399">
        <f>O!T11</f>
        <v>0</v>
      </c>
      <c r="G336" s="408">
        <f>O!W11</f>
        <v>0</v>
      </c>
      <c r="H336" t="s">
        <v>843</v>
      </c>
    </row>
    <row r="337" spans="1:8" x14ac:dyDescent="0.2">
      <c r="A337" s="399">
        <f>O!C12</f>
        <v>279</v>
      </c>
      <c r="B337" s="399">
        <f>O!E12</f>
        <v>0</v>
      </c>
      <c r="C337" s="399">
        <f>O!N12</f>
        <v>0</v>
      </c>
      <c r="D337" s="399" t="str">
        <f>O!O12</f>
        <v>each</v>
      </c>
      <c r="E337" s="399">
        <f>O!Q12</f>
        <v>0</v>
      </c>
      <c r="F337" s="399">
        <f>O!T12</f>
        <v>0</v>
      </c>
      <c r="G337" s="408">
        <f>O!W12</f>
        <v>0</v>
      </c>
      <c r="H337" t="s">
        <v>843</v>
      </c>
    </row>
    <row r="338" spans="1:8" x14ac:dyDescent="0.2">
      <c r="A338" s="399">
        <f>O!C13</f>
        <v>280</v>
      </c>
      <c r="B338" s="399">
        <f>O!E13</f>
        <v>0</v>
      </c>
      <c r="C338" s="399">
        <f>O!N13</f>
        <v>0</v>
      </c>
      <c r="D338" s="399" t="str">
        <f>O!O13</f>
        <v>each</v>
      </c>
      <c r="E338" s="399">
        <f>O!Q13</f>
        <v>0</v>
      </c>
      <c r="F338" s="399">
        <f>O!T13</f>
        <v>0</v>
      </c>
      <c r="G338" s="408">
        <f>O!W13</f>
        <v>0</v>
      </c>
      <c r="H338" t="s">
        <v>843</v>
      </c>
    </row>
    <row r="339" spans="1:8" x14ac:dyDescent="0.2">
      <c r="A339" s="399">
        <f>O!C14</f>
        <v>281</v>
      </c>
      <c r="B339" s="399">
        <f>O!E14</f>
        <v>0</v>
      </c>
      <c r="C339" s="399">
        <f>O!N14</f>
        <v>0</v>
      </c>
      <c r="D339" s="399" t="str">
        <f>O!O14</f>
        <v>each</v>
      </c>
      <c r="E339" s="399">
        <f>O!Q14</f>
        <v>0</v>
      </c>
      <c r="F339" s="399">
        <f>O!T14</f>
        <v>0</v>
      </c>
      <c r="G339" s="408">
        <f>O!W14</f>
        <v>0</v>
      </c>
      <c r="H339" t="s">
        <v>843</v>
      </c>
    </row>
    <row r="340" spans="1:8" x14ac:dyDescent="0.2">
      <c r="A340" s="399">
        <f>O!C15</f>
        <v>282</v>
      </c>
      <c r="B340" s="399">
        <f>O!E15</f>
        <v>0</v>
      </c>
      <c r="C340" s="399">
        <f>O!N15</f>
        <v>0</v>
      </c>
      <c r="D340" s="399" t="str">
        <f>O!O15</f>
        <v>each</v>
      </c>
      <c r="E340" s="399">
        <f>O!Q15</f>
        <v>0</v>
      </c>
      <c r="F340" s="399">
        <f>O!T15</f>
        <v>0</v>
      </c>
      <c r="G340" s="408">
        <f>O!W15</f>
        <v>0</v>
      </c>
      <c r="H340" t="s">
        <v>843</v>
      </c>
    </row>
    <row r="341" spans="1:8" x14ac:dyDescent="0.2">
      <c r="A341" s="399">
        <f>O!C16</f>
        <v>283</v>
      </c>
      <c r="B341" s="399">
        <f>O!E16</f>
        <v>0</v>
      </c>
      <c r="C341" s="399">
        <f>O!N16</f>
        <v>0</v>
      </c>
      <c r="D341" s="399" t="str">
        <f>O!O16</f>
        <v>each</v>
      </c>
      <c r="E341" s="399">
        <f>O!Q16</f>
        <v>0</v>
      </c>
      <c r="F341" s="399">
        <f>O!T16</f>
        <v>0</v>
      </c>
      <c r="G341" s="408">
        <f>O!W16</f>
        <v>0</v>
      </c>
      <c r="H341" t="s">
        <v>843</v>
      </c>
    </row>
    <row r="342" spans="1:8" x14ac:dyDescent="0.2">
      <c r="A342" s="399">
        <f>O!C17</f>
        <v>284</v>
      </c>
      <c r="B342" s="399">
        <f>O!E17</f>
        <v>0</v>
      </c>
      <c r="C342" s="399">
        <f>O!N17</f>
        <v>0</v>
      </c>
      <c r="D342" s="399" t="str">
        <f>O!O17</f>
        <v>each</v>
      </c>
      <c r="E342" s="399">
        <f>O!Q17</f>
        <v>0</v>
      </c>
      <c r="F342" s="399">
        <f>O!T17</f>
        <v>0</v>
      </c>
      <c r="G342" s="408">
        <f>O!W17</f>
        <v>0</v>
      </c>
      <c r="H342" t="s">
        <v>843</v>
      </c>
    </row>
    <row r="343" spans="1:8" x14ac:dyDescent="0.2">
      <c r="A343" s="399">
        <f>O!C18</f>
        <v>285</v>
      </c>
      <c r="B343" s="399">
        <f>O!E18</f>
        <v>0</v>
      </c>
      <c r="C343" s="399">
        <f>O!N18</f>
        <v>0</v>
      </c>
      <c r="D343" s="399" t="str">
        <f>O!O18</f>
        <v>each</v>
      </c>
      <c r="E343" s="399">
        <f>O!Q18</f>
        <v>0</v>
      </c>
      <c r="F343" s="399">
        <f>O!T18</f>
        <v>0</v>
      </c>
      <c r="G343" s="408">
        <f>O!W18</f>
        <v>0</v>
      </c>
      <c r="H343" t="s">
        <v>843</v>
      </c>
    </row>
    <row r="344" spans="1:8" x14ac:dyDescent="0.2">
      <c r="A344" s="399">
        <f>O!C19</f>
        <v>286</v>
      </c>
      <c r="B344" s="399">
        <f>O!E19</f>
        <v>0</v>
      </c>
      <c r="C344" s="399">
        <f>O!N19</f>
        <v>0</v>
      </c>
      <c r="D344" s="399" t="str">
        <f>O!O19</f>
        <v>each</v>
      </c>
      <c r="E344" s="399">
        <f>O!Q19</f>
        <v>0</v>
      </c>
      <c r="F344" s="399">
        <f>O!T19</f>
        <v>0</v>
      </c>
      <c r="G344" s="408">
        <f>O!W19</f>
        <v>0</v>
      </c>
      <c r="H344" t="s">
        <v>843</v>
      </c>
    </row>
    <row r="345" spans="1:8" x14ac:dyDescent="0.2">
      <c r="A345" s="399">
        <f>O!C20</f>
        <v>287</v>
      </c>
      <c r="B345" s="399">
        <f>O!E20</f>
        <v>0</v>
      </c>
      <c r="C345" s="399">
        <f>O!N20</f>
        <v>0</v>
      </c>
      <c r="D345" s="399" t="str">
        <f>O!O20</f>
        <v>each</v>
      </c>
      <c r="E345" s="399">
        <f>O!Q20</f>
        <v>0</v>
      </c>
      <c r="F345" s="399">
        <f>O!T20</f>
        <v>0</v>
      </c>
      <c r="G345" s="408">
        <f>O!W20</f>
        <v>0</v>
      </c>
      <c r="H345" t="s">
        <v>843</v>
      </c>
    </row>
    <row r="346" spans="1:8" x14ac:dyDescent="0.2">
      <c r="A346" s="399">
        <f>O!C21</f>
        <v>288</v>
      </c>
      <c r="B346" s="399">
        <f>O!E21</f>
        <v>0</v>
      </c>
      <c r="C346" s="399">
        <f>O!N21</f>
        <v>0</v>
      </c>
      <c r="D346" s="399" t="str">
        <f>O!O21</f>
        <v>each</v>
      </c>
      <c r="E346" s="399">
        <f>O!Q21</f>
        <v>0</v>
      </c>
      <c r="F346" s="399">
        <f>O!T21</f>
        <v>0</v>
      </c>
      <c r="G346" s="408">
        <f>O!W21</f>
        <v>0</v>
      </c>
      <c r="H346" t="s">
        <v>843</v>
      </c>
    </row>
    <row r="347" spans="1:8" x14ac:dyDescent="0.2">
      <c r="A347" s="399">
        <f>O!C22</f>
        <v>289</v>
      </c>
      <c r="B347" s="399">
        <f>O!E22</f>
        <v>0</v>
      </c>
      <c r="C347" s="399">
        <f>O!N22</f>
        <v>0</v>
      </c>
      <c r="D347" s="399" t="str">
        <f>O!O22</f>
        <v>each</v>
      </c>
      <c r="E347" s="399">
        <f>O!Q22</f>
        <v>0</v>
      </c>
      <c r="F347" s="399">
        <f>O!T22</f>
        <v>0</v>
      </c>
      <c r="G347" s="408">
        <f>O!W22</f>
        <v>0</v>
      </c>
      <c r="H347" t="s">
        <v>843</v>
      </c>
    </row>
    <row r="348" spans="1:8" x14ac:dyDescent="0.2">
      <c r="A348" s="399">
        <f>O!C23</f>
        <v>290</v>
      </c>
      <c r="B348" s="399">
        <f>O!E23</f>
        <v>0</v>
      </c>
      <c r="C348" s="399">
        <f>O!N23</f>
        <v>0</v>
      </c>
      <c r="D348" s="399" t="str">
        <f>O!O23</f>
        <v>each</v>
      </c>
      <c r="E348" s="399">
        <f>O!Q23</f>
        <v>0</v>
      </c>
      <c r="F348" s="399">
        <f>O!T23</f>
        <v>0</v>
      </c>
      <c r="G348" s="408">
        <f>O!W23</f>
        <v>0</v>
      </c>
      <c r="H348" t="s">
        <v>843</v>
      </c>
    </row>
    <row r="349" spans="1:8" x14ac:dyDescent="0.2">
      <c r="A349" s="399">
        <f>O!C24</f>
        <v>291</v>
      </c>
      <c r="B349" s="399">
        <f>O!E24</f>
        <v>0</v>
      </c>
      <c r="C349" s="399">
        <f>O!N24</f>
        <v>0</v>
      </c>
      <c r="D349" s="399" t="str">
        <f>O!O24</f>
        <v>each</v>
      </c>
      <c r="E349" s="399">
        <f>O!Q24</f>
        <v>0</v>
      </c>
      <c r="F349" s="399">
        <f>O!T24</f>
        <v>0</v>
      </c>
      <c r="G349" s="408">
        <f>O!W24</f>
        <v>0</v>
      </c>
      <c r="H349" t="s">
        <v>843</v>
      </c>
    </row>
    <row r="350" spans="1:8" x14ac:dyDescent="0.2">
      <c r="A350" s="399">
        <f>O!C25</f>
        <v>292</v>
      </c>
      <c r="B350" s="399">
        <f>O!E25</f>
        <v>0</v>
      </c>
      <c r="C350" s="399">
        <f>O!N25</f>
        <v>0</v>
      </c>
      <c r="D350" s="399" t="str">
        <f>O!O25</f>
        <v>each</v>
      </c>
      <c r="E350" s="399">
        <f>O!Q25</f>
        <v>0</v>
      </c>
      <c r="F350" s="399">
        <f>O!T25</f>
        <v>0</v>
      </c>
      <c r="G350" s="408">
        <f>O!W25</f>
        <v>0</v>
      </c>
      <c r="H350" t="s">
        <v>843</v>
      </c>
    </row>
    <row r="351" spans="1:8" x14ac:dyDescent="0.2">
      <c r="A351" s="399">
        <f>O!C26</f>
        <v>293</v>
      </c>
      <c r="B351" s="399">
        <f>O!E26</f>
        <v>0</v>
      </c>
      <c r="C351" s="399">
        <f>O!N26</f>
        <v>0</v>
      </c>
      <c r="D351" s="399" t="str">
        <f>O!O26</f>
        <v>each</v>
      </c>
      <c r="E351" s="399">
        <f>O!Q26</f>
        <v>0</v>
      </c>
      <c r="F351" s="399">
        <f>O!T26</f>
        <v>0</v>
      </c>
      <c r="G351" s="408">
        <f>O!W26</f>
        <v>0</v>
      </c>
      <c r="H351" t="s">
        <v>843</v>
      </c>
    </row>
    <row r="352" spans="1:8" x14ac:dyDescent="0.2">
      <c r="A352" s="399">
        <f>O!C27</f>
        <v>294</v>
      </c>
      <c r="B352" s="399">
        <f>O!E27</f>
        <v>0</v>
      </c>
      <c r="C352" s="399">
        <f>O!N27</f>
        <v>0</v>
      </c>
      <c r="D352" s="399" t="str">
        <f>O!O27</f>
        <v>each</v>
      </c>
      <c r="E352" s="399">
        <f>O!Q27</f>
        <v>0</v>
      </c>
      <c r="F352" s="399">
        <f>O!T27</f>
        <v>0</v>
      </c>
      <c r="G352" s="408">
        <f>O!W27</f>
        <v>0</v>
      </c>
      <c r="H352" t="s">
        <v>843</v>
      </c>
    </row>
    <row r="353" spans="1:8" x14ac:dyDescent="0.2">
      <c r="A353" s="399">
        <f>O!C28</f>
        <v>295</v>
      </c>
      <c r="B353" s="399">
        <f>O!E28</f>
        <v>0</v>
      </c>
      <c r="C353" s="399">
        <f>O!N28</f>
        <v>0</v>
      </c>
      <c r="D353" s="399" t="str">
        <f>O!O28</f>
        <v>each</v>
      </c>
      <c r="E353" s="399">
        <f>O!Q28</f>
        <v>0</v>
      </c>
      <c r="F353" s="399">
        <f>O!T28</f>
        <v>0</v>
      </c>
      <c r="G353" s="408">
        <f>O!W28</f>
        <v>0</v>
      </c>
      <c r="H353" t="s">
        <v>843</v>
      </c>
    </row>
    <row r="354" spans="1:8" x14ac:dyDescent="0.2">
      <c r="A354" s="399">
        <f>O!C29</f>
        <v>296</v>
      </c>
      <c r="B354" s="399">
        <f>O!E29</f>
        <v>0</v>
      </c>
      <c r="C354" s="399">
        <f>O!N29</f>
        <v>0</v>
      </c>
      <c r="D354" s="399" t="str">
        <f>O!O29</f>
        <v>each</v>
      </c>
      <c r="E354" s="399">
        <f>O!Q29</f>
        <v>0</v>
      </c>
      <c r="F354" s="399">
        <f>O!T29</f>
        <v>0</v>
      </c>
      <c r="G354" s="408">
        <f>O!W29</f>
        <v>0</v>
      </c>
      <c r="H354" t="s">
        <v>843</v>
      </c>
    </row>
    <row r="355" spans="1:8" x14ac:dyDescent="0.2">
      <c r="A355" s="399">
        <f>O!C30</f>
        <v>297</v>
      </c>
      <c r="B355" s="399">
        <f>O!E30</f>
        <v>0</v>
      </c>
      <c r="C355" s="399">
        <f>O!N30</f>
        <v>0</v>
      </c>
      <c r="D355" s="399" t="str">
        <f>O!O30</f>
        <v>each</v>
      </c>
      <c r="E355" s="399">
        <f>O!Q30</f>
        <v>0</v>
      </c>
      <c r="F355" s="399">
        <f>O!T30</f>
        <v>0</v>
      </c>
      <c r="G355" s="408">
        <f>O!W30</f>
        <v>0</v>
      </c>
      <c r="H355" t="s">
        <v>843</v>
      </c>
    </row>
    <row r="356" spans="1:8" x14ac:dyDescent="0.2">
      <c r="A356" s="399">
        <f>O!C31</f>
        <v>298</v>
      </c>
      <c r="B356" s="399">
        <f>O!E31</f>
        <v>0</v>
      </c>
      <c r="C356" s="399">
        <f>O!N31</f>
        <v>0</v>
      </c>
      <c r="D356" s="399" t="str">
        <f>O!O31</f>
        <v>each</v>
      </c>
      <c r="E356" s="399">
        <f>O!Q31</f>
        <v>0</v>
      </c>
      <c r="F356" s="399">
        <f>O!T31</f>
        <v>0</v>
      </c>
      <c r="G356" s="408">
        <f>O!W31</f>
        <v>0</v>
      </c>
      <c r="H356" t="s">
        <v>843</v>
      </c>
    </row>
    <row r="357" spans="1:8" x14ac:dyDescent="0.2">
      <c r="A357" s="399">
        <f>O!C32</f>
        <v>299</v>
      </c>
      <c r="B357" s="399">
        <f>O!E32</f>
        <v>0</v>
      </c>
      <c r="C357" s="399">
        <f>O!N32</f>
        <v>0</v>
      </c>
      <c r="D357" s="399" t="str">
        <f>O!O32</f>
        <v>each</v>
      </c>
      <c r="E357" s="399">
        <f>O!Q32</f>
        <v>0</v>
      </c>
      <c r="F357" s="399">
        <f>O!T32</f>
        <v>0</v>
      </c>
      <c r="G357" s="408">
        <f>O!W32</f>
        <v>0</v>
      </c>
      <c r="H357" t="s">
        <v>843</v>
      </c>
    </row>
    <row r="358" spans="1:8" x14ac:dyDescent="0.2">
      <c r="A358" s="399">
        <f>O!C33</f>
        <v>300</v>
      </c>
      <c r="B358" s="399">
        <f>O!E33</f>
        <v>0</v>
      </c>
      <c r="C358" s="399">
        <f>O!N33</f>
        <v>0</v>
      </c>
      <c r="D358" s="399" t="str">
        <f>O!O33</f>
        <v>each</v>
      </c>
      <c r="E358" s="399">
        <f>O!Q33</f>
        <v>0</v>
      </c>
      <c r="F358" s="399">
        <f>O!T33</f>
        <v>0</v>
      </c>
      <c r="G358" s="408">
        <f>O!W33</f>
        <v>0</v>
      </c>
      <c r="H358" t="s">
        <v>843</v>
      </c>
    </row>
    <row r="359" spans="1:8" x14ac:dyDescent="0.2">
      <c r="A359" s="399">
        <f>O!C34</f>
        <v>301</v>
      </c>
      <c r="B359" s="399">
        <f>O!E34</f>
        <v>0</v>
      </c>
      <c r="C359" s="399">
        <f>O!N34</f>
        <v>0</v>
      </c>
      <c r="D359" s="399" t="str">
        <f>O!O34</f>
        <v>each</v>
      </c>
      <c r="E359" s="399">
        <f>O!Q34</f>
        <v>0</v>
      </c>
      <c r="F359" s="399">
        <f>O!T34</f>
        <v>0</v>
      </c>
      <c r="G359" s="408">
        <f>O!W34</f>
        <v>0</v>
      </c>
      <c r="H359" t="s">
        <v>843</v>
      </c>
    </row>
    <row r="360" spans="1:8" x14ac:dyDescent="0.2">
      <c r="A360" s="399">
        <f>O!C35</f>
        <v>302</v>
      </c>
      <c r="B360" s="399">
        <f>O!E35</f>
        <v>0</v>
      </c>
      <c r="C360" s="399">
        <f>O!N35</f>
        <v>0</v>
      </c>
      <c r="D360" s="399" t="str">
        <f>O!O35</f>
        <v>each</v>
      </c>
      <c r="E360" s="399">
        <f>O!Q35</f>
        <v>0</v>
      </c>
      <c r="F360" s="399">
        <f>O!T35</f>
        <v>0</v>
      </c>
      <c r="G360" s="408">
        <f>O!W35</f>
        <v>0</v>
      </c>
      <c r="H360" t="s">
        <v>843</v>
      </c>
    </row>
    <row r="361" spans="1:8" x14ac:dyDescent="0.2">
      <c r="A361" s="399">
        <f>O!C36</f>
        <v>303</v>
      </c>
      <c r="B361" s="399">
        <f>O!E36</f>
        <v>0</v>
      </c>
      <c r="C361" s="399">
        <f>O!N36</f>
        <v>0</v>
      </c>
      <c r="D361" s="399" t="str">
        <f>O!O36</f>
        <v>each</v>
      </c>
      <c r="E361" s="399">
        <f>O!Q36</f>
        <v>0</v>
      </c>
      <c r="F361" s="399">
        <f>O!T36</f>
        <v>0</v>
      </c>
      <c r="G361" s="408">
        <f>O!W36</f>
        <v>0</v>
      </c>
      <c r="H361" t="s">
        <v>843</v>
      </c>
    </row>
    <row r="362" spans="1:8" x14ac:dyDescent="0.2">
      <c r="A362" s="399">
        <f>O!C37</f>
        <v>304</v>
      </c>
      <c r="B362" s="399">
        <f>O!E37</f>
        <v>0</v>
      </c>
      <c r="C362" s="399">
        <f>O!N37</f>
        <v>0</v>
      </c>
      <c r="D362" s="399" t="str">
        <f>O!O37</f>
        <v>each</v>
      </c>
      <c r="E362" s="399">
        <f>O!Q37</f>
        <v>0</v>
      </c>
      <c r="F362" s="399">
        <f>O!T37</f>
        <v>0</v>
      </c>
      <c r="G362" s="408">
        <f>O!W37</f>
        <v>0</v>
      </c>
      <c r="H362" t="s">
        <v>843</v>
      </c>
    </row>
    <row r="363" spans="1:8" x14ac:dyDescent="0.2">
      <c r="A363" s="399">
        <f>O!C38</f>
        <v>305</v>
      </c>
      <c r="B363" s="399">
        <f>O!E38</f>
        <v>0</v>
      </c>
      <c r="C363" s="399">
        <f>O!N38</f>
        <v>0</v>
      </c>
      <c r="D363" s="399" t="str">
        <f>O!O38</f>
        <v>each</v>
      </c>
      <c r="E363" s="399">
        <f>O!Q38</f>
        <v>0</v>
      </c>
      <c r="F363" s="399">
        <f>O!T38</f>
        <v>0</v>
      </c>
      <c r="G363" s="408">
        <f>O!W38</f>
        <v>0</v>
      </c>
      <c r="H363" t="s">
        <v>843</v>
      </c>
    </row>
    <row r="364" spans="1:8" x14ac:dyDescent="0.2">
      <c r="A364" s="399">
        <f>O!C39</f>
        <v>306</v>
      </c>
      <c r="B364" s="399">
        <f>O!E39</f>
        <v>0</v>
      </c>
      <c r="C364" s="399">
        <f>O!N39</f>
        <v>0</v>
      </c>
      <c r="D364" s="399" t="str">
        <f>O!O39</f>
        <v>each</v>
      </c>
      <c r="E364" s="399">
        <f>O!Q39</f>
        <v>0</v>
      </c>
      <c r="F364" s="399">
        <f>O!T39</f>
        <v>0</v>
      </c>
      <c r="G364" s="408">
        <f>O!W39</f>
        <v>0</v>
      </c>
      <c r="H364" t="s">
        <v>843</v>
      </c>
    </row>
    <row r="365" spans="1:8" x14ac:dyDescent="0.2">
      <c r="A365" s="399">
        <f>O!C40</f>
        <v>307</v>
      </c>
      <c r="B365" s="399">
        <f>O!E40</f>
        <v>0</v>
      </c>
      <c r="C365" s="399">
        <f>O!N40</f>
        <v>0</v>
      </c>
      <c r="D365" s="399" t="str">
        <f>O!O40</f>
        <v>each</v>
      </c>
      <c r="E365" s="399">
        <f>O!Q40</f>
        <v>0</v>
      </c>
      <c r="F365" s="399">
        <f>O!T40</f>
        <v>0</v>
      </c>
      <c r="G365" s="408">
        <f>O!W40</f>
        <v>0</v>
      </c>
      <c r="H365" t="s">
        <v>843</v>
      </c>
    </row>
    <row r="366" spans="1:8" x14ac:dyDescent="0.2">
      <c r="A366" s="399">
        <f>O!C41</f>
        <v>308</v>
      </c>
      <c r="B366" s="399">
        <f>O!E41</f>
        <v>0</v>
      </c>
      <c r="C366" s="399">
        <f>O!N41</f>
        <v>0</v>
      </c>
      <c r="D366" s="399" t="str">
        <f>O!O41</f>
        <v>each</v>
      </c>
      <c r="E366" s="399">
        <f>O!Q41</f>
        <v>0</v>
      </c>
      <c r="F366" s="399">
        <f>O!T41</f>
        <v>0</v>
      </c>
      <c r="G366" s="408">
        <f>O!W41</f>
        <v>0</v>
      </c>
      <c r="H366" t="s">
        <v>843</v>
      </c>
    </row>
    <row r="367" spans="1:8" x14ac:dyDescent="0.2">
      <c r="A367" s="399">
        <f>O!C42</f>
        <v>309</v>
      </c>
      <c r="B367" s="399">
        <f>O!E42</f>
        <v>0</v>
      </c>
      <c r="C367" s="399">
        <f>O!N42</f>
        <v>0</v>
      </c>
      <c r="D367" s="399" t="str">
        <f>O!O42</f>
        <v>each</v>
      </c>
      <c r="E367" s="399">
        <f>O!Q42</f>
        <v>0</v>
      </c>
      <c r="F367" s="399">
        <f>O!T42</f>
        <v>0</v>
      </c>
      <c r="G367" s="408">
        <f>O!W42</f>
        <v>0</v>
      </c>
      <c r="H367" t="s">
        <v>843</v>
      </c>
    </row>
    <row r="368" spans="1:8" x14ac:dyDescent="0.2">
      <c r="A368" s="399">
        <f>O!C43</f>
        <v>310</v>
      </c>
      <c r="B368" s="399">
        <f>O!E43</f>
        <v>0</v>
      </c>
      <c r="C368" s="399">
        <f>O!N43</f>
        <v>0</v>
      </c>
      <c r="D368" s="399" t="str">
        <f>O!O43</f>
        <v>each</v>
      </c>
      <c r="E368" s="399">
        <f>O!Q43</f>
        <v>0</v>
      </c>
      <c r="F368" s="399">
        <f>O!T43</f>
        <v>0</v>
      </c>
      <c r="G368" s="408">
        <f>O!W43</f>
        <v>0</v>
      </c>
      <c r="H368" t="s">
        <v>843</v>
      </c>
    </row>
    <row r="369" spans="1:8" x14ac:dyDescent="0.2">
      <c r="A369" s="399">
        <f>O!C44</f>
        <v>311</v>
      </c>
      <c r="B369" s="399">
        <f>O!E44</f>
        <v>0</v>
      </c>
      <c r="C369" s="399">
        <f>O!N44</f>
        <v>0</v>
      </c>
      <c r="D369" s="399" t="str">
        <f>O!O44</f>
        <v>each</v>
      </c>
      <c r="E369" s="399">
        <f>O!Q44</f>
        <v>0</v>
      </c>
      <c r="F369" s="399">
        <f>O!T44</f>
        <v>0</v>
      </c>
      <c r="G369" s="408">
        <f>O!W44</f>
        <v>0</v>
      </c>
      <c r="H369" t="s">
        <v>843</v>
      </c>
    </row>
    <row r="370" spans="1:8" x14ac:dyDescent="0.2">
      <c r="A370" s="399">
        <f>O!C45</f>
        <v>312</v>
      </c>
      <c r="B370" s="399">
        <f>O!E45</f>
        <v>0</v>
      </c>
      <c r="C370" s="399">
        <f>O!N45</f>
        <v>0</v>
      </c>
      <c r="D370" s="399" t="str">
        <f>O!O45</f>
        <v>each</v>
      </c>
      <c r="E370" s="399">
        <f>O!Q45</f>
        <v>0</v>
      </c>
      <c r="F370" s="399">
        <f>O!T45</f>
        <v>0</v>
      </c>
      <c r="G370" s="408">
        <f>O!W45</f>
        <v>0</v>
      </c>
      <c r="H370" t="s">
        <v>843</v>
      </c>
    </row>
    <row r="371" spans="1:8" x14ac:dyDescent="0.2">
      <c r="A371" s="399">
        <f>O!C46</f>
        <v>313</v>
      </c>
      <c r="B371" s="399">
        <f>O!E46</f>
        <v>0</v>
      </c>
      <c r="C371" s="399">
        <f>O!N46</f>
        <v>0</v>
      </c>
      <c r="D371" s="399" t="str">
        <f>O!O46</f>
        <v>each</v>
      </c>
      <c r="E371" s="399">
        <f>O!Q46</f>
        <v>0</v>
      </c>
      <c r="F371" s="399">
        <f>O!T46</f>
        <v>0</v>
      </c>
      <c r="G371" s="408">
        <f>O!W46</f>
        <v>0</v>
      </c>
      <c r="H371" t="s">
        <v>843</v>
      </c>
    </row>
    <row r="372" spans="1:8" x14ac:dyDescent="0.2">
      <c r="A372" s="399">
        <f>O!C47</f>
        <v>314</v>
      </c>
      <c r="B372" s="399">
        <f>O!E47</f>
        <v>0</v>
      </c>
      <c r="C372" s="399">
        <f>O!N47</f>
        <v>0</v>
      </c>
      <c r="D372" s="399" t="str">
        <f>O!O47</f>
        <v>each</v>
      </c>
      <c r="E372" s="399">
        <f>O!Q47</f>
        <v>0</v>
      </c>
      <c r="F372" s="399">
        <f>O!T47</f>
        <v>0</v>
      </c>
      <c r="G372" s="408">
        <f>O!W47</f>
        <v>0</v>
      </c>
      <c r="H372" t="s">
        <v>843</v>
      </c>
    </row>
    <row r="373" spans="1:8" x14ac:dyDescent="0.2">
      <c r="A373" s="399">
        <f>O!C48</f>
        <v>315</v>
      </c>
      <c r="B373" s="399">
        <f>O!E48</f>
        <v>0</v>
      </c>
      <c r="C373" s="399">
        <f>O!N48</f>
        <v>0</v>
      </c>
      <c r="D373" s="399" t="str">
        <f>O!O48</f>
        <v>each</v>
      </c>
      <c r="E373" s="399">
        <f>O!Q48</f>
        <v>0</v>
      </c>
      <c r="F373" s="399">
        <f>O!T48</f>
        <v>0</v>
      </c>
      <c r="G373" s="408">
        <f>O!W48</f>
        <v>0</v>
      </c>
      <c r="H373" t="s">
        <v>843</v>
      </c>
    </row>
    <row r="374" spans="1:8" x14ac:dyDescent="0.2">
      <c r="A374" s="399">
        <f>O!C49</f>
        <v>316</v>
      </c>
      <c r="B374" s="399">
        <f>O!E49</f>
        <v>0</v>
      </c>
      <c r="C374" s="399">
        <f>O!N49</f>
        <v>0</v>
      </c>
      <c r="D374" s="399" t="str">
        <f>O!O49</f>
        <v>each</v>
      </c>
      <c r="E374" s="399">
        <f>O!Q49</f>
        <v>0</v>
      </c>
      <c r="F374" s="399">
        <f>O!T49</f>
        <v>0</v>
      </c>
      <c r="G374" s="408">
        <f>O!W49</f>
        <v>0</v>
      </c>
      <c r="H374" t="s">
        <v>843</v>
      </c>
    </row>
    <row r="375" spans="1:8" x14ac:dyDescent="0.2">
      <c r="A375" s="399">
        <f>O!C50</f>
        <v>317</v>
      </c>
      <c r="B375" s="399">
        <f>O!E50</f>
        <v>0</v>
      </c>
      <c r="C375" s="399">
        <f>O!N50</f>
        <v>0</v>
      </c>
      <c r="D375" s="399" t="str">
        <f>O!O50</f>
        <v>each</v>
      </c>
      <c r="E375" s="399">
        <f>O!Q50</f>
        <v>0</v>
      </c>
      <c r="F375" s="399">
        <f>O!T50</f>
        <v>0</v>
      </c>
      <c r="G375" s="408">
        <f>O!W50</f>
        <v>0</v>
      </c>
      <c r="H375" t="s">
        <v>843</v>
      </c>
    </row>
    <row r="376" spans="1:8" x14ac:dyDescent="0.2">
      <c r="A376" s="399">
        <f>O!C51</f>
        <v>318</v>
      </c>
      <c r="B376" s="399">
        <f>O!E51</f>
        <v>0</v>
      </c>
      <c r="C376" s="399">
        <f>O!N51</f>
        <v>0</v>
      </c>
      <c r="D376" s="399" t="str">
        <f>O!O51</f>
        <v>each</v>
      </c>
      <c r="E376" s="399">
        <f>O!Q51</f>
        <v>0</v>
      </c>
      <c r="F376" s="399">
        <f>O!T51</f>
        <v>0</v>
      </c>
      <c r="G376" s="408">
        <f>O!W51</f>
        <v>0</v>
      </c>
      <c r="H376" t="s">
        <v>843</v>
      </c>
    </row>
    <row r="377" spans="1:8" x14ac:dyDescent="0.2">
      <c r="A377" s="399">
        <f>O!C52</f>
        <v>319</v>
      </c>
      <c r="B377" s="399">
        <f>O!E52</f>
        <v>0</v>
      </c>
      <c r="C377" s="399">
        <f>O!N52</f>
        <v>0</v>
      </c>
      <c r="D377" s="399" t="str">
        <f>O!O52</f>
        <v>each</v>
      </c>
      <c r="E377" s="399">
        <f>O!Q52</f>
        <v>0</v>
      </c>
      <c r="F377" s="399">
        <f>O!T52</f>
        <v>0</v>
      </c>
      <c r="G377" s="408">
        <f>O!W52</f>
        <v>0</v>
      </c>
      <c r="H377" t="s">
        <v>843</v>
      </c>
    </row>
    <row r="378" spans="1:8" x14ac:dyDescent="0.2">
      <c r="A378" s="399">
        <f>O!C53</f>
        <v>320</v>
      </c>
      <c r="B378" s="399">
        <f>O!E53</f>
        <v>0</v>
      </c>
      <c r="C378" s="399">
        <f>O!N53</f>
        <v>0</v>
      </c>
      <c r="D378" s="399" t="str">
        <f>O!O53</f>
        <v>each</v>
      </c>
      <c r="E378" s="399">
        <f>O!Q53</f>
        <v>0</v>
      </c>
      <c r="F378" s="399">
        <f>O!T53</f>
        <v>0</v>
      </c>
      <c r="G378" s="408">
        <f>O!W53</f>
        <v>0</v>
      </c>
      <c r="H378" t="s">
        <v>843</v>
      </c>
    </row>
    <row r="379" spans="1:8" x14ac:dyDescent="0.2">
      <c r="A379" s="399">
        <f>O!C54</f>
        <v>321</v>
      </c>
      <c r="B379" s="399">
        <f>O!E54</f>
        <v>0</v>
      </c>
      <c r="C379" s="399">
        <f>O!N54</f>
        <v>0</v>
      </c>
      <c r="D379" s="399" t="str">
        <f>O!O54</f>
        <v>each</v>
      </c>
      <c r="E379" s="399">
        <f>O!Q54</f>
        <v>0</v>
      </c>
      <c r="F379" s="399">
        <f>O!T54</f>
        <v>0</v>
      </c>
      <c r="G379" s="408">
        <f>O!W54</f>
        <v>0</v>
      </c>
      <c r="H379" t="s">
        <v>843</v>
      </c>
    </row>
    <row r="380" spans="1:8" x14ac:dyDescent="0.2">
      <c r="A380" s="399">
        <f>O!C55</f>
        <v>322</v>
      </c>
      <c r="B380" s="399">
        <f>O!E55</f>
        <v>0</v>
      </c>
      <c r="C380" s="399">
        <f>O!N55</f>
        <v>0</v>
      </c>
      <c r="D380" s="399" t="str">
        <f>O!O55</f>
        <v>each</v>
      </c>
      <c r="E380" s="399">
        <f>O!Q55</f>
        <v>0</v>
      </c>
      <c r="F380" s="399">
        <f>O!T55</f>
        <v>0</v>
      </c>
      <c r="G380" s="408">
        <f>O!W55</f>
        <v>0</v>
      </c>
      <c r="H380" t="s">
        <v>843</v>
      </c>
    </row>
    <row r="381" spans="1:8" x14ac:dyDescent="0.2">
      <c r="A381" s="399">
        <f>O!C56</f>
        <v>323</v>
      </c>
      <c r="B381" s="399">
        <f>O!E56</f>
        <v>0</v>
      </c>
      <c r="C381" s="399">
        <f>O!N56</f>
        <v>0</v>
      </c>
      <c r="D381" s="399" t="str">
        <f>O!O56</f>
        <v>each</v>
      </c>
      <c r="E381" s="399">
        <f>O!Q56</f>
        <v>0</v>
      </c>
      <c r="F381" s="399">
        <f>O!T56</f>
        <v>0</v>
      </c>
      <c r="G381" s="408">
        <f>O!W56</f>
        <v>0</v>
      </c>
      <c r="H381" t="s">
        <v>843</v>
      </c>
    </row>
    <row r="382" spans="1:8" x14ac:dyDescent="0.2">
      <c r="A382" s="399">
        <f>O!C57</f>
        <v>324</v>
      </c>
      <c r="B382" s="399">
        <f>O!E57</f>
        <v>0</v>
      </c>
      <c r="C382" s="399">
        <f>O!N57</f>
        <v>0</v>
      </c>
      <c r="D382" s="399" t="str">
        <f>O!O57</f>
        <v>each</v>
      </c>
      <c r="E382" s="399">
        <f>O!Q57</f>
        <v>0</v>
      </c>
      <c r="F382" s="399">
        <f>O!T57</f>
        <v>0</v>
      </c>
      <c r="G382" s="408">
        <f>O!W57</f>
        <v>0</v>
      </c>
      <c r="H382" t="s">
        <v>843</v>
      </c>
    </row>
    <row r="383" spans="1:8" x14ac:dyDescent="0.2">
      <c r="A383" s="399">
        <f>O!C58</f>
        <v>325</v>
      </c>
      <c r="B383" s="399">
        <f>O!E58</f>
        <v>0</v>
      </c>
      <c r="C383" s="399">
        <f>O!N58</f>
        <v>0</v>
      </c>
      <c r="D383" s="399" t="str">
        <f>O!O58</f>
        <v>each</v>
      </c>
      <c r="E383" s="399">
        <f>O!Q58</f>
        <v>0</v>
      </c>
      <c r="F383" s="399">
        <f>O!T58</f>
        <v>0</v>
      </c>
      <c r="G383" s="408">
        <f>O!W58</f>
        <v>0</v>
      </c>
      <c r="H383" t="s">
        <v>843</v>
      </c>
    </row>
    <row r="384" spans="1:8" x14ac:dyDescent="0.2">
      <c r="A384" s="399">
        <f>O!C59</f>
        <v>326</v>
      </c>
      <c r="B384" s="399">
        <f>O!E59</f>
        <v>0</v>
      </c>
      <c r="C384" s="399">
        <f>O!N59</f>
        <v>0</v>
      </c>
      <c r="D384" s="399" t="str">
        <f>O!O59</f>
        <v>each</v>
      </c>
      <c r="E384" s="399">
        <f>O!Q59</f>
        <v>0</v>
      </c>
      <c r="F384" s="399">
        <f>O!T59</f>
        <v>0</v>
      </c>
      <c r="G384" s="408">
        <f>O!W59</f>
        <v>0</v>
      </c>
      <c r="H384" t="s">
        <v>843</v>
      </c>
    </row>
    <row r="385" spans="1:8" x14ac:dyDescent="0.2">
      <c r="A385" s="399">
        <f>O!C60</f>
        <v>327</v>
      </c>
      <c r="B385" s="399">
        <f>O!E60</f>
        <v>0</v>
      </c>
      <c r="C385" s="399">
        <f>O!N60</f>
        <v>0</v>
      </c>
      <c r="D385" s="399" t="str">
        <f>O!O60</f>
        <v>each</v>
      </c>
      <c r="E385" s="399">
        <f>O!Q60</f>
        <v>0</v>
      </c>
      <c r="F385" s="399">
        <f>O!T60</f>
        <v>0</v>
      </c>
      <c r="G385" s="408">
        <f>O!W60</f>
        <v>0</v>
      </c>
      <c r="H385" t="s">
        <v>843</v>
      </c>
    </row>
    <row r="386" spans="1:8" x14ac:dyDescent="0.2">
      <c r="A386" s="399">
        <f>O!C61</f>
        <v>328</v>
      </c>
      <c r="B386" s="399">
        <f>O!E61</f>
        <v>0</v>
      </c>
      <c r="C386" s="399">
        <f>O!N61</f>
        <v>0</v>
      </c>
      <c r="D386" s="399" t="str">
        <f>O!O61</f>
        <v>each</v>
      </c>
      <c r="E386" s="399">
        <f>O!Q61</f>
        <v>0</v>
      </c>
      <c r="F386" s="399">
        <f>O!T61</f>
        <v>0</v>
      </c>
      <c r="G386" s="408">
        <f>O!W61</f>
        <v>0</v>
      </c>
      <c r="H386" t="s">
        <v>843</v>
      </c>
    </row>
    <row r="387" spans="1:8" x14ac:dyDescent="0.2">
      <c r="A387" s="399">
        <f>O!C62</f>
        <v>329</v>
      </c>
      <c r="B387" s="399">
        <f>O!E62</f>
        <v>0</v>
      </c>
      <c r="C387" s="399">
        <f>O!N62</f>
        <v>0</v>
      </c>
      <c r="D387" s="399" t="str">
        <f>O!O62</f>
        <v>each</v>
      </c>
      <c r="E387" s="399">
        <f>O!Q62</f>
        <v>0</v>
      </c>
      <c r="F387" s="399">
        <f>O!T62</f>
        <v>0</v>
      </c>
      <c r="G387" s="408">
        <f>O!W62</f>
        <v>0</v>
      </c>
      <c r="H387" t="s">
        <v>843</v>
      </c>
    </row>
    <row r="388" spans="1:8" x14ac:dyDescent="0.2">
      <c r="A388" s="399">
        <f>O!C63</f>
        <v>330</v>
      </c>
      <c r="B388" s="399">
        <f>O!E63</f>
        <v>0</v>
      </c>
      <c r="C388" s="399">
        <f>O!N63</f>
        <v>0</v>
      </c>
      <c r="D388" s="399" t="str">
        <f>O!O63</f>
        <v>each</v>
      </c>
      <c r="E388" s="399">
        <f>O!Q63</f>
        <v>0</v>
      </c>
      <c r="F388" s="399">
        <f>O!T63</f>
        <v>0</v>
      </c>
      <c r="G388" s="408">
        <f>O!W63</f>
        <v>0</v>
      </c>
      <c r="H388" t="s">
        <v>843</v>
      </c>
    </row>
    <row r="389" spans="1:8" x14ac:dyDescent="0.2">
      <c r="A389" s="399">
        <f>O!C64</f>
        <v>331</v>
      </c>
      <c r="B389" s="399">
        <f>O!E64</f>
        <v>0</v>
      </c>
      <c r="C389" s="399">
        <f>O!N64</f>
        <v>0</v>
      </c>
      <c r="D389" s="399" t="str">
        <f>O!O64</f>
        <v>each</v>
      </c>
      <c r="E389" s="399">
        <f>O!Q64</f>
        <v>0</v>
      </c>
      <c r="F389" s="399">
        <f>O!T64</f>
        <v>0</v>
      </c>
      <c r="G389" s="408">
        <f>O!W64</f>
        <v>0</v>
      </c>
      <c r="H389" t="s">
        <v>843</v>
      </c>
    </row>
    <row r="390" spans="1:8" x14ac:dyDescent="0.2">
      <c r="A390" s="399">
        <f>O!C65</f>
        <v>332</v>
      </c>
      <c r="B390" s="399">
        <f>O!E65</f>
        <v>0</v>
      </c>
      <c r="C390" s="399">
        <f>O!N65</f>
        <v>0</v>
      </c>
      <c r="D390" s="399" t="str">
        <f>O!O65</f>
        <v>each</v>
      </c>
      <c r="E390" s="399">
        <f>O!Q65</f>
        <v>0</v>
      </c>
      <c r="F390" s="399">
        <f>O!T65</f>
        <v>0</v>
      </c>
      <c r="G390" s="408">
        <f>O!W65</f>
        <v>0</v>
      </c>
      <c r="H390" t="s">
        <v>843</v>
      </c>
    </row>
    <row r="391" spans="1:8" x14ac:dyDescent="0.2">
      <c r="A391" s="399">
        <f>O!C66</f>
        <v>333</v>
      </c>
      <c r="B391" s="399">
        <f>O!E66</f>
        <v>0</v>
      </c>
      <c r="C391" s="399">
        <f>O!N66</f>
        <v>0</v>
      </c>
      <c r="D391" s="399" t="str">
        <f>O!O66</f>
        <v>each</v>
      </c>
      <c r="E391" s="399">
        <f>O!Q66</f>
        <v>0</v>
      </c>
      <c r="F391" s="399">
        <f>O!T66</f>
        <v>0</v>
      </c>
      <c r="G391" s="408">
        <f>O!W66</f>
        <v>0</v>
      </c>
      <c r="H391" t="s">
        <v>843</v>
      </c>
    </row>
    <row r="392" spans="1:8" x14ac:dyDescent="0.2">
      <c r="A392" s="399">
        <f>O!C67</f>
        <v>334</v>
      </c>
      <c r="B392" s="399">
        <f>O!E67</f>
        <v>0</v>
      </c>
      <c r="C392" s="399">
        <f>O!N67</f>
        <v>0</v>
      </c>
      <c r="D392" s="399" t="str">
        <f>O!O67</f>
        <v>each</v>
      </c>
      <c r="E392" s="399">
        <f>O!Q67</f>
        <v>0</v>
      </c>
      <c r="F392" s="399">
        <f>O!T67</f>
        <v>0</v>
      </c>
      <c r="G392" s="408">
        <f>O!W67</f>
        <v>0</v>
      </c>
      <c r="H392" t="s">
        <v>843</v>
      </c>
    </row>
    <row r="393" spans="1:8" x14ac:dyDescent="0.2">
      <c r="A393" s="399">
        <f>O!C68</f>
        <v>335</v>
      </c>
      <c r="B393" s="399">
        <f>O!E68</f>
        <v>0</v>
      </c>
      <c r="C393" s="399">
        <f>O!N68</f>
        <v>0</v>
      </c>
      <c r="D393" s="399" t="str">
        <f>O!O68</f>
        <v>each</v>
      </c>
      <c r="E393" s="399">
        <f>O!Q68</f>
        <v>0</v>
      </c>
      <c r="F393" s="399">
        <f>O!T68</f>
        <v>0</v>
      </c>
      <c r="G393" s="408">
        <f>O!W68</f>
        <v>0</v>
      </c>
      <c r="H393" t="s">
        <v>843</v>
      </c>
    </row>
    <row r="394" spans="1:8" x14ac:dyDescent="0.2">
      <c r="A394" s="399">
        <f>O!C69</f>
        <v>336</v>
      </c>
      <c r="B394" s="399">
        <f>O!E69</f>
        <v>0</v>
      </c>
      <c r="C394" s="399">
        <f>O!N69</f>
        <v>0</v>
      </c>
      <c r="D394" s="399" t="str">
        <f>O!O69</f>
        <v>each</v>
      </c>
      <c r="E394" s="399">
        <f>O!Q69</f>
        <v>0</v>
      </c>
      <c r="F394" s="399">
        <f>O!T69</f>
        <v>0</v>
      </c>
      <c r="G394" s="408">
        <f>O!W69</f>
        <v>0</v>
      </c>
      <c r="H394" t="s">
        <v>843</v>
      </c>
    </row>
    <row r="395" spans="1:8" x14ac:dyDescent="0.2">
      <c r="A395" s="399">
        <f>O!C70</f>
        <v>337</v>
      </c>
      <c r="B395" s="399">
        <f>O!E70</f>
        <v>0</v>
      </c>
      <c r="C395" s="399">
        <f>O!N70</f>
        <v>0</v>
      </c>
      <c r="D395" s="399" t="str">
        <f>O!O70</f>
        <v>each</v>
      </c>
      <c r="E395" s="399">
        <f>O!Q70</f>
        <v>0</v>
      </c>
      <c r="F395" s="399">
        <f>O!T70</f>
        <v>0</v>
      </c>
      <c r="G395" s="408">
        <f>O!W70</f>
        <v>0</v>
      </c>
      <c r="H395" t="s">
        <v>843</v>
      </c>
    </row>
    <row r="396" spans="1:8" x14ac:dyDescent="0.2">
      <c r="A396" s="399">
        <f>O!C71</f>
        <v>338</v>
      </c>
      <c r="B396" s="399">
        <f>O!E71</f>
        <v>0</v>
      </c>
      <c r="C396" s="399">
        <f>O!N71</f>
        <v>0</v>
      </c>
      <c r="D396" s="399" t="str">
        <f>O!O71</f>
        <v>each</v>
      </c>
      <c r="E396" s="399">
        <f>O!Q71</f>
        <v>0</v>
      </c>
      <c r="F396" s="399">
        <f>O!T71</f>
        <v>0</v>
      </c>
      <c r="G396" s="408">
        <f>O!W71</f>
        <v>0</v>
      </c>
      <c r="H396" t="s">
        <v>843</v>
      </c>
    </row>
    <row r="397" spans="1:8" x14ac:dyDescent="0.2">
      <c r="A397" s="399">
        <f>O!C72</f>
        <v>339</v>
      </c>
      <c r="B397" s="399">
        <f>O!E72</f>
        <v>0</v>
      </c>
      <c r="C397" s="399">
        <f>O!N72</f>
        <v>0</v>
      </c>
      <c r="D397" s="399" t="str">
        <f>O!O72</f>
        <v>each</v>
      </c>
      <c r="E397" s="399">
        <f>O!Q72</f>
        <v>0</v>
      </c>
      <c r="F397" s="399">
        <f>O!T72</f>
        <v>0</v>
      </c>
      <c r="G397" s="408">
        <f>O!W72</f>
        <v>0</v>
      </c>
      <c r="H397" t="s">
        <v>843</v>
      </c>
    </row>
    <row r="398" spans="1:8" x14ac:dyDescent="0.2">
      <c r="A398" s="399">
        <f>O!C75</f>
        <v>340</v>
      </c>
      <c r="B398" s="399">
        <f>O!E75</f>
        <v>0</v>
      </c>
      <c r="C398" s="399">
        <f>O!N75</f>
        <v>0</v>
      </c>
      <c r="D398" s="399" t="str">
        <f>O!O75</f>
        <v>each</v>
      </c>
      <c r="E398" s="399">
        <f>O!Q75</f>
        <v>0</v>
      </c>
      <c r="F398" s="399">
        <f>O!T75</f>
        <v>0</v>
      </c>
      <c r="G398" s="408">
        <f>O!W75</f>
        <v>0</v>
      </c>
      <c r="H398" t="s">
        <v>843</v>
      </c>
    </row>
    <row r="399" spans="1:8" x14ac:dyDescent="0.2">
      <c r="A399" s="399">
        <f>O!C76</f>
        <v>341</v>
      </c>
      <c r="B399" s="399">
        <f>O!E76</f>
        <v>0</v>
      </c>
      <c r="C399" s="399">
        <f>O!N76</f>
        <v>0</v>
      </c>
      <c r="D399" s="399" t="str">
        <f>O!O76</f>
        <v>each</v>
      </c>
      <c r="E399" s="399">
        <f>O!Q76</f>
        <v>245</v>
      </c>
      <c r="F399" s="399">
        <f>O!T76</f>
        <v>0</v>
      </c>
      <c r="G399" s="408">
        <f>O!W76</f>
        <v>0</v>
      </c>
      <c r="H399" t="s">
        <v>843</v>
      </c>
    </row>
    <row r="400" spans="1:8" x14ac:dyDescent="0.2">
      <c r="A400" s="399">
        <f>O!C77</f>
        <v>342</v>
      </c>
      <c r="B400" s="399">
        <f>O!E77</f>
        <v>0</v>
      </c>
      <c r="C400" s="399">
        <f>O!N77</f>
        <v>0</v>
      </c>
      <c r="D400" s="399" t="str">
        <f>O!O77</f>
        <v>each</v>
      </c>
      <c r="E400" s="399">
        <f>O!Q77</f>
        <v>0</v>
      </c>
      <c r="F400" s="399">
        <f>O!T77</f>
        <v>0</v>
      </c>
      <c r="G400" s="408">
        <f>O!W77</f>
        <v>0</v>
      </c>
      <c r="H400" t="s">
        <v>843</v>
      </c>
    </row>
    <row r="401" spans="1:8" x14ac:dyDescent="0.2">
      <c r="A401" s="399">
        <f>O!C78</f>
        <v>343</v>
      </c>
      <c r="B401" s="399">
        <f>O!E78</f>
        <v>0</v>
      </c>
      <c r="C401" s="399">
        <f>O!N78</f>
        <v>0</v>
      </c>
      <c r="D401" s="399" t="str">
        <f>O!O78</f>
        <v>each</v>
      </c>
      <c r="E401" s="399">
        <f>O!Q78</f>
        <v>0</v>
      </c>
      <c r="F401" s="399">
        <f>O!T78</f>
        <v>0</v>
      </c>
      <c r="G401" s="408">
        <f>O!W78</f>
        <v>0</v>
      </c>
      <c r="H401" t="s">
        <v>843</v>
      </c>
    </row>
    <row r="402" spans="1:8" x14ac:dyDescent="0.2">
      <c r="A402" s="399">
        <f>O!C79</f>
        <v>344</v>
      </c>
      <c r="B402" s="399">
        <f>O!E79</f>
        <v>0</v>
      </c>
      <c r="C402" s="399">
        <f>O!N79</f>
        <v>0</v>
      </c>
      <c r="D402" s="399" t="str">
        <f>O!O79</f>
        <v>each</v>
      </c>
      <c r="E402" s="399">
        <f>O!Q79</f>
        <v>0</v>
      </c>
      <c r="F402" s="399">
        <f>O!T79</f>
        <v>0</v>
      </c>
      <c r="G402" s="408">
        <f>O!W79</f>
        <v>0</v>
      </c>
      <c r="H402" t="s">
        <v>843</v>
      </c>
    </row>
    <row r="403" spans="1:8" x14ac:dyDescent="0.2">
      <c r="A403" s="399">
        <f>O!C80</f>
        <v>345</v>
      </c>
      <c r="B403" s="399">
        <f>O!E80</f>
        <v>0</v>
      </c>
      <c r="C403" s="399">
        <f>O!N80</f>
        <v>0</v>
      </c>
      <c r="D403" s="399" t="str">
        <f>O!O80</f>
        <v>each</v>
      </c>
      <c r="E403" s="399">
        <f>O!Q80</f>
        <v>0</v>
      </c>
      <c r="F403" s="399">
        <f>O!T80</f>
        <v>0</v>
      </c>
      <c r="G403" s="408">
        <f>O!W80</f>
        <v>0</v>
      </c>
      <c r="H403" t="s">
        <v>843</v>
      </c>
    </row>
    <row r="404" spans="1:8" x14ac:dyDescent="0.2">
      <c r="A404" s="399">
        <f>O!C81</f>
        <v>346</v>
      </c>
      <c r="B404" s="399">
        <f>O!E81</f>
        <v>0</v>
      </c>
      <c r="C404" s="399">
        <f>O!N81</f>
        <v>0</v>
      </c>
      <c r="D404" s="399" t="str">
        <f>O!O81</f>
        <v>each</v>
      </c>
      <c r="E404" s="399">
        <f>O!Q81</f>
        <v>0</v>
      </c>
      <c r="F404" s="399">
        <f>O!T81</f>
        <v>0</v>
      </c>
      <c r="G404" s="408">
        <f>O!W81</f>
        <v>0</v>
      </c>
      <c r="H404" t="s">
        <v>843</v>
      </c>
    </row>
    <row r="405" spans="1:8" x14ac:dyDescent="0.2">
      <c r="A405" s="399">
        <f>O!C82</f>
        <v>347</v>
      </c>
      <c r="B405" s="399">
        <f>O!E82</f>
        <v>0</v>
      </c>
      <c r="C405" s="399">
        <f>O!N82</f>
        <v>0</v>
      </c>
      <c r="D405" s="399" t="str">
        <f>O!O82</f>
        <v>each</v>
      </c>
      <c r="E405" s="399">
        <f>O!Q82</f>
        <v>0</v>
      </c>
      <c r="F405" s="399">
        <f>O!T82</f>
        <v>0</v>
      </c>
      <c r="G405" s="408">
        <f>O!W82</f>
        <v>0</v>
      </c>
      <c r="H405" t="s">
        <v>843</v>
      </c>
    </row>
    <row r="406" spans="1:8" x14ac:dyDescent="0.2">
      <c r="A406" s="399">
        <f>O!C83</f>
        <v>348</v>
      </c>
      <c r="B406" s="399">
        <f>O!E83</f>
        <v>0</v>
      </c>
      <c r="C406" s="399">
        <f>O!N83</f>
        <v>0</v>
      </c>
      <c r="D406" s="399" t="str">
        <f>O!O83</f>
        <v>each</v>
      </c>
      <c r="E406" s="399">
        <f>O!Q83</f>
        <v>0</v>
      </c>
      <c r="F406" s="399">
        <f>O!T83</f>
        <v>0</v>
      </c>
      <c r="G406" s="408">
        <f>O!W83</f>
        <v>0</v>
      </c>
      <c r="H406" t="s">
        <v>843</v>
      </c>
    </row>
    <row r="407" spans="1:8" x14ac:dyDescent="0.2">
      <c r="A407" s="399">
        <f>O!C84</f>
        <v>349</v>
      </c>
      <c r="B407" s="399">
        <f>O!E84</f>
        <v>0</v>
      </c>
      <c r="C407" s="399">
        <f>O!N84</f>
        <v>0</v>
      </c>
      <c r="D407" s="399" t="str">
        <f>O!O84</f>
        <v>each</v>
      </c>
      <c r="E407" s="399">
        <f>O!Q84</f>
        <v>0</v>
      </c>
      <c r="F407" s="399">
        <f>O!T84</f>
        <v>0</v>
      </c>
      <c r="G407" s="408">
        <f>O!W84</f>
        <v>0</v>
      </c>
      <c r="H407" t="s">
        <v>843</v>
      </c>
    </row>
    <row r="408" spans="1:8" x14ac:dyDescent="0.2">
      <c r="A408" s="399">
        <f>O!C85</f>
        <v>350</v>
      </c>
      <c r="B408" s="399">
        <f>O!E85</f>
        <v>0</v>
      </c>
      <c r="C408" s="399">
        <f>O!N85</f>
        <v>0</v>
      </c>
      <c r="D408" s="399" t="str">
        <f>O!O85</f>
        <v>each</v>
      </c>
      <c r="E408" s="399">
        <f>O!Q85</f>
        <v>0</v>
      </c>
      <c r="F408" s="399">
        <f>O!T85</f>
        <v>0</v>
      </c>
      <c r="G408" s="408">
        <f>O!W85</f>
        <v>0</v>
      </c>
      <c r="H408" t="s">
        <v>843</v>
      </c>
    </row>
    <row r="409" spans="1:8" x14ac:dyDescent="0.2">
      <c r="A409" s="399">
        <f>O!C86</f>
        <v>351</v>
      </c>
      <c r="B409" s="399">
        <f>O!E86</f>
        <v>0</v>
      </c>
      <c r="C409" s="399">
        <f>O!N86</f>
        <v>0</v>
      </c>
      <c r="D409" s="399" t="str">
        <f>O!O86</f>
        <v>each</v>
      </c>
      <c r="E409" s="399">
        <f>O!Q86</f>
        <v>0</v>
      </c>
      <c r="F409" s="399">
        <f>O!T86</f>
        <v>0</v>
      </c>
      <c r="G409" s="408">
        <f>O!W86</f>
        <v>0</v>
      </c>
      <c r="H409" t="s">
        <v>843</v>
      </c>
    </row>
    <row r="410" spans="1:8" x14ac:dyDescent="0.2">
      <c r="A410" s="399">
        <f>O!C87</f>
        <v>352</v>
      </c>
      <c r="B410" s="399">
        <f>O!E87</f>
        <v>0</v>
      </c>
      <c r="C410" s="399">
        <f>O!N87</f>
        <v>0</v>
      </c>
      <c r="D410" s="399" t="str">
        <f>O!O87</f>
        <v>each</v>
      </c>
      <c r="E410" s="399">
        <f>O!Q87</f>
        <v>0</v>
      </c>
      <c r="F410" s="399">
        <f>O!T87</f>
        <v>0</v>
      </c>
      <c r="G410" s="408">
        <f>O!W87</f>
        <v>0</v>
      </c>
      <c r="H410" t="s">
        <v>843</v>
      </c>
    </row>
    <row r="411" spans="1:8" x14ac:dyDescent="0.2">
      <c r="A411" s="399">
        <f>O!C88</f>
        <v>353</v>
      </c>
      <c r="B411" s="399">
        <f>O!E88</f>
        <v>0</v>
      </c>
      <c r="C411" s="399">
        <f>O!N88</f>
        <v>0</v>
      </c>
      <c r="D411" s="399" t="str">
        <f>O!O88</f>
        <v>each</v>
      </c>
      <c r="E411" s="399">
        <f>O!Q88</f>
        <v>0</v>
      </c>
      <c r="F411" s="399">
        <f>O!T88</f>
        <v>0</v>
      </c>
      <c r="G411" s="408">
        <f>O!W88</f>
        <v>0</v>
      </c>
      <c r="H411" t="s">
        <v>843</v>
      </c>
    </row>
    <row r="412" spans="1:8" x14ac:dyDescent="0.2">
      <c r="A412" s="399">
        <f>O!C89</f>
        <v>354</v>
      </c>
      <c r="B412" s="399">
        <f>O!E89</f>
        <v>0</v>
      </c>
      <c r="C412" s="399">
        <f>O!N89</f>
        <v>0</v>
      </c>
      <c r="D412" s="399" t="str">
        <f>O!O89</f>
        <v>each</v>
      </c>
      <c r="E412" s="399">
        <f>O!Q89</f>
        <v>0</v>
      </c>
      <c r="F412" s="399">
        <f>O!T89</f>
        <v>0</v>
      </c>
      <c r="G412" s="408">
        <f>O!W89</f>
        <v>0</v>
      </c>
      <c r="H412" t="s">
        <v>843</v>
      </c>
    </row>
    <row r="413" spans="1:8" x14ac:dyDescent="0.2">
      <c r="A413" s="399">
        <f>O!C90</f>
        <v>355</v>
      </c>
      <c r="B413" s="399">
        <f>O!E90</f>
        <v>0</v>
      </c>
      <c r="C413" s="399">
        <f>O!N90</f>
        <v>0</v>
      </c>
      <c r="D413" s="399" t="str">
        <f>O!O90</f>
        <v>each</v>
      </c>
      <c r="E413" s="399">
        <f>O!Q90</f>
        <v>0</v>
      </c>
      <c r="F413" s="399">
        <f>O!T90</f>
        <v>0</v>
      </c>
      <c r="G413" s="408">
        <f>O!W90</f>
        <v>0</v>
      </c>
      <c r="H413" t="s">
        <v>843</v>
      </c>
    </row>
    <row r="414" spans="1:8" x14ac:dyDescent="0.2">
      <c r="A414" s="399">
        <f>O!C91</f>
        <v>356</v>
      </c>
      <c r="B414" s="399">
        <f>O!E91</f>
        <v>0</v>
      </c>
      <c r="C414" s="399">
        <f>O!N91</f>
        <v>0</v>
      </c>
      <c r="D414" s="399" t="str">
        <f>O!O91</f>
        <v>each</v>
      </c>
      <c r="E414" s="399">
        <f>O!Q91</f>
        <v>0</v>
      </c>
      <c r="F414" s="399">
        <f>O!T91</f>
        <v>0</v>
      </c>
      <c r="G414" s="408">
        <f>O!W91</f>
        <v>0</v>
      </c>
      <c r="H414" t="s">
        <v>843</v>
      </c>
    </row>
    <row r="415" spans="1:8" x14ac:dyDescent="0.2">
      <c r="A415" s="399">
        <f>O!C92</f>
        <v>357</v>
      </c>
      <c r="B415" s="399">
        <f>O!E92</f>
        <v>0</v>
      </c>
      <c r="C415" s="399">
        <f>O!N92</f>
        <v>0</v>
      </c>
      <c r="D415" s="399" t="str">
        <f>O!O92</f>
        <v>each</v>
      </c>
      <c r="E415" s="399">
        <f>O!Q92</f>
        <v>0</v>
      </c>
      <c r="F415" s="399">
        <f>O!T92</f>
        <v>0</v>
      </c>
      <c r="G415" s="408">
        <f>O!W92</f>
        <v>0</v>
      </c>
      <c r="H415" t="s">
        <v>843</v>
      </c>
    </row>
    <row r="416" spans="1:8" x14ac:dyDescent="0.2">
      <c r="A416" s="399">
        <f>O!C93</f>
        <v>358</v>
      </c>
      <c r="B416" s="399">
        <f>O!E93</f>
        <v>0</v>
      </c>
      <c r="C416" s="399">
        <f>O!N93</f>
        <v>0</v>
      </c>
      <c r="D416" s="399" t="str">
        <f>O!O93</f>
        <v>each</v>
      </c>
      <c r="E416" s="399">
        <f>O!Q93</f>
        <v>0</v>
      </c>
      <c r="F416" s="399">
        <f>O!T93</f>
        <v>0</v>
      </c>
      <c r="G416" s="408">
        <f>O!W93</f>
        <v>0</v>
      </c>
      <c r="H416" t="s">
        <v>843</v>
      </c>
    </row>
    <row r="417" spans="1:8" x14ac:dyDescent="0.2">
      <c r="A417" s="399">
        <f>O!C94</f>
        <v>359</v>
      </c>
      <c r="B417" s="399">
        <f>O!E94</f>
        <v>0</v>
      </c>
      <c r="C417" s="399">
        <f>O!N94</f>
        <v>0</v>
      </c>
      <c r="D417" s="399" t="str">
        <f>O!O94</f>
        <v>each</v>
      </c>
      <c r="E417" s="399">
        <f>O!Q94</f>
        <v>0</v>
      </c>
      <c r="F417" s="399">
        <f>O!T94</f>
        <v>0</v>
      </c>
      <c r="G417" s="408">
        <f>O!W94</f>
        <v>0</v>
      </c>
      <c r="H417" t="s">
        <v>843</v>
      </c>
    </row>
    <row r="418" spans="1:8" x14ac:dyDescent="0.2">
      <c r="A418" s="399">
        <f>O!C95</f>
        <v>360</v>
      </c>
      <c r="B418" s="399">
        <f>O!E95</f>
        <v>0</v>
      </c>
      <c r="C418" s="399">
        <f>O!N95</f>
        <v>0</v>
      </c>
      <c r="D418" s="399" t="str">
        <f>O!O95</f>
        <v>each</v>
      </c>
      <c r="E418" s="399">
        <f>O!Q95</f>
        <v>0</v>
      </c>
      <c r="F418" s="399">
        <f>O!T95</f>
        <v>0</v>
      </c>
      <c r="G418" s="408">
        <f>O!W95</f>
        <v>0</v>
      </c>
      <c r="H418" t="s">
        <v>843</v>
      </c>
    </row>
    <row r="419" spans="1:8" x14ac:dyDescent="0.2">
      <c r="A419" s="399">
        <f>O!C96</f>
        <v>361</v>
      </c>
      <c r="B419" s="399">
        <f>O!E96</f>
        <v>0</v>
      </c>
      <c r="C419" s="399">
        <f>O!N96</f>
        <v>0</v>
      </c>
      <c r="D419" s="399" t="str">
        <f>O!O96</f>
        <v>each</v>
      </c>
      <c r="E419" s="399">
        <f>O!Q96</f>
        <v>0</v>
      </c>
      <c r="F419" s="399">
        <f>O!T96</f>
        <v>0</v>
      </c>
      <c r="G419" s="408">
        <f>O!W96</f>
        <v>0</v>
      </c>
      <c r="H419" t="s">
        <v>843</v>
      </c>
    </row>
    <row r="420" spans="1:8" x14ac:dyDescent="0.2">
      <c r="A420" s="399">
        <f>O!C97</f>
        <v>362</v>
      </c>
      <c r="B420" s="399">
        <f>O!E97</f>
        <v>0</v>
      </c>
      <c r="C420" s="399">
        <f>O!N97</f>
        <v>0</v>
      </c>
      <c r="D420" s="399" t="str">
        <f>O!O97</f>
        <v>each</v>
      </c>
      <c r="E420" s="399">
        <f>O!Q97</f>
        <v>0</v>
      </c>
      <c r="F420" s="399">
        <f>O!T97</f>
        <v>0</v>
      </c>
      <c r="G420" s="408">
        <f>O!W97</f>
        <v>0</v>
      </c>
      <c r="H420" t="s">
        <v>843</v>
      </c>
    </row>
    <row r="421" spans="1:8" x14ac:dyDescent="0.2">
      <c r="A421" s="399">
        <f>O!C98</f>
        <v>363</v>
      </c>
      <c r="B421" s="399">
        <f>O!E98</f>
        <v>0</v>
      </c>
      <c r="C421" s="399">
        <f>O!N98</f>
        <v>0</v>
      </c>
      <c r="D421" s="399" t="str">
        <f>O!O98</f>
        <v>each</v>
      </c>
      <c r="E421" s="399">
        <f>O!Q98</f>
        <v>0</v>
      </c>
      <c r="F421" s="399">
        <f>O!T98</f>
        <v>0</v>
      </c>
      <c r="G421" s="408">
        <f>O!W98</f>
        <v>0</v>
      </c>
      <c r="H421" t="s">
        <v>843</v>
      </c>
    </row>
    <row r="422" spans="1:8" x14ac:dyDescent="0.2">
      <c r="A422" s="399">
        <f>O!C99</f>
        <v>364</v>
      </c>
      <c r="B422" s="399">
        <f>O!E99</f>
        <v>0</v>
      </c>
      <c r="C422" s="399">
        <f>O!N99</f>
        <v>0</v>
      </c>
      <c r="D422" s="399" t="str">
        <f>O!O99</f>
        <v>each</v>
      </c>
      <c r="E422" s="399">
        <f>O!Q99</f>
        <v>0</v>
      </c>
      <c r="F422" s="399">
        <f>O!T99</f>
        <v>0</v>
      </c>
      <c r="G422" s="408">
        <f>O!W99</f>
        <v>0</v>
      </c>
      <c r="H422" t="s">
        <v>843</v>
      </c>
    </row>
    <row r="423" spans="1:8" x14ac:dyDescent="0.2">
      <c r="A423" s="399">
        <f>O!C100</f>
        <v>365</v>
      </c>
      <c r="B423" s="399">
        <f>O!E100</f>
        <v>0</v>
      </c>
      <c r="C423" s="399">
        <f>O!N100</f>
        <v>0</v>
      </c>
      <c r="D423" s="399" t="str">
        <f>O!O100</f>
        <v>each</v>
      </c>
      <c r="E423" s="399">
        <f>O!Q100</f>
        <v>0</v>
      </c>
      <c r="F423" s="399">
        <f>O!T100</f>
        <v>0</v>
      </c>
      <c r="G423" s="408">
        <f>O!W100</f>
        <v>0</v>
      </c>
      <c r="H423" t="s">
        <v>843</v>
      </c>
    </row>
    <row r="424" spans="1:8" x14ac:dyDescent="0.2">
      <c r="A424" s="399">
        <f>O!C101</f>
        <v>366</v>
      </c>
      <c r="B424" s="399">
        <f>O!E101</f>
        <v>0</v>
      </c>
      <c r="C424" s="399">
        <f>O!N101</f>
        <v>0</v>
      </c>
      <c r="D424" s="399" t="str">
        <f>O!O101</f>
        <v>each</v>
      </c>
      <c r="E424" s="399">
        <f>O!Q101</f>
        <v>0</v>
      </c>
      <c r="F424" s="399">
        <f>O!T101</f>
        <v>0</v>
      </c>
      <c r="G424" s="408">
        <f>O!W101</f>
        <v>0</v>
      </c>
      <c r="H424" t="s">
        <v>843</v>
      </c>
    </row>
    <row r="425" spans="1:8" x14ac:dyDescent="0.2">
      <c r="A425" s="399">
        <f>O!C102</f>
        <v>367</v>
      </c>
      <c r="B425" s="399">
        <f>O!E102</f>
        <v>0</v>
      </c>
      <c r="C425" s="399">
        <f>O!N102</f>
        <v>0</v>
      </c>
      <c r="D425" s="399" t="str">
        <f>O!O102</f>
        <v>each</v>
      </c>
      <c r="E425" s="399">
        <f>O!Q102</f>
        <v>0</v>
      </c>
      <c r="F425" s="399">
        <f>O!T102</f>
        <v>0</v>
      </c>
      <c r="G425" s="408">
        <f>O!W102</f>
        <v>0</v>
      </c>
      <c r="H425" t="s">
        <v>843</v>
      </c>
    </row>
    <row r="426" spans="1:8" x14ac:dyDescent="0.2">
      <c r="A426" s="399">
        <f>O!C103</f>
        <v>368</v>
      </c>
      <c r="B426" s="399">
        <f>O!E103</f>
        <v>0</v>
      </c>
      <c r="C426" s="399">
        <f>O!N103</f>
        <v>0</v>
      </c>
      <c r="D426" s="399" t="str">
        <f>O!O103</f>
        <v>each</v>
      </c>
      <c r="E426" s="399">
        <f>O!Q103</f>
        <v>0</v>
      </c>
      <c r="F426" s="399">
        <f>O!T103</f>
        <v>0</v>
      </c>
      <c r="G426" s="408">
        <f>O!W103</f>
        <v>0</v>
      </c>
      <c r="H426" t="s">
        <v>843</v>
      </c>
    </row>
    <row r="427" spans="1:8" x14ac:dyDescent="0.2">
      <c r="A427" s="399">
        <f>O!C104</f>
        <v>369</v>
      </c>
      <c r="B427" s="399">
        <f>O!E104</f>
        <v>0</v>
      </c>
      <c r="C427" s="399">
        <f>O!N104</f>
        <v>0</v>
      </c>
      <c r="D427" s="399" t="str">
        <f>O!O104</f>
        <v>each</v>
      </c>
      <c r="E427" s="399">
        <f>O!Q104</f>
        <v>0</v>
      </c>
      <c r="F427" s="399">
        <f>O!T104</f>
        <v>0</v>
      </c>
      <c r="G427" s="408">
        <f>O!W104</f>
        <v>0</v>
      </c>
      <c r="H427" t="s">
        <v>843</v>
      </c>
    </row>
    <row r="428" spans="1:8" x14ac:dyDescent="0.2">
      <c r="A428" s="399">
        <f>O!C105</f>
        <v>370</v>
      </c>
      <c r="B428" s="399">
        <f>O!E105</f>
        <v>0</v>
      </c>
      <c r="C428" s="399">
        <f>O!N105</f>
        <v>0</v>
      </c>
      <c r="D428" s="399" t="str">
        <f>O!O105</f>
        <v>each</v>
      </c>
      <c r="E428" s="399">
        <f>O!Q105</f>
        <v>0</v>
      </c>
      <c r="F428" s="399">
        <f>O!T105</f>
        <v>0</v>
      </c>
      <c r="G428" s="408">
        <f>O!W105</f>
        <v>0</v>
      </c>
      <c r="H428" t="s">
        <v>843</v>
      </c>
    </row>
    <row r="429" spans="1:8" x14ac:dyDescent="0.2">
      <c r="A429" s="399">
        <f>O!C106</f>
        <v>371</v>
      </c>
      <c r="B429" s="399">
        <f>O!E106</f>
        <v>0</v>
      </c>
      <c r="C429" s="399">
        <f>O!N106</f>
        <v>0</v>
      </c>
      <c r="D429" s="399" t="str">
        <f>O!O106</f>
        <v>each</v>
      </c>
      <c r="E429" s="399">
        <f>O!Q106</f>
        <v>0</v>
      </c>
      <c r="F429" s="399">
        <f>O!T106</f>
        <v>0</v>
      </c>
      <c r="G429" s="408">
        <f>O!W106</f>
        <v>0</v>
      </c>
      <c r="H429" t="s">
        <v>843</v>
      </c>
    </row>
    <row r="430" spans="1:8" x14ac:dyDescent="0.2">
      <c r="A430" s="399">
        <f>O!C107</f>
        <v>372</v>
      </c>
      <c r="B430" s="399">
        <f>O!E107</f>
        <v>0</v>
      </c>
      <c r="C430" s="399">
        <f>O!N107</f>
        <v>0</v>
      </c>
      <c r="D430" s="399" t="str">
        <f>O!O107</f>
        <v>each</v>
      </c>
      <c r="E430" s="399">
        <f>O!Q107</f>
        <v>0</v>
      </c>
      <c r="F430" s="399">
        <f>O!T107</f>
        <v>0</v>
      </c>
      <c r="G430" s="408">
        <f>O!W107</f>
        <v>0</v>
      </c>
      <c r="H430" t="s">
        <v>843</v>
      </c>
    </row>
    <row r="431" spans="1:8" x14ac:dyDescent="0.2">
      <c r="A431" s="399">
        <f>O!C108</f>
        <v>373</v>
      </c>
      <c r="B431" s="399">
        <f>O!E108</f>
        <v>0</v>
      </c>
      <c r="C431" s="399">
        <f>O!N108</f>
        <v>0</v>
      </c>
      <c r="D431" s="399" t="str">
        <f>O!O108</f>
        <v>each</v>
      </c>
      <c r="E431" s="399">
        <f>O!Q108</f>
        <v>0</v>
      </c>
      <c r="F431" s="399">
        <f>O!T108</f>
        <v>0</v>
      </c>
      <c r="G431" s="408">
        <f>O!W108</f>
        <v>0</v>
      </c>
      <c r="H431" t="s">
        <v>843</v>
      </c>
    </row>
    <row r="432" spans="1:8" x14ac:dyDescent="0.2">
      <c r="A432" s="399">
        <f>O!C109</f>
        <v>374</v>
      </c>
      <c r="B432" s="399">
        <f>O!E109</f>
        <v>0</v>
      </c>
      <c r="C432" s="399">
        <f>O!N109</f>
        <v>0</v>
      </c>
      <c r="D432" s="399" t="str">
        <f>O!O109</f>
        <v>each</v>
      </c>
      <c r="E432" s="399">
        <f>O!Q109</f>
        <v>0</v>
      </c>
      <c r="F432" s="399">
        <f>O!T109</f>
        <v>0</v>
      </c>
      <c r="G432" s="408">
        <f>O!W109</f>
        <v>0</v>
      </c>
      <c r="H432" t="s">
        <v>843</v>
      </c>
    </row>
    <row r="433" spans="1:8" x14ac:dyDescent="0.2">
      <c r="A433" s="399">
        <f>O!C110</f>
        <v>375</v>
      </c>
      <c r="B433" s="399">
        <f>O!E110</f>
        <v>0</v>
      </c>
      <c r="C433" s="399">
        <f>O!N110</f>
        <v>0</v>
      </c>
      <c r="D433" s="399" t="str">
        <f>O!O110</f>
        <v>each</v>
      </c>
      <c r="E433" s="399">
        <f>O!Q110</f>
        <v>0</v>
      </c>
      <c r="F433" s="399">
        <f>O!T110</f>
        <v>0</v>
      </c>
      <c r="G433" s="408">
        <f>O!W110</f>
        <v>0</v>
      </c>
      <c r="H433" t="s">
        <v>843</v>
      </c>
    </row>
    <row r="434" spans="1:8" x14ac:dyDescent="0.2">
      <c r="A434" s="399">
        <f>O!C111</f>
        <v>376</v>
      </c>
      <c r="B434" s="399">
        <f>O!E111</f>
        <v>0</v>
      </c>
      <c r="C434" s="399">
        <f>O!N111</f>
        <v>0</v>
      </c>
      <c r="D434" s="399" t="str">
        <f>O!O111</f>
        <v>each</v>
      </c>
      <c r="E434" s="399">
        <f>O!Q111</f>
        <v>0</v>
      </c>
      <c r="F434" s="399">
        <f>O!T111</f>
        <v>0</v>
      </c>
      <c r="G434" s="408">
        <f>O!W111</f>
        <v>0</v>
      </c>
      <c r="H434" t="s">
        <v>843</v>
      </c>
    </row>
    <row r="435" spans="1:8" x14ac:dyDescent="0.2">
      <c r="A435" s="399">
        <f>O!C112</f>
        <v>377</v>
      </c>
      <c r="B435" s="399">
        <f>O!E112</f>
        <v>0</v>
      </c>
      <c r="C435" s="399">
        <f>O!N112</f>
        <v>0</v>
      </c>
      <c r="D435" s="399" t="str">
        <f>O!O112</f>
        <v>each</v>
      </c>
      <c r="E435" s="399">
        <f>O!Q112</f>
        <v>0</v>
      </c>
      <c r="F435" s="399">
        <f>O!T112</f>
        <v>0</v>
      </c>
      <c r="G435" s="408">
        <f>O!W112</f>
        <v>0</v>
      </c>
      <c r="H435" t="s">
        <v>843</v>
      </c>
    </row>
    <row r="436" spans="1:8" x14ac:dyDescent="0.2">
      <c r="A436" s="399">
        <f>O!C113</f>
        <v>378</v>
      </c>
      <c r="B436" s="399">
        <f>O!E113</f>
        <v>0</v>
      </c>
      <c r="C436" s="399">
        <f>O!N113</f>
        <v>0</v>
      </c>
      <c r="D436" s="399" t="str">
        <f>O!O113</f>
        <v>each</v>
      </c>
      <c r="E436" s="399">
        <f>O!Q113</f>
        <v>0</v>
      </c>
      <c r="F436" s="399">
        <f>O!T113</f>
        <v>0</v>
      </c>
      <c r="G436" s="408">
        <f>O!W113</f>
        <v>0</v>
      </c>
      <c r="H436" t="s">
        <v>843</v>
      </c>
    </row>
    <row r="437" spans="1:8" x14ac:dyDescent="0.2">
      <c r="A437" s="399">
        <f>O!C114</f>
        <v>379</v>
      </c>
      <c r="B437" s="399">
        <f>O!E114</f>
        <v>0</v>
      </c>
      <c r="C437" s="399">
        <f>O!N114</f>
        <v>0</v>
      </c>
      <c r="D437" s="399" t="str">
        <f>O!O114</f>
        <v>each</v>
      </c>
      <c r="E437" s="399">
        <f>O!Q114</f>
        <v>0</v>
      </c>
      <c r="F437" s="399">
        <f>O!T114</f>
        <v>0</v>
      </c>
      <c r="G437" s="408">
        <f>O!W114</f>
        <v>0</v>
      </c>
      <c r="H437" t="s">
        <v>843</v>
      </c>
    </row>
    <row r="438" spans="1:8" x14ac:dyDescent="0.2">
      <c r="A438" s="399">
        <f>O!C115</f>
        <v>380</v>
      </c>
      <c r="B438" s="399">
        <f>O!E115</f>
        <v>0</v>
      </c>
      <c r="C438" s="399">
        <f>O!N115</f>
        <v>0</v>
      </c>
      <c r="D438" s="399" t="str">
        <f>O!O115</f>
        <v>each</v>
      </c>
      <c r="E438" s="399">
        <f>O!Q115</f>
        <v>0</v>
      </c>
      <c r="F438" s="399">
        <f>O!T115</f>
        <v>0</v>
      </c>
      <c r="G438" s="408">
        <f>O!W115</f>
        <v>0</v>
      </c>
      <c r="H438" t="s">
        <v>843</v>
      </c>
    </row>
    <row r="439" spans="1:8" x14ac:dyDescent="0.2">
      <c r="A439" s="399">
        <f>O!C116</f>
        <v>381</v>
      </c>
      <c r="B439" s="399">
        <f>O!E116</f>
        <v>0</v>
      </c>
      <c r="C439" s="399">
        <f>O!N116</f>
        <v>0</v>
      </c>
      <c r="D439" s="399" t="str">
        <f>O!O116</f>
        <v>each</v>
      </c>
      <c r="E439" s="399">
        <f>O!Q116</f>
        <v>0</v>
      </c>
      <c r="F439" s="399">
        <f>O!T116</f>
        <v>0</v>
      </c>
      <c r="G439" s="408">
        <f>O!W116</f>
        <v>0</v>
      </c>
      <c r="H439" t="s">
        <v>843</v>
      </c>
    </row>
    <row r="440" spans="1:8" x14ac:dyDescent="0.2">
      <c r="A440" s="399">
        <f>O!C117</f>
        <v>382</v>
      </c>
      <c r="B440" s="399">
        <f>O!E117</f>
        <v>0</v>
      </c>
      <c r="C440" s="399">
        <f>O!N117</f>
        <v>0</v>
      </c>
      <c r="D440" s="399" t="str">
        <f>O!O117</f>
        <v>each</v>
      </c>
      <c r="E440" s="399">
        <f>O!Q117</f>
        <v>0</v>
      </c>
      <c r="F440" s="399">
        <f>O!T117</f>
        <v>0</v>
      </c>
      <c r="G440" s="408">
        <f>O!W117</f>
        <v>0</v>
      </c>
      <c r="H440" t="s">
        <v>843</v>
      </c>
    </row>
    <row r="441" spans="1:8" x14ac:dyDescent="0.2">
      <c r="A441" s="399">
        <f>O!C118</f>
        <v>383</v>
      </c>
      <c r="B441" s="399">
        <f>O!E118</f>
        <v>0</v>
      </c>
      <c r="C441" s="399">
        <f>O!N118</f>
        <v>0</v>
      </c>
      <c r="D441" s="399" t="str">
        <f>O!O118</f>
        <v>each</v>
      </c>
      <c r="E441" s="399">
        <f>O!Q118</f>
        <v>0</v>
      </c>
      <c r="F441" s="399">
        <f>O!T118</f>
        <v>0</v>
      </c>
      <c r="G441" s="408">
        <f>O!W118</f>
        <v>0</v>
      </c>
      <c r="H441" t="s">
        <v>843</v>
      </c>
    </row>
    <row r="442" spans="1:8" x14ac:dyDescent="0.2">
      <c r="A442" s="399">
        <f>O!C119</f>
        <v>384</v>
      </c>
      <c r="B442" s="399">
        <f>O!E119</f>
        <v>0</v>
      </c>
      <c r="C442" s="399">
        <f>O!N119</f>
        <v>0</v>
      </c>
      <c r="D442" s="399" t="str">
        <f>O!O119</f>
        <v>each</v>
      </c>
      <c r="E442" s="399">
        <f>O!Q119</f>
        <v>0</v>
      </c>
      <c r="F442" s="399">
        <f>O!T119</f>
        <v>0</v>
      </c>
      <c r="G442" s="408">
        <f>O!W119</f>
        <v>0</v>
      </c>
      <c r="H442" t="s">
        <v>843</v>
      </c>
    </row>
    <row r="443" spans="1:8" x14ac:dyDescent="0.2">
      <c r="A443" s="399">
        <f>O!C120</f>
        <v>385</v>
      </c>
      <c r="B443" s="399">
        <f>O!E120</f>
        <v>0</v>
      </c>
      <c r="C443" s="399">
        <f>O!N120</f>
        <v>0</v>
      </c>
      <c r="D443" s="399" t="str">
        <f>O!O120</f>
        <v>each</v>
      </c>
      <c r="E443" s="399">
        <f>O!Q120</f>
        <v>0</v>
      </c>
      <c r="F443" s="399">
        <f>O!T120</f>
        <v>0</v>
      </c>
      <c r="G443" s="408">
        <f>O!W120</f>
        <v>0</v>
      </c>
      <c r="H443" t="s">
        <v>843</v>
      </c>
    </row>
    <row r="444" spans="1:8" x14ac:dyDescent="0.2">
      <c r="A444" s="399">
        <f>O!C121</f>
        <v>386</v>
      </c>
      <c r="B444" s="399">
        <f>O!E121</f>
        <v>0</v>
      </c>
      <c r="C444" s="399">
        <f>O!N121</f>
        <v>0</v>
      </c>
      <c r="D444" s="399" t="str">
        <f>O!O121</f>
        <v>each</v>
      </c>
      <c r="E444" s="399">
        <f>O!Q121</f>
        <v>0</v>
      </c>
      <c r="F444" s="399">
        <f>O!T121</f>
        <v>0</v>
      </c>
      <c r="G444" s="408">
        <f>O!W121</f>
        <v>0</v>
      </c>
      <c r="H444" t="s">
        <v>843</v>
      </c>
    </row>
    <row r="445" spans="1:8" x14ac:dyDescent="0.2">
      <c r="A445" s="399">
        <f>O!C122</f>
        <v>387</v>
      </c>
      <c r="B445" s="399">
        <f>O!E122</f>
        <v>0</v>
      </c>
      <c r="C445" s="399">
        <f>O!N122</f>
        <v>0</v>
      </c>
      <c r="D445" s="399" t="str">
        <f>O!O122</f>
        <v>each</v>
      </c>
      <c r="E445" s="399">
        <f>O!Q122</f>
        <v>0</v>
      </c>
      <c r="F445" s="399">
        <f>O!T122</f>
        <v>0</v>
      </c>
      <c r="G445" s="408">
        <f>O!W122</f>
        <v>0</v>
      </c>
      <c r="H445" t="s">
        <v>843</v>
      </c>
    </row>
    <row r="446" spans="1:8" x14ac:dyDescent="0.2">
      <c r="A446" s="399">
        <f>O!C123</f>
        <v>388</v>
      </c>
      <c r="B446" s="399">
        <f>O!E123</f>
        <v>0</v>
      </c>
      <c r="C446" s="399">
        <f>O!N123</f>
        <v>0</v>
      </c>
      <c r="D446" s="399" t="str">
        <f>O!O123</f>
        <v>each</v>
      </c>
      <c r="E446" s="399">
        <f>O!Q123</f>
        <v>0</v>
      </c>
      <c r="F446" s="399">
        <f>O!T123</f>
        <v>0</v>
      </c>
      <c r="G446" s="408">
        <f>O!W123</f>
        <v>0</v>
      </c>
      <c r="H446" t="s">
        <v>843</v>
      </c>
    </row>
    <row r="447" spans="1:8" x14ac:dyDescent="0.2">
      <c r="A447" s="399">
        <f>O!C124</f>
        <v>389</v>
      </c>
      <c r="B447" s="399">
        <f>O!E124</f>
        <v>0</v>
      </c>
      <c r="C447" s="399">
        <f>O!N124</f>
        <v>0</v>
      </c>
      <c r="D447" s="399" t="str">
        <f>O!O124</f>
        <v>each</v>
      </c>
      <c r="E447" s="399">
        <f>O!Q124</f>
        <v>0</v>
      </c>
      <c r="F447" s="399">
        <f>O!T124</f>
        <v>0</v>
      </c>
      <c r="G447" s="408">
        <f>O!W124</f>
        <v>0</v>
      </c>
      <c r="H447" t="s">
        <v>843</v>
      </c>
    </row>
    <row r="448" spans="1:8" x14ac:dyDescent="0.2">
      <c r="A448" s="399">
        <f>O!C125</f>
        <v>390</v>
      </c>
      <c r="B448" s="399">
        <f>O!E125</f>
        <v>0</v>
      </c>
      <c r="C448" s="399">
        <f>O!N125</f>
        <v>0</v>
      </c>
      <c r="D448" s="399" t="str">
        <f>O!O125</f>
        <v>each</v>
      </c>
      <c r="E448" s="399">
        <f>O!Q125</f>
        <v>0</v>
      </c>
      <c r="F448" s="399">
        <f>O!T125</f>
        <v>0</v>
      </c>
      <c r="G448" s="408">
        <f>O!W125</f>
        <v>0</v>
      </c>
      <c r="H448" t="s">
        <v>843</v>
      </c>
    </row>
    <row r="449" spans="1:8" x14ac:dyDescent="0.2">
      <c r="A449" s="399">
        <f>O!C126</f>
        <v>391</v>
      </c>
      <c r="B449" s="399">
        <f>O!E126</f>
        <v>0</v>
      </c>
      <c r="C449" s="399">
        <f>O!N126</f>
        <v>0</v>
      </c>
      <c r="D449" s="399" t="str">
        <f>O!O126</f>
        <v>each</v>
      </c>
      <c r="E449" s="399">
        <f>O!Q126</f>
        <v>0</v>
      </c>
      <c r="F449" s="399">
        <f>O!T126</f>
        <v>0</v>
      </c>
      <c r="G449" s="408">
        <f>O!W126</f>
        <v>0</v>
      </c>
      <c r="H449" t="s">
        <v>843</v>
      </c>
    </row>
    <row r="450" spans="1:8" x14ac:dyDescent="0.2">
      <c r="A450" s="399">
        <f>O!C127</f>
        <v>392</v>
      </c>
      <c r="B450" s="399">
        <f>O!E127</f>
        <v>0</v>
      </c>
      <c r="C450" s="399">
        <f>O!N127</f>
        <v>0</v>
      </c>
      <c r="D450" s="399" t="str">
        <f>O!O127</f>
        <v>each</v>
      </c>
      <c r="E450" s="399">
        <f>O!Q127</f>
        <v>0</v>
      </c>
      <c r="F450" s="399">
        <f>O!T127</f>
        <v>0</v>
      </c>
      <c r="G450" s="408">
        <f>O!W127</f>
        <v>0</v>
      </c>
      <c r="H450" t="s">
        <v>843</v>
      </c>
    </row>
    <row r="451" spans="1:8" x14ac:dyDescent="0.2">
      <c r="A451" s="399">
        <f>O!C128</f>
        <v>393</v>
      </c>
      <c r="B451" s="399">
        <f>O!E128</f>
        <v>0</v>
      </c>
      <c r="C451" s="399">
        <f>O!N128</f>
        <v>0</v>
      </c>
      <c r="D451" s="399" t="str">
        <f>O!O128</f>
        <v>each</v>
      </c>
      <c r="E451" s="399">
        <f>O!Q128</f>
        <v>0</v>
      </c>
      <c r="F451" s="399">
        <f>O!T128</f>
        <v>0</v>
      </c>
      <c r="G451" s="408">
        <f>O!W128</f>
        <v>0</v>
      </c>
      <c r="H451" t="s">
        <v>843</v>
      </c>
    </row>
    <row r="452" spans="1:8" x14ac:dyDescent="0.2">
      <c r="A452" s="399">
        <f>O!C129</f>
        <v>394</v>
      </c>
      <c r="B452" s="399">
        <f>O!E129</f>
        <v>0</v>
      </c>
      <c r="C452" s="399">
        <f>O!N129</f>
        <v>0</v>
      </c>
      <c r="D452" s="399" t="str">
        <f>O!O129</f>
        <v>each</v>
      </c>
      <c r="E452" s="399">
        <f>O!Q129</f>
        <v>0</v>
      </c>
      <c r="F452" s="399">
        <f>O!T129</f>
        <v>0</v>
      </c>
      <c r="G452" s="408">
        <f>O!W129</f>
        <v>0</v>
      </c>
      <c r="H452" t="s">
        <v>843</v>
      </c>
    </row>
    <row r="453" spans="1:8" x14ac:dyDescent="0.2">
      <c r="A453" s="399">
        <f>O!C130</f>
        <v>395</v>
      </c>
      <c r="B453" s="399">
        <f>O!E130</f>
        <v>0</v>
      </c>
      <c r="C453" s="399">
        <f>O!N130</f>
        <v>0</v>
      </c>
      <c r="D453" s="399" t="str">
        <f>O!O130</f>
        <v>each</v>
      </c>
      <c r="E453" s="399">
        <f>O!Q130</f>
        <v>0</v>
      </c>
      <c r="F453" s="399">
        <f>O!T130</f>
        <v>0</v>
      </c>
      <c r="G453" s="408">
        <f>O!W130</f>
        <v>0</v>
      </c>
      <c r="H453" t="s">
        <v>843</v>
      </c>
    </row>
    <row r="454" spans="1:8" x14ac:dyDescent="0.2">
      <c r="A454" s="399">
        <f>O!C131</f>
        <v>396</v>
      </c>
      <c r="B454" s="399">
        <f>O!E131</f>
        <v>0</v>
      </c>
      <c r="C454" s="399">
        <f>O!N131</f>
        <v>0</v>
      </c>
      <c r="D454" s="399" t="str">
        <f>O!O131</f>
        <v>each</v>
      </c>
      <c r="E454" s="399">
        <f>O!Q131</f>
        <v>0</v>
      </c>
      <c r="F454" s="399">
        <f>O!T131</f>
        <v>0</v>
      </c>
      <c r="G454" s="408">
        <f>O!W131</f>
        <v>0</v>
      </c>
      <c r="H454" t="s">
        <v>843</v>
      </c>
    </row>
    <row r="455" spans="1:8" x14ac:dyDescent="0.2">
      <c r="A455" s="399">
        <f>O!C132</f>
        <v>397</v>
      </c>
      <c r="B455" s="399">
        <f>O!E132</f>
        <v>0</v>
      </c>
      <c r="C455" s="399">
        <f>O!N132</f>
        <v>0</v>
      </c>
      <c r="D455" s="399" t="str">
        <f>O!O132</f>
        <v>each</v>
      </c>
      <c r="E455" s="399">
        <f>O!Q132</f>
        <v>0</v>
      </c>
      <c r="F455" s="399">
        <f>O!T132</f>
        <v>0</v>
      </c>
      <c r="G455" s="408">
        <f>O!W132</f>
        <v>0</v>
      </c>
      <c r="H455" t="s">
        <v>843</v>
      </c>
    </row>
    <row r="456" spans="1:8" x14ac:dyDescent="0.2">
      <c r="A456" s="399">
        <f>O!C133</f>
        <v>398</v>
      </c>
      <c r="B456" s="399">
        <f>O!E133</f>
        <v>0</v>
      </c>
      <c r="C456" s="399">
        <f>O!N133</f>
        <v>0</v>
      </c>
      <c r="D456" s="399" t="str">
        <f>O!O133</f>
        <v>each</v>
      </c>
      <c r="E456" s="399">
        <f>O!Q133</f>
        <v>0</v>
      </c>
      <c r="F456" s="399">
        <f>O!T133</f>
        <v>0</v>
      </c>
      <c r="G456" s="408">
        <f>O!W133</f>
        <v>0</v>
      </c>
      <c r="H456" t="s">
        <v>843</v>
      </c>
    </row>
    <row r="457" spans="1:8" x14ac:dyDescent="0.2">
      <c r="A457" s="399">
        <f>O!C134</f>
        <v>399</v>
      </c>
      <c r="B457" s="399">
        <f>O!E134</f>
        <v>0</v>
      </c>
      <c r="C457" s="399">
        <f>O!N134</f>
        <v>0</v>
      </c>
      <c r="D457" s="399" t="str">
        <f>O!O134</f>
        <v>each</v>
      </c>
      <c r="E457" s="399">
        <f>O!Q134</f>
        <v>0</v>
      </c>
      <c r="F457" s="399">
        <f>O!T134</f>
        <v>0</v>
      </c>
      <c r="G457" s="408">
        <f>O!W134</f>
        <v>0</v>
      </c>
      <c r="H457" t="s">
        <v>843</v>
      </c>
    </row>
    <row r="458" spans="1:8" x14ac:dyDescent="0.2">
      <c r="A458" s="399"/>
      <c r="B458" s="399"/>
      <c r="C458" s="399"/>
      <c r="E458" s="399"/>
      <c r="F458" s="399" t="str">
        <f>O!O135</f>
        <v>Sub Total O</v>
      </c>
      <c r="G458" s="408">
        <f>O!W135</f>
        <v>0</v>
      </c>
      <c r="H458" t="s">
        <v>843</v>
      </c>
    </row>
    <row r="459" spans="1:8" x14ac:dyDescent="0.2">
      <c r="A459" s="399"/>
      <c r="B459" s="399"/>
      <c r="C459" s="399"/>
      <c r="E459" s="399"/>
      <c r="F459" s="399" t="str">
        <f>O!O136</f>
        <v>Handling O</v>
      </c>
      <c r="G459" s="408">
        <f>O!W136</f>
        <v>0</v>
      </c>
      <c r="H459" t="s">
        <v>843</v>
      </c>
    </row>
    <row r="460" spans="1:8" x14ac:dyDescent="0.2">
      <c r="A460" s="399"/>
      <c r="B460" s="399"/>
      <c r="C460" s="399"/>
      <c r="E460" s="399"/>
      <c r="F460" s="399" t="str">
        <f>O!O137</f>
        <v>Total O</v>
      </c>
      <c r="G460" s="408">
        <f>O!W137</f>
        <v>0</v>
      </c>
      <c r="H460" t="s">
        <v>843</v>
      </c>
    </row>
    <row r="461" spans="1:8" x14ac:dyDescent="0.2">
      <c r="A461" s="399"/>
      <c r="B461" s="399"/>
      <c r="C461" s="399"/>
      <c r="D461" s="399"/>
      <c r="E461" s="399"/>
      <c r="F461" s="399"/>
    </row>
    <row r="462" spans="1:8" x14ac:dyDescent="0.2">
      <c r="A462" t="s">
        <v>821</v>
      </c>
      <c r="B462" t="s">
        <v>822</v>
      </c>
      <c r="C462" t="s">
        <v>376</v>
      </c>
      <c r="D462" t="s">
        <v>823</v>
      </c>
      <c r="E462" t="s">
        <v>220</v>
      </c>
      <c r="F462" t="s">
        <v>400</v>
      </c>
      <c r="G462" s="408" t="s">
        <v>370</v>
      </c>
    </row>
    <row r="463" spans="1:8" x14ac:dyDescent="0.2">
      <c r="A463" t="str">
        <f>IF(G463&gt;0,Q!C7,"")</f>
        <v/>
      </c>
      <c r="B463" t="str">
        <f>Q!E7</f>
        <v>File Conversion &amp; Transcoding</v>
      </c>
      <c r="C463">
        <f>Q!O7</f>
        <v>0</v>
      </c>
      <c r="D463" t="str">
        <f>Q!P7</f>
        <v>hours</v>
      </c>
      <c r="E463" s="45">
        <f>Q!S7</f>
        <v>0</v>
      </c>
      <c r="F463" s="400">
        <f>Q!V7</f>
        <v>0</v>
      </c>
      <c r="G463" s="408">
        <f>Q!W7</f>
        <v>0</v>
      </c>
      <c r="H463" t="s">
        <v>844</v>
      </c>
    </row>
    <row r="464" spans="1:8" x14ac:dyDescent="0.2">
      <c r="A464" t="str">
        <f>IF(G464&gt;0,Q!C8,"")</f>
        <v/>
      </c>
      <c r="B464" t="str">
        <f>Q!E8</f>
        <v>Breakdown</v>
      </c>
      <c r="C464">
        <f>Q!O8</f>
        <v>0</v>
      </c>
      <c r="D464" t="str">
        <f>Q!P8</f>
        <v>hours</v>
      </c>
      <c r="E464" s="45">
        <f>Q!S8</f>
        <v>0</v>
      </c>
      <c r="F464" s="400">
        <f>Q!V8</f>
        <v>0</v>
      </c>
      <c r="G464" s="408">
        <f>Q!W8</f>
        <v>0</v>
      </c>
      <c r="H464" t="s">
        <v>844</v>
      </c>
    </row>
    <row r="465" spans="1:8" x14ac:dyDescent="0.2">
      <c r="A465" t="str">
        <f>IF(G465&gt;0,Q!C9,"")</f>
        <v/>
      </c>
      <c r="B465" t="str">
        <f>Q!E9</f>
        <v>Stock Footage Search</v>
      </c>
      <c r="C465">
        <f>Q!O9</f>
        <v>0</v>
      </c>
      <c r="D465" t="str">
        <f>Q!P9</f>
        <v>hours</v>
      </c>
      <c r="E465" s="45">
        <f>Q!S9</f>
        <v>0</v>
      </c>
      <c r="F465" s="400">
        <f>Q!V9</f>
        <v>0</v>
      </c>
      <c r="G465" s="408">
        <f>Q!W9</f>
        <v>0</v>
      </c>
      <c r="H465" t="s">
        <v>844</v>
      </c>
    </row>
    <row r="466" spans="1:8" x14ac:dyDescent="0.2">
      <c r="A466" t="str">
        <f>IF(G466&gt;0,Q!C10,"")</f>
        <v/>
      </c>
      <c r="B466" t="str">
        <f>Q!E10</f>
        <v>Digital Dalies Transfer</v>
      </c>
      <c r="C466">
        <f>Q!O10</f>
        <v>0</v>
      </c>
      <c r="D466" t="str">
        <f>Q!P10</f>
        <v>hours</v>
      </c>
      <c r="E466" s="45">
        <f>Q!S10</f>
        <v>0</v>
      </c>
      <c r="F466" s="400">
        <f>Q!V10</f>
        <v>0</v>
      </c>
      <c r="G466" s="408">
        <f>Q!W10</f>
        <v>0</v>
      </c>
      <c r="H466" t="s">
        <v>844</v>
      </c>
    </row>
    <row r="467" spans="1:8" x14ac:dyDescent="0.2">
      <c r="A467" t="str">
        <f>IF(G467&gt;0,Q!C11,"")</f>
        <v/>
      </c>
      <c r="B467" t="str">
        <f>Q!E11</f>
        <v>Transcription / Translation</v>
      </c>
      <c r="C467">
        <f>Q!O11</f>
        <v>0</v>
      </c>
      <c r="D467" t="str">
        <f>Q!P11</f>
        <v>allow</v>
      </c>
      <c r="E467" s="45">
        <f>Q!S11</f>
        <v>0</v>
      </c>
      <c r="F467" s="400">
        <f>Q!V11</f>
        <v>0</v>
      </c>
      <c r="G467" s="408">
        <f>Q!W11</f>
        <v>0</v>
      </c>
      <c r="H467" t="s">
        <v>844</v>
      </c>
    </row>
    <row r="468" spans="1:8" x14ac:dyDescent="0.2">
      <c r="A468" t="str">
        <f>IF(G468&gt;0,Q!C12,"")</f>
        <v/>
      </c>
      <c r="B468">
        <f>Q!E12</f>
        <v>0</v>
      </c>
      <c r="C468">
        <f>Q!O12</f>
        <v>0</v>
      </c>
      <c r="D468">
        <f>Q!P12</f>
        <v>0</v>
      </c>
      <c r="E468" s="45">
        <f>Q!S12</f>
        <v>0</v>
      </c>
      <c r="F468" s="400">
        <f>Q!V12</f>
        <v>0</v>
      </c>
      <c r="G468" s="408">
        <f>Q!W12</f>
        <v>0</v>
      </c>
      <c r="H468" t="s">
        <v>844</v>
      </c>
    </row>
    <row r="469" spans="1:8" x14ac:dyDescent="0.2">
      <c r="A469" t="str">
        <f>IF(G469&gt;0,Q!C13,"")</f>
        <v/>
      </c>
      <c r="B469">
        <f>Q!E13</f>
        <v>0</v>
      </c>
      <c r="C469">
        <f>Q!O13</f>
        <v>0</v>
      </c>
      <c r="D469">
        <f>Q!P13</f>
        <v>0</v>
      </c>
      <c r="E469" s="45">
        <f>Q!S13</f>
        <v>0</v>
      </c>
      <c r="F469" s="400">
        <f>Q!V13</f>
        <v>0</v>
      </c>
      <c r="G469" s="408">
        <f>Q!W13</f>
        <v>0</v>
      </c>
      <c r="H469" t="s">
        <v>844</v>
      </c>
    </row>
    <row r="470" spans="1:8" x14ac:dyDescent="0.2">
      <c r="A470" t="str">
        <f>IF(G470&gt;0,Q!C14,"")</f>
        <v/>
      </c>
      <c r="B470">
        <f>Q!E14</f>
        <v>0</v>
      </c>
      <c r="C470">
        <f>Q!O14</f>
        <v>0</v>
      </c>
      <c r="D470">
        <f>Q!P14</f>
        <v>0</v>
      </c>
      <c r="E470" s="45">
        <f>Q!S14</f>
        <v>0</v>
      </c>
      <c r="F470" s="400">
        <f>Q!V14</f>
        <v>0</v>
      </c>
      <c r="G470" s="408">
        <f>Q!W14</f>
        <v>0</v>
      </c>
      <c r="H470" t="s">
        <v>844</v>
      </c>
    </row>
    <row r="471" spans="1:8" x14ac:dyDescent="0.2">
      <c r="A471" t="str">
        <f>IF(G471&gt;0,Q!C15,"")</f>
        <v/>
      </c>
      <c r="B471">
        <f>Q!E15</f>
        <v>0</v>
      </c>
      <c r="C471">
        <f>Q!O15</f>
        <v>0</v>
      </c>
      <c r="D471">
        <f>Q!P15</f>
        <v>0</v>
      </c>
      <c r="E471" s="45">
        <f>Q!S15</f>
        <v>0</v>
      </c>
      <c r="F471" s="400">
        <f>Q!V15</f>
        <v>0</v>
      </c>
      <c r="G471" s="408">
        <f>Q!W15</f>
        <v>0</v>
      </c>
      <c r="H471" t="s">
        <v>844</v>
      </c>
    </row>
    <row r="472" spans="1:8" x14ac:dyDescent="0.2">
      <c r="A472" t="str">
        <f>IF(G472&gt;0,Q!C16,"")</f>
        <v/>
      </c>
      <c r="B472" t="str">
        <f>Q!E16</f>
        <v>Offline Edit System</v>
      </c>
      <c r="C472">
        <f>Q!O16</f>
        <v>0</v>
      </c>
      <c r="D472" t="str">
        <f>Q!P16</f>
        <v>days</v>
      </c>
      <c r="E472" s="45">
        <f>Q!S16</f>
        <v>0</v>
      </c>
      <c r="F472" s="400">
        <f>Q!V16</f>
        <v>0</v>
      </c>
      <c r="G472" s="408">
        <f>Q!W16</f>
        <v>0</v>
      </c>
      <c r="H472" t="s">
        <v>844</v>
      </c>
    </row>
    <row r="473" spans="1:8" x14ac:dyDescent="0.2">
      <c r="A473" t="str">
        <f>IF(G473&gt;0,Q!C17,"")</f>
        <v/>
      </c>
      <c r="B473" t="str">
        <f>Q!E17</f>
        <v>Off-Line Graphics System</v>
      </c>
      <c r="C473">
        <f>Q!O17</f>
        <v>0</v>
      </c>
      <c r="D473" t="str">
        <f>Q!P17</f>
        <v>days</v>
      </c>
      <c r="E473" s="45">
        <f>Q!S17</f>
        <v>0</v>
      </c>
      <c r="F473" s="400">
        <f>Q!V17</f>
        <v>0</v>
      </c>
      <c r="G473" s="408">
        <f>Q!W17</f>
        <v>0</v>
      </c>
      <c r="H473" t="s">
        <v>844</v>
      </c>
    </row>
    <row r="474" spans="1:8" x14ac:dyDescent="0.2">
      <c r="A474" t="str">
        <f>IF(G474&gt;0,Q!C18,"")</f>
        <v/>
      </c>
      <c r="B474" t="str">
        <f>Q!E18</f>
        <v>Data Backup / Restore</v>
      </c>
      <c r="C474">
        <f>Q!O18</f>
        <v>0</v>
      </c>
      <c r="D474" t="str">
        <f>Q!P18</f>
        <v>allow</v>
      </c>
      <c r="E474" s="45">
        <f>Q!S18</f>
        <v>0</v>
      </c>
      <c r="F474" s="400">
        <f>Q!V18</f>
        <v>0</v>
      </c>
      <c r="G474" s="408">
        <f>Q!W18</f>
        <v>0</v>
      </c>
      <c r="H474" t="s">
        <v>844</v>
      </c>
    </row>
    <row r="475" spans="1:8" x14ac:dyDescent="0.2">
      <c r="A475" t="str">
        <f>IF(G475&gt;0,Q!C19,"")</f>
        <v/>
      </c>
      <c r="B475" t="str">
        <f>Q!E19</f>
        <v>Conform</v>
      </c>
      <c r="C475">
        <f>Q!O19</f>
        <v>0</v>
      </c>
      <c r="D475" t="str">
        <f>Q!P19</f>
        <v>hours</v>
      </c>
      <c r="E475" s="45">
        <f>Q!S19</f>
        <v>0</v>
      </c>
      <c r="F475" s="400">
        <f>Q!V19</f>
        <v>0</v>
      </c>
      <c r="G475" s="408">
        <f>Q!W19</f>
        <v>0</v>
      </c>
      <c r="H475" t="s">
        <v>844</v>
      </c>
    </row>
    <row r="476" spans="1:8" x14ac:dyDescent="0.2">
      <c r="A476" t="str">
        <f>IF(G476&gt;0,Q!C20,"")</f>
        <v/>
      </c>
      <c r="B476" t="str">
        <f>Q!E20</f>
        <v>Hi-Res Conform</v>
      </c>
      <c r="C476">
        <f>Q!O20</f>
        <v>0</v>
      </c>
      <c r="D476" t="str">
        <f>Q!P20</f>
        <v>hours</v>
      </c>
      <c r="E476" s="45">
        <f>Q!S20</f>
        <v>0</v>
      </c>
      <c r="F476" s="400">
        <f>Q!V20</f>
        <v>0</v>
      </c>
      <c r="G476" s="408">
        <f>Q!W20</f>
        <v>0</v>
      </c>
      <c r="H476" t="s">
        <v>844</v>
      </c>
    </row>
    <row r="477" spans="1:8" x14ac:dyDescent="0.2">
      <c r="A477" t="str">
        <f>IF(G477&gt;0,Q!C21,"")</f>
        <v/>
      </c>
      <c r="B477">
        <f>Q!E21</f>
        <v>0</v>
      </c>
      <c r="C477">
        <f>Q!O21</f>
        <v>0</v>
      </c>
      <c r="D477">
        <f>Q!P21</f>
        <v>0</v>
      </c>
      <c r="E477" s="45">
        <f>Q!S21</f>
        <v>0</v>
      </c>
      <c r="F477" s="400">
        <f>Q!V21</f>
        <v>0</v>
      </c>
      <c r="G477" s="408">
        <f>Q!W21</f>
        <v>0</v>
      </c>
      <c r="H477" t="s">
        <v>844</v>
      </c>
    </row>
    <row r="478" spans="1:8" x14ac:dyDescent="0.2">
      <c r="A478" t="str">
        <f>IF(G478&gt;0,Q!C22,"")</f>
        <v/>
      </c>
      <c r="B478">
        <f>Q!E22</f>
        <v>0</v>
      </c>
      <c r="C478">
        <f>Q!O22</f>
        <v>0</v>
      </c>
      <c r="D478">
        <f>Q!P22</f>
        <v>0</v>
      </c>
      <c r="E478" s="45">
        <f>Q!S22</f>
        <v>0</v>
      </c>
      <c r="F478" s="400">
        <f>Q!V22</f>
        <v>0</v>
      </c>
      <c r="G478" s="408">
        <f>Q!W22</f>
        <v>0</v>
      </c>
      <c r="H478" t="s">
        <v>844</v>
      </c>
    </row>
    <row r="479" spans="1:8" x14ac:dyDescent="0.2">
      <c r="A479" t="str">
        <f>IF(G479&gt;0,Q!C23,"")</f>
        <v/>
      </c>
      <c r="B479">
        <f>Q!E23</f>
        <v>0</v>
      </c>
      <c r="C479">
        <f>Q!O23</f>
        <v>0</v>
      </c>
      <c r="D479">
        <f>Q!P23</f>
        <v>0</v>
      </c>
      <c r="E479" s="45">
        <f>Q!S23</f>
        <v>0</v>
      </c>
      <c r="F479" s="400">
        <f>Q!V23</f>
        <v>0</v>
      </c>
      <c r="G479" s="408">
        <f>Q!W23</f>
        <v>0</v>
      </c>
      <c r="H479" t="s">
        <v>844</v>
      </c>
    </row>
    <row r="480" spans="1:8" x14ac:dyDescent="0.2">
      <c r="A480" t="str">
        <f>IF(G480&gt;0,Q!C24,"")</f>
        <v/>
      </c>
      <c r="B480">
        <f>Q!E24</f>
        <v>0</v>
      </c>
      <c r="C480">
        <f>Q!O24</f>
        <v>0</v>
      </c>
      <c r="D480">
        <f>Q!P24</f>
        <v>0</v>
      </c>
      <c r="E480" s="45">
        <f>Q!S24</f>
        <v>0</v>
      </c>
      <c r="F480" s="400">
        <f>Q!V24</f>
        <v>0</v>
      </c>
      <c r="G480" s="408">
        <f>Q!W24</f>
        <v>0</v>
      </c>
      <c r="H480" t="s">
        <v>844</v>
      </c>
    </row>
    <row r="481" spans="1:8" x14ac:dyDescent="0.2">
      <c r="A481" t="str">
        <f>IF(G481&gt;0,Q!C25,"")</f>
        <v/>
      </c>
      <c r="B481" t="str">
        <f>Q!E25</f>
        <v>Mix Prep</v>
      </c>
      <c r="C481">
        <f>Q!O25</f>
        <v>0</v>
      </c>
      <c r="D481" t="str">
        <f>Q!P25</f>
        <v>flat</v>
      </c>
      <c r="E481" s="45">
        <f>Q!S25</f>
        <v>0</v>
      </c>
      <c r="F481" s="400">
        <f>Q!V25</f>
        <v>0</v>
      </c>
      <c r="G481" s="408">
        <f>Q!W25</f>
        <v>0</v>
      </c>
      <c r="H481" t="s">
        <v>844</v>
      </c>
    </row>
    <row r="482" spans="1:8" x14ac:dyDescent="0.2">
      <c r="A482" t="str">
        <f>IF(G482&gt;0,Q!C26,"")</f>
        <v/>
      </c>
      <c r="B482" t="str">
        <f>Q!E26</f>
        <v>Color Prep</v>
      </c>
      <c r="C482">
        <f>Q!O26</f>
        <v>0</v>
      </c>
      <c r="D482" t="str">
        <f>Q!P26</f>
        <v>flat</v>
      </c>
      <c r="E482" s="45">
        <f>Q!S26</f>
        <v>0</v>
      </c>
      <c r="F482" s="400">
        <f>Q!V26</f>
        <v>0</v>
      </c>
      <c r="G482" s="408">
        <f>Q!W26</f>
        <v>0</v>
      </c>
      <c r="H482" t="s">
        <v>844</v>
      </c>
    </row>
    <row r="483" spans="1:8" x14ac:dyDescent="0.2">
      <c r="A483" t="str">
        <f>IF(G483&gt;0,Q!C27,"")</f>
        <v/>
      </c>
      <c r="B483" t="str">
        <f>Q!E27</f>
        <v>Conform Prep</v>
      </c>
      <c r="C483">
        <f>Q!O27</f>
        <v>0</v>
      </c>
      <c r="D483" t="str">
        <f>Q!P27</f>
        <v>flat</v>
      </c>
      <c r="E483" s="45">
        <f>Q!S27</f>
        <v>0</v>
      </c>
      <c r="F483" s="400">
        <f>Q!V27</f>
        <v>0</v>
      </c>
      <c r="G483" s="408">
        <f>Q!W27</f>
        <v>0</v>
      </c>
      <c r="H483" t="s">
        <v>844</v>
      </c>
    </row>
    <row r="484" spans="1:8" x14ac:dyDescent="0.2">
      <c r="A484" t="str">
        <f>IF(G484&gt;0,Q!C28,"")</f>
        <v/>
      </c>
      <c r="B484" t="str">
        <f>Q!E28</f>
        <v>Graphics Prep</v>
      </c>
      <c r="C484">
        <f>Q!O28</f>
        <v>0</v>
      </c>
      <c r="D484" t="str">
        <f>Q!P28</f>
        <v>flat</v>
      </c>
      <c r="E484" s="45">
        <f>Q!S28</f>
        <v>0</v>
      </c>
      <c r="F484" s="400">
        <f>Q!V28</f>
        <v>0</v>
      </c>
      <c r="G484" s="408">
        <f>Q!W28</f>
        <v>0</v>
      </c>
      <c r="H484" t="s">
        <v>844</v>
      </c>
    </row>
    <row r="485" spans="1:8" x14ac:dyDescent="0.2">
      <c r="A485" t="str">
        <f>IF(G485&gt;0,Q!C29,"")</f>
        <v/>
      </c>
      <c r="B485">
        <f>Q!E29</f>
        <v>0</v>
      </c>
      <c r="C485">
        <f>Q!O29</f>
        <v>0</v>
      </c>
      <c r="D485">
        <f>Q!P29</f>
        <v>0</v>
      </c>
      <c r="E485" s="45">
        <f>Q!S29</f>
        <v>0</v>
      </c>
      <c r="F485" s="400">
        <f>Q!V29</f>
        <v>0</v>
      </c>
      <c r="G485" s="408">
        <f>Q!W29</f>
        <v>0</v>
      </c>
      <c r="H485" t="s">
        <v>844</v>
      </c>
    </row>
    <row r="486" spans="1:8" x14ac:dyDescent="0.2">
      <c r="A486" t="str">
        <f>IF(G486&gt;0,Q!C30,"")</f>
        <v/>
      </c>
      <c r="B486">
        <f>Q!E30</f>
        <v>0</v>
      </c>
      <c r="C486">
        <f>Q!O30</f>
        <v>0</v>
      </c>
      <c r="D486">
        <f>Q!P30</f>
        <v>0</v>
      </c>
      <c r="E486" s="45">
        <f>Q!S30</f>
        <v>0</v>
      </c>
      <c r="F486" s="400">
        <f>Q!V30</f>
        <v>0</v>
      </c>
      <c r="G486" s="408">
        <f>Q!W30</f>
        <v>0</v>
      </c>
      <c r="H486" t="s">
        <v>844</v>
      </c>
    </row>
    <row r="487" spans="1:8" x14ac:dyDescent="0.2">
      <c r="A487" t="str">
        <f>IF(G487&gt;0,Q!C31,"")</f>
        <v/>
      </c>
      <c r="B487">
        <f>Q!E31</f>
        <v>0</v>
      </c>
      <c r="C487">
        <f>Q!O31</f>
        <v>0</v>
      </c>
      <c r="D487">
        <f>Q!P31</f>
        <v>0</v>
      </c>
      <c r="E487" s="45">
        <f>Q!S31</f>
        <v>0</v>
      </c>
      <c r="F487" s="400">
        <f>Q!V31</f>
        <v>0</v>
      </c>
      <c r="G487" s="408">
        <f>Q!W31</f>
        <v>0</v>
      </c>
      <c r="H487" t="s">
        <v>844</v>
      </c>
    </row>
    <row r="488" spans="1:8" x14ac:dyDescent="0.2">
      <c r="A488" t="str">
        <f>IF(G488&gt;0,Q!C32,"")</f>
        <v/>
      </c>
      <c r="B488">
        <f>Q!E32</f>
        <v>0</v>
      </c>
      <c r="C488">
        <f>Q!O32</f>
        <v>0</v>
      </c>
      <c r="D488">
        <f>Q!P32</f>
        <v>0</v>
      </c>
      <c r="E488" s="45">
        <f>Q!S32</f>
        <v>0</v>
      </c>
      <c r="F488" s="400">
        <f>Q!V32</f>
        <v>0</v>
      </c>
      <c r="G488" s="408">
        <f>Q!W32</f>
        <v>0</v>
      </c>
      <c r="H488" t="s">
        <v>844</v>
      </c>
    </row>
    <row r="489" spans="1:8" x14ac:dyDescent="0.2">
      <c r="A489" t="str">
        <f>IF(G489&gt;0,Q!C33,"")</f>
        <v/>
      </c>
      <c r="B489">
        <f>Q!E33</f>
        <v>0</v>
      </c>
      <c r="C489">
        <f>Q!O33</f>
        <v>0</v>
      </c>
      <c r="D489">
        <f>Q!P33</f>
        <v>0</v>
      </c>
      <c r="E489" s="45">
        <f>Q!S33</f>
        <v>0</v>
      </c>
      <c r="F489" s="400">
        <f>Q!V33</f>
        <v>0</v>
      </c>
      <c r="G489" s="408">
        <f>Q!W33</f>
        <v>0</v>
      </c>
      <c r="H489" t="s">
        <v>844</v>
      </c>
    </row>
    <row r="490" spans="1:8" x14ac:dyDescent="0.2">
      <c r="A490" t="str">
        <f>IF(G490&gt;0,Q!C34,"")</f>
        <v/>
      </c>
      <c r="B490" t="str">
        <f>Q!E34</f>
        <v>Remote Off-Line Edit Suite</v>
      </c>
      <c r="C490">
        <f>Q!O34</f>
        <v>0</v>
      </c>
      <c r="D490" t="str">
        <f>Q!P34</f>
        <v>days</v>
      </c>
      <c r="E490" s="45">
        <f>Q!S34</f>
        <v>0</v>
      </c>
      <c r="F490" s="400">
        <f>Q!V34</f>
        <v>0</v>
      </c>
      <c r="G490" s="408">
        <f>Q!W34</f>
        <v>0</v>
      </c>
      <c r="H490" t="s">
        <v>844</v>
      </c>
    </row>
    <row r="491" spans="1:8" x14ac:dyDescent="0.2">
      <c r="A491" t="str">
        <f>IF(G491&gt;0,Q!C35,"")</f>
        <v/>
      </c>
      <c r="B491" t="str">
        <f>Q!E35</f>
        <v>Digital Media</v>
      </c>
      <c r="C491">
        <f>Q!O35</f>
        <v>0</v>
      </c>
      <c r="D491" t="str">
        <f>Q!P35</f>
        <v>flat</v>
      </c>
      <c r="E491" s="45">
        <f>Q!S35</f>
        <v>0</v>
      </c>
      <c r="F491" s="400">
        <f>Q!V35</f>
        <v>0</v>
      </c>
      <c r="G491" s="408">
        <f>Q!W35</f>
        <v>0</v>
      </c>
      <c r="H491" t="s">
        <v>844</v>
      </c>
    </row>
    <row r="492" spans="1:8" x14ac:dyDescent="0.2">
      <c r="A492" t="str">
        <f>IF(G492&gt;0,Q!C36,"")</f>
        <v/>
      </c>
      <c r="B492" t="str">
        <f>Q!E36</f>
        <v>Offline Posting</v>
      </c>
      <c r="C492">
        <f>Q!O36</f>
        <v>0</v>
      </c>
      <c r="D492" t="str">
        <f>Q!P36</f>
        <v>flat</v>
      </c>
      <c r="E492" s="45">
        <f>Q!S36</f>
        <v>0</v>
      </c>
      <c r="F492" s="400">
        <f>Q!V36</f>
        <v>0</v>
      </c>
      <c r="G492" s="408">
        <f>Q!W36</f>
        <v>0</v>
      </c>
      <c r="H492" t="s">
        <v>844</v>
      </c>
    </row>
    <row r="493" spans="1:8" x14ac:dyDescent="0.2">
      <c r="A493" t="str">
        <f>IF(G493&gt;0,Q!C37,"")</f>
        <v/>
      </c>
      <c r="B493" t="str">
        <f>Q!E37</f>
        <v>Backup /  Restore</v>
      </c>
      <c r="C493">
        <f>Q!O37</f>
        <v>0</v>
      </c>
      <c r="D493" t="str">
        <f>Q!P37</f>
        <v>flat</v>
      </c>
      <c r="E493" s="45">
        <f>Q!S37</f>
        <v>0</v>
      </c>
      <c r="F493" s="400">
        <f>Q!V37</f>
        <v>0</v>
      </c>
      <c r="G493" s="408">
        <f>Q!W37</f>
        <v>0</v>
      </c>
      <c r="H493" t="s">
        <v>844</v>
      </c>
    </row>
    <row r="494" spans="1:8" x14ac:dyDescent="0.2">
      <c r="A494" t="str">
        <f>IF(G494&gt;0,Q!C38,"")</f>
        <v/>
      </c>
      <c r="B494" t="str">
        <f>Q!E38</f>
        <v>Archiving</v>
      </c>
      <c r="C494">
        <f>Q!O38</f>
        <v>0</v>
      </c>
      <c r="D494" t="str">
        <f>Q!P38</f>
        <v>flat</v>
      </c>
      <c r="E494" s="45">
        <f>Q!S38</f>
        <v>0</v>
      </c>
      <c r="F494" s="400">
        <f>Q!V38</f>
        <v>0</v>
      </c>
      <c r="G494" s="408">
        <f>Q!W38</f>
        <v>0</v>
      </c>
      <c r="H494" t="s">
        <v>844</v>
      </c>
    </row>
    <row r="495" spans="1:8" x14ac:dyDescent="0.2">
      <c r="A495" t="str">
        <f>IF(G495&gt;0,Q!C39,"")</f>
        <v/>
      </c>
      <c r="B495">
        <f>Q!E39</f>
        <v>0</v>
      </c>
      <c r="C495">
        <f>Q!O39</f>
        <v>0</v>
      </c>
      <c r="D495">
        <f>Q!P39</f>
        <v>0</v>
      </c>
      <c r="E495" s="45">
        <f>Q!S39</f>
        <v>0</v>
      </c>
      <c r="F495" s="400">
        <f>Q!V39</f>
        <v>0</v>
      </c>
      <c r="G495" s="408">
        <f>Q!W39</f>
        <v>0</v>
      </c>
      <c r="H495" t="s">
        <v>844</v>
      </c>
    </row>
    <row r="496" spans="1:8" x14ac:dyDescent="0.2">
      <c r="A496" t="str">
        <f>IF(G496&gt;0,Q!C40,"")</f>
        <v/>
      </c>
      <c r="B496">
        <f>Q!E40</f>
        <v>0</v>
      </c>
      <c r="C496">
        <f>Q!O40</f>
        <v>0</v>
      </c>
      <c r="D496">
        <f>Q!P40</f>
        <v>0</v>
      </c>
      <c r="E496" s="45">
        <f>Q!S40</f>
        <v>0</v>
      </c>
      <c r="F496" s="400">
        <f>Q!V40</f>
        <v>0</v>
      </c>
      <c r="G496" s="408">
        <f>Q!W40</f>
        <v>0</v>
      </c>
      <c r="H496" t="s">
        <v>844</v>
      </c>
    </row>
    <row r="497" spans="1:8" x14ac:dyDescent="0.2">
      <c r="A497" t="str">
        <f>IF(G497&gt;0,Q!C41,"")</f>
        <v/>
      </c>
      <c r="B497">
        <f>Q!E41</f>
        <v>0</v>
      </c>
      <c r="C497">
        <f>Q!O41</f>
        <v>0</v>
      </c>
      <c r="D497">
        <f>Q!P41</f>
        <v>0</v>
      </c>
      <c r="E497" s="45">
        <f>Q!S41</f>
        <v>0</v>
      </c>
      <c r="F497" s="400">
        <f>Q!V41</f>
        <v>0</v>
      </c>
      <c r="G497" s="408">
        <f>Q!W41</f>
        <v>0</v>
      </c>
      <c r="H497" t="s">
        <v>844</v>
      </c>
    </row>
    <row r="498" spans="1:8" x14ac:dyDescent="0.2">
      <c r="A498" t="str">
        <f>IF(G498&gt;0,Q!C42,"")</f>
        <v/>
      </c>
      <c r="B498">
        <f>Q!E42</f>
        <v>0</v>
      </c>
      <c r="C498">
        <f>Q!O42</f>
        <v>0</v>
      </c>
      <c r="D498">
        <f>Q!P42</f>
        <v>0</v>
      </c>
      <c r="E498" s="45">
        <f>Q!S42</f>
        <v>0</v>
      </c>
      <c r="F498" s="400">
        <f>Q!V42</f>
        <v>0</v>
      </c>
      <c r="G498" s="408">
        <f>Q!W42</f>
        <v>0</v>
      </c>
      <c r="H498" t="s">
        <v>844</v>
      </c>
    </row>
    <row r="499" spans="1:8" x14ac:dyDescent="0.2">
      <c r="A499" t="str">
        <f>IF(G499&gt;0,Q!C43,"")</f>
        <v/>
      </c>
      <c r="B499">
        <f>Q!E43</f>
        <v>0</v>
      </c>
      <c r="C499">
        <f>Q!O43</f>
        <v>0</v>
      </c>
      <c r="D499" t="str">
        <f>Q!P43</f>
        <v>allow</v>
      </c>
      <c r="E499" s="45">
        <f>Q!S43</f>
        <v>0</v>
      </c>
      <c r="F499" s="400">
        <f>Q!V43</f>
        <v>0</v>
      </c>
      <c r="G499" s="408">
        <f>Q!W43</f>
        <v>0</v>
      </c>
      <c r="H499" t="s">
        <v>844</v>
      </c>
    </row>
    <row r="500" spans="1:8" x14ac:dyDescent="0.2">
      <c r="A500" t="str">
        <f>IF(G500&gt;0,Q!C44,"")</f>
        <v/>
      </c>
      <c r="B500">
        <f>Q!E44</f>
        <v>0</v>
      </c>
      <c r="C500">
        <f>Q!O44</f>
        <v>0</v>
      </c>
      <c r="D500" t="str">
        <f>Q!P44</f>
        <v>allow</v>
      </c>
      <c r="E500" s="45">
        <f>Q!S44</f>
        <v>0</v>
      </c>
      <c r="F500" s="400">
        <f>Q!V44</f>
        <v>0</v>
      </c>
      <c r="G500" s="408">
        <f>Q!W44</f>
        <v>0</v>
      </c>
      <c r="H500" t="s">
        <v>844</v>
      </c>
    </row>
    <row r="501" spans="1:8" x14ac:dyDescent="0.2">
      <c r="A501" t="str">
        <f>IF(G501&gt;0,Q!C45,"")</f>
        <v/>
      </c>
      <c r="B501">
        <f>Q!E45</f>
        <v>0</v>
      </c>
      <c r="C501">
        <f>Q!O45</f>
        <v>0</v>
      </c>
      <c r="D501" t="str">
        <f>Q!P45</f>
        <v>flat</v>
      </c>
      <c r="E501" s="45">
        <f>Q!S45</f>
        <v>0</v>
      </c>
      <c r="F501" s="400">
        <f>Q!V45</f>
        <v>0</v>
      </c>
      <c r="G501" s="408">
        <f>Q!W45</f>
        <v>0</v>
      </c>
      <c r="H501" t="s">
        <v>844</v>
      </c>
    </row>
    <row r="502" spans="1:8" x14ac:dyDescent="0.2">
      <c r="A502" t="str">
        <f>IF(G502&gt;0,Q!C46,"")</f>
        <v/>
      </c>
      <c r="B502">
        <f>Q!E46</f>
        <v>0</v>
      </c>
      <c r="C502">
        <f>Q!O46</f>
        <v>0</v>
      </c>
      <c r="D502" t="str">
        <f>Q!P46</f>
        <v>allow</v>
      </c>
      <c r="E502" s="45">
        <f>Q!S46</f>
        <v>0</v>
      </c>
      <c r="F502" s="400">
        <f>Q!V46</f>
        <v>0</v>
      </c>
      <c r="G502" s="408">
        <f>Q!W46</f>
        <v>0</v>
      </c>
      <c r="H502" t="s">
        <v>844</v>
      </c>
    </row>
    <row r="503" spans="1:8" x14ac:dyDescent="0.2">
      <c r="A503" t="str">
        <f>IF(G503&gt;0,Q!C47,"")</f>
        <v/>
      </c>
      <c r="B503">
        <f>Q!E47</f>
        <v>0</v>
      </c>
      <c r="C503">
        <f>Q!O47</f>
        <v>0</v>
      </c>
      <c r="D503" t="str">
        <f>Q!P47</f>
        <v>allow</v>
      </c>
      <c r="E503" s="45">
        <f>Q!S47</f>
        <v>0</v>
      </c>
      <c r="F503" s="400">
        <f>Q!V47</f>
        <v>0</v>
      </c>
      <c r="G503" s="408">
        <f>Q!W47</f>
        <v>0</v>
      </c>
      <c r="H503" t="s">
        <v>844</v>
      </c>
    </row>
    <row r="504" spans="1:8" x14ac:dyDescent="0.2">
      <c r="A504" t="str">
        <f>IF(G504&gt;0,Q!C48,"")</f>
        <v/>
      </c>
      <c r="B504">
        <f>Q!E48</f>
        <v>0</v>
      </c>
      <c r="C504">
        <f>Q!O48</f>
        <v>0</v>
      </c>
      <c r="D504">
        <f>Q!P48</f>
        <v>0</v>
      </c>
      <c r="E504" s="45">
        <f>Q!S48</f>
        <v>0</v>
      </c>
      <c r="F504" s="400">
        <f>Q!V48</f>
        <v>0</v>
      </c>
      <c r="G504" s="408">
        <f>Q!W48</f>
        <v>0</v>
      </c>
      <c r="H504" t="s">
        <v>844</v>
      </c>
    </row>
    <row r="505" spans="1:8" x14ac:dyDescent="0.2">
      <c r="A505" t="str">
        <f>IF(G505&gt;0,Q!C49,"")</f>
        <v/>
      </c>
      <c r="B505">
        <f>Q!E49</f>
        <v>0</v>
      </c>
      <c r="C505">
        <f>Q!O49</f>
        <v>0</v>
      </c>
      <c r="D505">
        <f>Q!P49</f>
        <v>0</v>
      </c>
      <c r="E505" s="45">
        <f>Q!S49</f>
        <v>0</v>
      </c>
      <c r="F505" s="400">
        <f>Q!V49</f>
        <v>0</v>
      </c>
      <c r="G505" s="408">
        <f>Q!W49</f>
        <v>0</v>
      </c>
      <c r="H505" t="s">
        <v>844</v>
      </c>
    </row>
    <row r="506" spans="1:8" x14ac:dyDescent="0.2">
      <c r="A506" t="str">
        <f>IF(G506&gt;0,Q!C50,"")</f>
        <v/>
      </c>
      <c r="B506">
        <f>Q!E50</f>
        <v>0</v>
      </c>
      <c r="C506">
        <f>Q!O50</f>
        <v>0</v>
      </c>
      <c r="D506">
        <f>Q!P50</f>
        <v>0</v>
      </c>
      <c r="E506" s="45">
        <f>Q!S50</f>
        <v>0</v>
      </c>
      <c r="F506" s="400">
        <f>Q!V50</f>
        <v>0</v>
      </c>
      <c r="G506" s="408">
        <f>Q!W50</f>
        <v>0</v>
      </c>
      <c r="H506" t="s">
        <v>844</v>
      </c>
    </row>
    <row r="507" spans="1:8" x14ac:dyDescent="0.2">
      <c r="A507" t="str">
        <f>IF(G507&gt;0,Q!C51,"")</f>
        <v/>
      </c>
      <c r="B507">
        <f>Q!E51</f>
        <v>0</v>
      </c>
      <c r="C507">
        <f>Q!O51</f>
        <v>0</v>
      </c>
      <c r="D507">
        <f>Q!P51</f>
        <v>0</v>
      </c>
      <c r="E507" s="45">
        <f>Q!S51</f>
        <v>0</v>
      </c>
      <c r="F507" s="400">
        <f>Q!V51</f>
        <v>0</v>
      </c>
      <c r="G507" s="408">
        <f>Q!W51</f>
        <v>0</v>
      </c>
      <c r="H507" t="s">
        <v>844</v>
      </c>
    </row>
    <row r="508" spans="1:8" x14ac:dyDescent="0.2">
      <c r="A508" t="str">
        <f>IF(G508&gt;0,Q!C52,"")</f>
        <v/>
      </c>
      <c r="B508">
        <f>Q!E52</f>
        <v>0</v>
      </c>
      <c r="C508">
        <f>Q!O52</f>
        <v>0</v>
      </c>
      <c r="D508" t="str">
        <f>Q!P52</f>
        <v>each</v>
      </c>
      <c r="E508" s="45">
        <f>Q!S52</f>
        <v>0</v>
      </c>
      <c r="F508" s="400">
        <f>Q!V52</f>
        <v>0</v>
      </c>
      <c r="G508" s="408">
        <f>Q!W52</f>
        <v>0</v>
      </c>
      <c r="H508" t="s">
        <v>844</v>
      </c>
    </row>
    <row r="509" spans="1:8" x14ac:dyDescent="0.2">
      <c r="A509" t="str">
        <f>IF(G509&gt;0,Q!C53,"")</f>
        <v/>
      </c>
      <c r="B509">
        <f>Q!E53</f>
        <v>0</v>
      </c>
      <c r="C509">
        <f>Q!O53</f>
        <v>0</v>
      </c>
      <c r="D509" t="str">
        <f>Q!P53</f>
        <v>days</v>
      </c>
      <c r="E509" s="45">
        <f>Q!S53</f>
        <v>0</v>
      </c>
      <c r="F509" s="400">
        <f>Q!V53</f>
        <v>0</v>
      </c>
      <c r="G509" s="408">
        <f>Q!W53</f>
        <v>0</v>
      </c>
      <c r="H509" t="s">
        <v>844</v>
      </c>
    </row>
    <row r="510" spans="1:8" x14ac:dyDescent="0.2">
      <c r="A510" t="str">
        <f>IF(G510&gt;0,Q!C54,"")</f>
        <v/>
      </c>
      <c r="B510">
        <f>Q!E54</f>
        <v>0</v>
      </c>
      <c r="C510">
        <f>Q!O54</f>
        <v>0</v>
      </c>
      <c r="D510" t="str">
        <f>Q!P54</f>
        <v>days</v>
      </c>
      <c r="E510" s="45">
        <f>Q!S54</f>
        <v>0</v>
      </c>
      <c r="F510" s="400">
        <f>Q!V54</f>
        <v>0</v>
      </c>
      <c r="G510" s="408">
        <f>Q!W54</f>
        <v>0</v>
      </c>
      <c r="H510" t="s">
        <v>844</v>
      </c>
    </row>
    <row r="511" spans="1:8" x14ac:dyDescent="0.2">
      <c r="A511" t="str">
        <f>IF(G511&gt;0,Q!C55,"")</f>
        <v/>
      </c>
      <c r="B511">
        <f>Q!E55</f>
        <v>0</v>
      </c>
      <c r="C511">
        <f>Q!O55</f>
        <v>0</v>
      </c>
      <c r="D511" t="str">
        <f>Q!P55</f>
        <v>allow</v>
      </c>
      <c r="E511" s="45">
        <f>Q!S55</f>
        <v>0</v>
      </c>
      <c r="F511" s="400">
        <f>Q!V55</f>
        <v>0</v>
      </c>
      <c r="G511" s="408">
        <f>Q!W55</f>
        <v>0</v>
      </c>
      <c r="H511" t="s">
        <v>844</v>
      </c>
    </row>
    <row r="512" spans="1:8" x14ac:dyDescent="0.2">
      <c r="A512" t="str">
        <f>IF(G512&gt;0,Q!C56,"")</f>
        <v/>
      </c>
      <c r="B512">
        <f>Q!E56</f>
        <v>0</v>
      </c>
      <c r="C512">
        <f>Q!O56</f>
        <v>0</v>
      </c>
      <c r="D512" t="str">
        <f>Q!P56</f>
        <v>allow</v>
      </c>
      <c r="E512" s="45">
        <f>Q!S56</f>
        <v>0</v>
      </c>
      <c r="F512" s="400">
        <f>Q!V56</f>
        <v>0</v>
      </c>
      <c r="G512" s="408">
        <f>Q!W56</f>
        <v>0</v>
      </c>
      <c r="H512" t="s">
        <v>844</v>
      </c>
    </row>
    <row r="513" spans="1:8" x14ac:dyDescent="0.2">
      <c r="A513" t="str">
        <f>IF(G513&gt;0,Q!C57,"")</f>
        <v/>
      </c>
      <c r="B513">
        <f>Q!E57</f>
        <v>0</v>
      </c>
      <c r="C513">
        <f>Q!O57</f>
        <v>0</v>
      </c>
      <c r="D513" t="str">
        <f>Q!P57</f>
        <v>allow</v>
      </c>
      <c r="E513" s="45">
        <f>Q!S57</f>
        <v>0</v>
      </c>
      <c r="F513" s="400">
        <f>Q!V57</f>
        <v>0</v>
      </c>
      <c r="G513" s="408">
        <f>Q!W57</f>
        <v>0</v>
      </c>
      <c r="H513" t="s">
        <v>844</v>
      </c>
    </row>
    <row r="514" spans="1:8" x14ac:dyDescent="0.2">
      <c r="A514" t="str">
        <f>IF(G514&gt;0,Q!C58,"")</f>
        <v/>
      </c>
      <c r="B514">
        <f>Q!E58</f>
        <v>0</v>
      </c>
      <c r="C514">
        <f>Q!O58</f>
        <v>0</v>
      </c>
      <c r="D514" t="str">
        <f>Q!P58</f>
        <v>allow</v>
      </c>
      <c r="E514" s="45">
        <f>Q!S58</f>
        <v>0</v>
      </c>
      <c r="F514" s="400">
        <f>Q!V58</f>
        <v>0</v>
      </c>
      <c r="G514" s="408">
        <f>Q!W58</f>
        <v>0</v>
      </c>
      <c r="H514" t="s">
        <v>844</v>
      </c>
    </row>
    <row r="515" spans="1:8" x14ac:dyDescent="0.2">
      <c r="A515" t="str">
        <f>IF(G515&gt;0,Q!C59,"")</f>
        <v/>
      </c>
      <c r="B515">
        <f>Q!E59</f>
        <v>0</v>
      </c>
      <c r="C515">
        <f>Q!O59</f>
        <v>0</v>
      </c>
      <c r="D515" t="str">
        <f>Q!P59</f>
        <v>allow</v>
      </c>
      <c r="E515" s="45">
        <f>Q!S59</f>
        <v>0</v>
      </c>
      <c r="F515" s="400">
        <f>Q!V59</f>
        <v>0</v>
      </c>
      <c r="G515" s="408">
        <f>Q!W59</f>
        <v>0</v>
      </c>
      <c r="H515" t="s">
        <v>844</v>
      </c>
    </row>
    <row r="516" spans="1:8" x14ac:dyDescent="0.2">
      <c r="A516" t="str">
        <f>IF(G516&gt;0,Q!C60,"")</f>
        <v/>
      </c>
      <c r="B516">
        <f>Q!E60</f>
        <v>0</v>
      </c>
      <c r="C516">
        <f>Q!O60</f>
        <v>0</v>
      </c>
      <c r="D516" t="str">
        <f>Q!P60</f>
        <v>days</v>
      </c>
      <c r="E516" s="45">
        <f>Q!S60</f>
        <v>0</v>
      </c>
      <c r="F516" s="400">
        <f>Q!V60</f>
        <v>0</v>
      </c>
      <c r="G516" s="408">
        <f>Q!W60</f>
        <v>0</v>
      </c>
      <c r="H516" t="s">
        <v>844</v>
      </c>
    </row>
    <row r="517" spans="1:8" x14ac:dyDescent="0.2">
      <c r="E517" s="45"/>
      <c r="F517" t="str">
        <f>Q!O61</f>
        <v>Total Q</v>
      </c>
      <c r="G517" s="408">
        <f>Q!W61</f>
        <v>0</v>
      </c>
      <c r="H517" t="s">
        <v>844</v>
      </c>
    </row>
    <row r="518" spans="1:8" x14ac:dyDescent="0.2">
      <c r="E518" s="45"/>
      <c r="F518" s="400"/>
    </row>
    <row r="519" spans="1:8" x14ac:dyDescent="0.2">
      <c r="A519" t="s">
        <v>821</v>
      </c>
      <c r="B519" t="s">
        <v>822</v>
      </c>
      <c r="C519" t="s">
        <v>376</v>
      </c>
      <c r="D519" t="s">
        <v>823</v>
      </c>
      <c r="E519" t="s">
        <v>220</v>
      </c>
      <c r="F519" t="s">
        <v>400</v>
      </c>
      <c r="G519" s="408" t="s">
        <v>370</v>
      </c>
    </row>
    <row r="520" spans="1:8" x14ac:dyDescent="0.2">
      <c r="A520" t="str">
        <f>IF(G520&gt;0,'R'!C7,"")</f>
        <v/>
      </c>
      <c r="B520" t="str">
        <f>'R'!E7</f>
        <v>Aditional Cleanup</v>
      </c>
      <c r="C520">
        <f>'R'!O7</f>
        <v>0</v>
      </c>
      <c r="D520" t="str">
        <f>'R'!P7</f>
        <v>hours</v>
      </c>
      <c r="E520" s="45">
        <f>'R'!S7</f>
        <v>0</v>
      </c>
      <c r="F520" s="400">
        <f>'R'!V7</f>
        <v>0</v>
      </c>
      <c r="G520" s="408">
        <f>'R'!W7</f>
        <v>0</v>
      </c>
      <c r="H520" t="s">
        <v>845</v>
      </c>
    </row>
    <row r="521" spans="1:8" x14ac:dyDescent="0.2">
      <c r="A521" t="str">
        <f>IF(G521&gt;0,'R'!C8,"")</f>
        <v/>
      </c>
      <c r="B521" t="str">
        <f>'R'!E8</f>
        <v>Re-position / Re-composite</v>
      </c>
      <c r="C521">
        <f>'R'!O8</f>
        <v>0</v>
      </c>
      <c r="D521" t="str">
        <f>'R'!P8</f>
        <v>hours</v>
      </c>
      <c r="E521" s="45">
        <f>'R'!S8</f>
        <v>0</v>
      </c>
      <c r="F521" s="400">
        <f>'R'!V8</f>
        <v>0</v>
      </c>
      <c r="G521" s="408">
        <f>'R'!W8</f>
        <v>0</v>
      </c>
      <c r="H521" t="s">
        <v>845</v>
      </c>
    </row>
    <row r="522" spans="1:8" x14ac:dyDescent="0.2">
      <c r="A522" t="str">
        <f>IF(G522&gt;0,'R'!C9,"")</f>
        <v/>
      </c>
      <c r="B522" t="str">
        <f>'R'!E9</f>
        <v>Re-animate</v>
      </c>
      <c r="C522">
        <f>'R'!O9</f>
        <v>0</v>
      </c>
      <c r="D522" t="str">
        <f>'R'!P9</f>
        <v>hours</v>
      </c>
      <c r="E522" s="45">
        <f>'R'!S9</f>
        <v>0</v>
      </c>
      <c r="F522" s="400">
        <f>'R'!V9</f>
        <v>0</v>
      </c>
      <c r="G522" s="408">
        <f>'R'!W9</f>
        <v>0</v>
      </c>
      <c r="H522" t="s">
        <v>845</v>
      </c>
    </row>
    <row r="523" spans="1:8" x14ac:dyDescent="0.2">
      <c r="A523" t="str">
        <f>IF(G523&gt;0,'R'!C10,"")</f>
        <v/>
      </c>
      <c r="B523" t="str">
        <f>'R'!E10</f>
        <v>Frame Extension</v>
      </c>
      <c r="C523">
        <f>'R'!O10</f>
        <v>0</v>
      </c>
      <c r="D523" t="str">
        <f>'R'!P10</f>
        <v>hours</v>
      </c>
      <c r="E523" s="45">
        <f>'R'!S10</f>
        <v>0</v>
      </c>
      <c r="F523" s="400">
        <f>'R'!V10</f>
        <v>0</v>
      </c>
      <c r="G523" s="408">
        <f>'R'!W10</f>
        <v>0</v>
      </c>
      <c r="H523" t="s">
        <v>845</v>
      </c>
    </row>
    <row r="524" spans="1:8" x14ac:dyDescent="0.2">
      <c r="A524" t="str">
        <f>IF(G524&gt;0,'R'!C11,"")</f>
        <v/>
      </c>
      <c r="B524" t="str">
        <f>'R'!E11</f>
        <v>Pre-Roll Versions</v>
      </c>
      <c r="C524">
        <f>'R'!O11</f>
        <v>0</v>
      </c>
      <c r="D524" t="str">
        <f>'R'!P11</f>
        <v>flat</v>
      </c>
      <c r="E524" s="45">
        <f>'R'!S11</f>
        <v>0</v>
      </c>
      <c r="F524" s="400">
        <f>'R'!V11</f>
        <v>0</v>
      </c>
      <c r="G524" s="408">
        <f>'R'!W11</f>
        <v>0</v>
      </c>
      <c r="H524" t="s">
        <v>845</v>
      </c>
    </row>
    <row r="525" spans="1:8" x14ac:dyDescent="0.2">
      <c r="A525" t="str">
        <f>IF(G525&gt;0,'R'!C12,"")</f>
        <v/>
      </c>
      <c r="B525">
        <f>'R'!E12</f>
        <v>0</v>
      </c>
      <c r="C525">
        <f>'R'!O12</f>
        <v>0</v>
      </c>
      <c r="D525">
        <f>'R'!P12</f>
        <v>0</v>
      </c>
      <c r="E525" s="45">
        <f>'R'!S12</f>
        <v>0</v>
      </c>
      <c r="F525" s="400">
        <f>'R'!V12</f>
        <v>0</v>
      </c>
      <c r="G525" s="408">
        <f>'R'!W12</f>
        <v>0</v>
      </c>
      <c r="H525" t="s">
        <v>845</v>
      </c>
    </row>
    <row r="526" spans="1:8" x14ac:dyDescent="0.2">
      <c r="A526" t="str">
        <f>IF(G526&gt;0,'R'!C13,"")</f>
        <v/>
      </c>
      <c r="B526">
        <f>'R'!E13</f>
        <v>0</v>
      </c>
      <c r="C526">
        <f>'R'!O13</f>
        <v>0</v>
      </c>
      <c r="D526">
        <f>'R'!P13</f>
        <v>0</v>
      </c>
      <c r="E526" s="45">
        <f>'R'!S13</f>
        <v>0</v>
      </c>
      <c r="F526" s="400">
        <f>'R'!V13</f>
        <v>0</v>
      </c>
      <c r="G526" s="408">
        <f>'R'!W13</f>
        <v>0</v>
      </c>
      <c r="H526" t="s">
        <v>845</v>
      </c>
    </row>
    <row r="527" spans="1:8" x14ac:dyDescent="0.2">
      <c r="A527" t="str">
        <f>IF(G527&gt;0,'R'!C14,"")</f>
        <v/>
      </c>
      <c r="B527">
        <f>'R'!E14</f>
        <v>0</v>
      </c>
      <c r="C527">
        <f>'R'!O14</f>
        <v>0</v>
      </c>
      <c r="D527">
        <f>'R'!P14</f>
        <v>0</v>
      </c>
      <c r="E527" s="45">
        <f>'R'!S14</f>
        <v>0</v>
      </c>
      <c r="F527" s="400">
        <f>'R'!V14</f>
        <v>0</v>
      </c>
      <c r="G527" s="408">
        <f>'R'!W14</f>
        <v>0</v>
      </c>
      <c r="H527" t="s">
        <v>845</v>
      </c>
    </row>
    <row r="528" spans="1:8" x14ac:dyDescent="0.2">
      <c r="A528" t="str">
        <f>IF(G528&gt;0,'R'!C15,"")</f>
        <v/>
      </c>
      <c r="B528">
        <f>'R'!E15</f>
        <v>0</v>
      </c>
      <c r="C528">
        <f>'R'!O15</f>
        <v>0</v>
      </c>
      <c r="D528">
        <f>'R'!P15</f>
        <v>0</v>
      </c>
      <c r="E528" s="45">
        <f>'R'!S15</f>
        <v>0</v>
      </c>
      <c r="F528" s="400">
        <f>'R'!V15</f>
        <v>0</v>
      </c>
      <c r="G528" s="408">
        <f>'R'!W15</f>
        <v>0</v>
      </c>
      <c r="H528" t="s">
        <v>845</v>
      </c>
    </row>
    <row r="529" spans="1:8" x14ac:dyDescent="0.2">
      <c r="A529" t="str">
        <f>IF(G529&gt;0,'R'!C16,"")</f>
        <v/>
      </c>
      <c r="B529" t="str">
        <f>'R'!E16</f>
        <v>Additional Grading</v>
      </c>
      <c r="C529">
        <f>'R'!O16</f>
        <v>0</v>
      </c>
      <c r="D529" t="str">
        <f>'R'!P16</f>
        <v>hours</v>
      </c>
      <c r="E529" s="45">
        <f>'R'!S16</f>
        <v>0</v>
      </c>
      <c r="F529" s="400">
        <f>'R'!V16</f>
        <v>0</v>
      </c>
      <c r="G529" s="408">
        <f>'R'!W16</f>
        <v>0</v>
      </c>
      <c r="H529" t="s">
        <v>845</v>
      </c>
    </row>
    <row r="530" spans="1:8" x14ac:dyDescent="0.2">
      <c r="A530" t="str">
        <f>IF(G530&gt;0,'R'!C17,"")</f>
        <v/>
      </c>
      <c r="B530" t="str">
        <f>'R'!E17</f>
        <v>File Versioning / Compression</v>
      </c>
      <c r="C530">
        <f>'R'!O17</f>
        <v>0</v>
      </c>
      <c r="D530" t="str">
        <f>'R'!P17</f>
        <v>hours</v>
      </c>
      <c r="E530" s="45">
        <f>'R'!S17</f>
        <v>0</v>
      </c>
      <c r="F530" s="400">
        <f>'R'!V17</f>
        <v>0</v>
      </c>
      <c r="G530" s="408">
        <f>'R'!W17</f>
        <v>0</v>
      </c>
      <c r="H530" t="s">
        <v>845</v>
      </c>
    </row>
    <row r="531" spans="1:8" x14ac:dyDescent="0.2">
      <c r="A531" t="str">
        <f>IF(G531&gt;0,'R'!C18,"")</f>
        <v/>
      </c>
      <c r="B531" t="str">
        <f>'R'!E18</f>
        <v>Reformatting 1 x 1</v>
      </c>
      <c r="C531">
        <f>'R'!O18</f>
        <v>0</v>
      </c>
      <c r="D531" t="str">
        <f>'R'!P18</f>
        <v>hours</v>
      </c>
      <c r="E531" s="45">
        <f>'R'!S18</f>
        <v>0</v>
      </c>
      <c r="F531" s="400">
        <f>'R'!V18</f>
        <v>0</v>
      </c>
      <c r="G531" s="408">
        <f>'R'!W18</f>
        <v>0</v>
      </c>
      <c r="H531" t="s">
        <v>845</v>
      </c>
    </row>
    <row r="532" spans="1:8" x14ac:dyDescent="0.2">
      <c r="A532" t="str">
        <f>IF(G532&gt;0,'R'!C19,"")</f>
        <v/>
      </c>
      <c r="B532" t="str">
        <f>'R'!E19</f>
        <v>Reformatting 9 x 16</v>
      </c>
      <c r="C532">
        <f>'R'!O19</f>
        <v>0</v>
      </c>
      <c r="D532" t="str">
        <f>'R'!P19</f>
        <v>hours</v>
      </c>
      <c r="E532" s="45">
        <f>'R'!S19</f>
        <v>0</v>
      </c>
      <c r="F532" s="400">
        <f>'R'!V19</f>
        <v>0</v>
      </c>
      <c r="G532" s="408">
        <f>'R'!W19</f>
        <v>0</v>
      </c>
      <c r="H532" t="s">
        <v>845</v>
      </c>
    </row>
    <row r="533" spans="1:8" x14ac:dyDescent="0.2">
      <c r="A533" t="str">
        <f>IF(G533&gt;0,'R'!C20,"")</f>
        <v/>
      </c>
      <c r="B533" t="str">
        <f>'R'!E20</f>
        <v>Reformatting 4 x 3</v>
      </c>
      <c r="C533">
        <f>'R'!O20</f>
        <v>0</v>
      </c>
      <c r="D533" t="str">
        <f>'R'!P20</f>
        <v>hours</v>
      </c>
      <c r="E533" s="45">
        <f>'R'!S20</f>
        <v>0</v>
      </c>
      <c r="F533" s="400">
        <f>'R'!V20</f>
        <v>0</v>
      </c>
      <c r="G533" s="408">
        <f>'R'!W20</f>
        <v>0</v>
      </c>
      <c r="H533" t="s">
        <v>845</v>
      </c>
    </row>
    <row r="534" spans="1:8" x14ac:dyDescent="0.2">
      <c r="A534" t="str">
        <f>IF(G534&gt;0,'R'!C21,"")</f>
        <v/>
      </c>
      <c r="B534" t="str">
        <f>'R'!E21</f>
        <v>Reformatting 5 x 4</v>
      </c>
      <c r="C534">
        <f>'R'!O21</f>
        <v>0</v>
      </c>
      <c r="D534" t="str">
        <f>'R'!P21</f>
        <v>hours</v>
      </c>
      <c r="E534" s="45">
        <f>'R'!S21</f>
        <v>0</v>
      </c>
      <c r="F534" s="400">
        <f>'R'!V21</f>
        <v>0</v>
      </c>
      <c r="G534" s="408">
        <f>'R'!W21</f>
        <v>0</v>
      </c>
      <c r="H534" t="s">
        <v>845</v>
      </c>
    </row>
    <row r="535" spans="1:8" x14ac:dyDescent="0.2">
      <c r="A535" t="str">
        <f>IF(G535&gt;0,'R'!C22,"")</f>
        <v/>
      </c>
      <c r="B535">
        <f>'R'!E22</f>
        <v>0</v>
      </c>
      <c r="C535">
        <f>'R'!O22</f>
        <v>0</v>
      </c>
      <c r="D535" t="str">
        <f>'R'!P22</f>
        <v>hours</v>
      </c>
      <c r="E535" s="45">
        <f>'R'!S22</f>
        <v>0</v>
      </c>
      <c r="F535" s="400">
        <f>'R'!V22</f>
        <v>0</v>
      </c>
      <c r="G535" s="408">
        <f>'R'!W22</f>
        <v>0</v>
      </c>
      <c r="H535" t="s">
        <v>845</v>
      </c>
    </row>
    <row r="536" spans="1:8" x14ac:dyDescent="0.2">
      <c r="A536" t="str">
        <f>IF(G536&gt;0,'R'!C23,"")</f>
        <v/>
      </c>
      <c r="B536">
        <f>'R'!E23</f>
        <v>0</v>
      </c>
      <c r="C536">
        <f>'R'!O23</f>
        <v>0</v>
      </c>
      <c r="D536">
        <f>'R'!P23</f>
        <v>0</v>
      </c>
      <c r="E536" s="45">
        <f>'R'!S23</f>
        <v>0</v>
      </c>
      <c r="F536" s="400">
        <f>'R'!V23</f>
        <v>0</v>
      </c>
      <c r="G536" s="408">
        <f>'R'!W23</f>
        <v>0</v>
      </c>
      <c r="H536" t="s">
        <v>845</v>
      </c>
    </row>
    <row r="537" spans="1:8" x14ac:dyDescent="0.2">
      <c r="A537" t="str">
        <f>IF(G537&gt;0,'R'!C24,"")</f>
        <v/>
      </c>
      <c r="B537">
        <f>'R'!E24</f>
        <v>0</v>
      </c>
      <c r="C537">
        <f>'R'!O24</f>
        <v>0</v>
      </c>
      <c r="D537">
        <f>'R'!P24</f>
        <v>0</v>
      </c>
      <c r="E537" s="45">
        <f>'R'!S24</f>
        <v>0</v>
      </c>
      <c r="F537" s="400">
        <f>'R'!V24</f>
        <v>0</v>
      </c>
      <c r="G537" s="408">
        <f>'R'!W24</f>
        <v>0</v>
      </c>
      <c r="H537" t="s">
        <v>845</v>
      </c>
    </row>
    <row r="538" spans="1:8" x14ac:dyDescent="0.2">
      <c r="A538" t="str">
        <f>IF(G538&gt;0,'R'!C25,"")</f>
        <v/>
      </c>
      <c r="B538" t="str">
        <f>'R'!E25</f>
        <v>Reframing 1 x 1</v>
      </c>
      <c r="C538">
        <f>'R'!O25</f>
        <v>0</v>
      </c>
      <c r="D538" t="str">
        <f>'R'!P25</f>
        <v>hours</v>
      </c>
      <c r="E538" s="45">
        <f>'R'!S25</f>
        <v>0</v>
      </c>
      <c r="F538" s="400">
        <f>'R'!V25</f>
        <v>0</v>
      </c>
      <c r="G538" s="408">
        <f>'R'!W25</f>
        <v>0</v>
      </c>
      <c r="H538" t="s">
        <v>845</v>
      </c>
    </row>
    <row r="539" spans="1:8" x14ac:dyDescent="0.2">
      <c r="A539" t="str">
        <f>IF(G539&gt;0,'R'!C26,"")</f>
        <v/>
      </c>
      <c r="B539" t="str">
        <f>'R'!E26</f>
        <v>Reframing  9 x 16</v>
      </c>
      <c r="C539">
        <f>'R'!O26</f>
        <v>0</v>
      </c>
      <c r="D539" t="str">
        <f>'R'!P26</f>
        <v>hours</v>
      </c>
      <c r="E539" s="45">
        <f>'R'!S26</f>
        <v>0</v>
      </c>
      <c r="F539" s="400">
        <f>'R'!V26</f>
        <v>0</v>
      </c>
      <c r="G539" s="408">
        <f>'R'!W26</f>
        <v>0</v>
      </c>
      <c r="H539" t="s">
        <v>845</v>
      </c>
    </row>
    <row r="540" spans="1:8" x14ac:dyDescent="0.2">
      <c r="A540" t="str">
        <f>IF(G540&gt;0,'R'!C27,"")</f>
        <v/>
      </c>
      <c r="B540" t="str">
        <f>'R'!E27</f>
        <v>Reframing  4 x 3</v>
      </c>
      <c r="C540">
        <f>'R'!O27</f>
        <v>0</v>
      </c>
      <c r="D540" t="str">
        <f>'R'!P27</f>
        <v>hours</v>
      </c>
      <c r="E540" s="45">
        <f>'R'!S27</f>
        <v>0</v>
      </c>
      <c r="F540" s="400">
        <f>'R'!V27</f>
        <v>0</v>
      </c>
      <c r="G540" s="408">
        <f>'R'!W27</f>
        <v>0</v>
      </c>
      <c r="H540" t="s">
        <v>845</v>
      </c>
    </row>
    <row r="541" spans="1:8" x14ac:dyDescent="0.2">
      <c r="A541" t="str">
        <f>IF(G541&gt;0,'R'!C28,"")</f>
        <v/>
      </c>
      <c r="B541" t="str">
        <f>'R'!E28</f>
        <v>Reframing  5 x 4</v>
      </c>
      <c r="C541">
        <f>'R'!O28</f>
        <v>0</v>
      </c>
      <c r="D541" t="str">
        <f>'R'!P28</f>
        <v>hours</v>
      </c>
      <c r="E541" s="45">
        <f>'R'!S28</f>
        <v>0</v>
      </c>
      <c r="F541" s="400">
        <f>'R'!V28</f>
        <v>0</v>
      </c>
      <c r="G541" s="408">
        <f>'R'!W28</f>
        <v>0</v>
      </c>
      <c r="H541" t="s">
        <v>845</v>
      </c>
    </row>
    <row r="542" spans="1:8" x14ac:dyDescent="0.2">
      <c r="A542" t="str">
        <f>IF(G542&gt;0,'R'!C29,"")</f>
        <v/>
      </c>
      <c r="B542">
        <f>'R'!E29</f>
        <v>0</v>
      </c>
      <c r="C542">
        <f>'R'!O29</f>
        <v>0</v>
      </c>
      <c r="D542">
        <f>'R'!P29</f>
        <v>0</v>
      </c>
      <c r="E542" s="45">
        <f>'R'!S29</f>
        <v>0</v>
      </c>
      <c r="F542" s="400">
        <f>'R'!V29</f>
        <v>0</v>
      </c>
      <c r="G542" s="408">
        <f>'R'!W29</f>
        <v>0</v>
      </c>
      <c r="H542" t="s">
        <v>845</v>
      </c>
    </row>
    <row r="543" spans="1:8" x14ac:dyDescent="0.2">
      <c r="A543" t="str">
        <f>IF(G543&gt;0,'R'!C30,"")</f>
        <v/>
      </c>
      <c r="B543">
        <f>'R'!E30</f>
        <v>0</v>
      </c>
      <c r="C543">
        <f>'R'!O30</f>
        <v>0</v>
      </c>
      <c r="D543">
        <f>'R'!P30</f>
        <v>0</v>
      </c>
      <c r="E543" s="45">
        <f>'R'!S30</f>
        <v>0</v>
      </c>
      <c r="F543" s="400">
        <f>'R'!V30</f>
        <v>0</v>
      </c>
      <c r="G543" s="408">
        <f>'R'!W30</f>
        <v>0</v>
      </c>
      <c r="H543" t="s">
        <v>845</v>
      </c>
    </row>
    <row r="544" spans="1:8" x14ac:dyDescent="0.2">
      <c r="A544" t="str">
        <f>IF(G544&gt;0,'R'!C31,"")</f>
        <v/>
      </c>
      <c r="B544">
        <f>'R'!E31</f>
        <v>0</v>
      </c>
      <c r="C544">
        <f>'R'!O31</f>
        <v>0</v>
      </c>
      <c r="D544">
        <f>'R'!P31</f>
        <v>0</v>
      </c>
      <c r="E544" s="45">
        <f>'R'!S31</f>
        <v>0</v>
      </c>
      <c r="F544" s="400">
        <f>'R'!V31</f>
        <v>0</v>
      </c>
      <c r="G544" s="408">
        <f>'R'!W31</f>
        <v>0</v>
      </c>
      <c r="H544" t="s">
        <v>845</v>
      </c>
    </row>
    <row r="545" spans="1:8" x14ac:dyDescent="0.2">
      <c r="A545" t="str">
        <f>IF(G545&gt;0,'R'!C32,"")</f>
        <v/>
      </c>
      <c r="B545">
        <f>'R'!E32</f>
        <v>0</v>
      </c>
      <c r="C545">
        <f>'R'!O32</f>
        <v>0</v>
      </c>
      <c r="D545">
        <f>'R'!P32</f>
        <v>0</v>
      </c>
      <c r="E545" s="45">
        <f>'R'!S32</f>
        <v>0</v>
      </c>
      <c r="F545" s="400">
        <f>'R'!V32</f>
        <v>0</v>
      </c>
      <c r="G545" s="408">
        <f>'R'!W32</f>
        <v>0</v>
      </c>
      <c r="H545" t="s">
        <v>845</v>
      </c>
    </row>
    <row r="546" spans="1:8" x14ac:dyDescent="0.2">
      <c r="A546" t="str">
        <f>IF(G546&gt;0,'R'!C33,"")</f>
        <v/>
      </c>
      <c r="B546">
        <f>'R'!E33</f>
        <v>0</v>
      </c>
      <c r="C546">
        <f>'R'!O33</f>
        <v>0</v>
      </c>
      <c r="D546">
        <f>'R'!P33</f>
        <v>0</v>
      </c>
      <c r="E546" s="45">
        <f>'R'!S33</f>
        <v>0</v>
      </c>
      <c r="F546" s="400">
        <f>'R'!V33</f>
        <v>0</v>
      </c>
      <c r="G546" s="408">
        <f>'R'!W33</f>
        <v>0</v>
      </c>
      <c r="H546" t="s">
        <v>845</v>
      </c>
    </row>
    <row r="547" spans="1:8" x14ac:dyDescent="0.2">
      <c r="A547" t="str">
        <f>IF(G547&gt;0,'R'!C34,"")</f>
        <v/>
      </c>
      <c r="B547" t="str">
        <f>'R'!E34</f>
        <v>Social mixes</v>
      </c>
      <c r="C547">
        <f>'R'!O34</f>
        <v>0</v>
      </c>
      <c r="D547" t="str">
        <f>'R'!P34</f>
        <v>hours</v>
      </c>
      <c r="E547" s="45">
        <f>'R'!S34</f>
        <v>0</v>
      </c>
      <c r="F547" s="400">
        <f>'R'!V34</f>
        <v>0</v>
      </c>
      <c r="G547" s="408">
        <f>'R'!W34</f>
        <v>0</v>
      </c>
      <c r="H547" t="s">
        <v>845</v>
      </c>
    </row>
    <row r="548" spans="1:8" x14ac:dyDescent="0.2">
      <c r="A548" t="str">
        <f>IF(G548&gt;0,'R'!C35,"")</f>
        <v/>
      </c>
      <c r="B548" t="str">
        <f>'R'!E35</f>
        <v>Social Music Edits</v>
      </c>
      <c r="C548">
        <f>'R'!O35</f>
        <v>0</v>
      </c>
      <c r="D548" t="str">
        <f>'R'!P35</f>
        <v>hours</v>
      </c>
      <c r="E548" s="45">
        <f>'R'!S35</f>
        <v>0</v>
      </c>
      <c r="F548" s="400">
        <f>'R'!V35</f>
        <v>0</v>
      </c>
      <c r="G548" s="408">
        <f>'R'!W35</f>
        <v>0</v>
      </c>
      <c r="H548" t="s">
        <v>845</v>
      </c>
    </row>
    <row r="549" spans="1:8" x14ac:dyDescent="0.2">
      <c r="A549" t="str">
        <f>IF(G549&gt;0,'R'!C36,"")</f>
        <v/>
      </c>
      <c r="B549" t="str">
        <f>'R'!E36</f>
        <v>Additional VO Record</v>
      </c>
      <c r="C549">
        <f>'R'!O36</f>
        <v>0</v>
      </c>
      <c r="D549" t="str">
        <f>'R'!P36</f>
        <v>hours</v>
      </c>
      <c r="E549" s="45">
        <f>'R'!S36</f>
        <v>0</v>
      </c>
      <c r="F549" s="400">
        <f>'R'!V36</f>
        <v>0</v>
      </c>
      <c r="G549" s="408">
        <f>'R'!W36</f>
        <v>0</v>
      </c>
      <c r="H549" t="s">
        <v>845</v>
      </c>
    </row>
    <row r="550" spans="1:8" x14ac:dyDescent="0.2">
      <c r="A550" t="str">
        <f>IF(G550&gt;0,'R'!C37,"")</f>
        <v/>
      </c>
      <c r="B550">
        <f>'R'!E37</f>
        <v>0</v>
      </c>
      <c r="C550">
        <f>'R'!O37</f>
        <v>0</v>
      </c>
      <c r="D550">
        <f>'R'!P37</f>
        <v>0</v>
      </c>
      <c r="E550" s="45">
        <f>'R'!S37</f>
        <v>0</v>
      </c>
      <c r="F550" s="400">
        <f>'R'!V37</f>
        <v>0</v>
      </c>
      <c r="G550" s="408">
        <f>'R'!W37</f>
        <v>0</v>
      </c>
      <c r="H550" t="s">
        <v>845</v>
      </c>
    </row>
    <row r="551" spans="1:8" x14ac:dyDescent="0.2">
      <c r="A551" t="str">
        <f>IF(G551&gt;0,'R'!C38,"")</f>
        <v/>
      </c>
      <c r="B551">
        <f>'R'!E38</f>
        <v>0</v>
      </c>
      <c r="C551">
        <f>'R'!O38</f>
        <v>0</v>
      </c>
      <c r="D551">
        <f>'R'!P38</f>
        <v>0</v>
      </c>
      <c r="E551" s="45">
        <f>'R'!S38</f>
        <v>0</v>
      </c>
      <c r="F551" s="400">
        <f>'R'!V38</f>
        <v>0</v>
      </c>
      <c r="G551" s="408">
        <f>'R'!W38</f>
        <v>0</v>
      </c>
      <c r="H551" t="s">
        <v>845</v>
      </c>
    </row>
    <row r="552" spans="1:8" x14ac:dyDescent="0.2">
      <c r="A552" t="str">
        <f>IF(G552&gt;0,'R'!C39,"")</f>
        <v/>
      </c>
      <c r="B552">
        <f>'R'!E39</f>
        <v>0</v>
      </c>
      <c r="C552">
        <f>'R'!O39</f>
        <v>0</v>
      </c>
      <c r="D552">
        <f>'R'!P39</f>
        <v>0</v>
      </c>
      <c r="E552" s="45">
        <f>'R'!S39</f>
        <v>0</v>
      </c>
      <c r="F552" s="400">
        <f>'R'!V39</f>
        <v>0</v>
      </c>
      <c r="G552" s="408">
        <f>'R'!W39</f>
        <v>0</v>
      </c>
      <c r="H552" t="s">
        <v>845</v>
      </c>
    </row>
    <row r="553" spans="1:8" x14ac:dyDescent="0.2">
      <c r="A553" t="str">
        <f>IF(G553&gt;0,'R'!C40,"")</f>
        <v/>
      </c>
      <c r="B553">
        <f>'R'!E40</f>
        <v>0</v>
      </c>
      <c r="C553">
        <f>'R'!O40</f>
        <v>0</v>
      </c>
      <c r="D553">
        <f>'R'!P40</f>
        <v>0</v>
      </c>
      <c r="E553" s="45">
        <f>'R'!S40</f>
        <v>0</v>
      </c>
      <c r="F553" s="400">
        <f>'R'!V40</f>
        <v>0</v>
      </c>
      <c r="G553" s="408">
        <f>'R'!W40</f>
        <v>0</v>
      </c>
      <c r="H553" t="s">
        <v>845</v>
      </c>
    </row>
    <row r="554" spans="1:8" x14ac:dyDescent="0.2">
      <c r="A554" t="str">
        <f>IF(G554&gt;0,'R'!C41,"")</f>
        <v/>
      </c>
      <c r="B554">
        <f>'R'!E41</f>
        <v>0</v>
      </c>
      <c r="C554">
        <f>'R'!O41</f>
        <v>0</v>
      </c>
      <c r="D554">
        <f>'R'!P41</f>
        <v>0</v>
      </c>
      <c r="E554" s="45">
        <f>'R'!S41</f>
        <v>0</v>
      </c>
      <c r="F554" s="400">
        <f>'R'!V41</f>
        <v>0</v>
      </c>
      <c r="G554" s="408">
        <f>'R'!W41</f>
        <v>0</v>
      </c>
      <c r="H554" t="s">
        <v>845</v>
      </c>
    </row>
    <row r="555" spans="1:8" x14ac:dyDescent="0.2">
      <c r="A555" t="str">
        <f>IF(G555&gt;0,'R'!C42,"")</f>
        <v/>
      </c>
      <c r="B555">
        <f>'R'!E42</f>
        <v>0</v>
      </c>
      <c r="C555">
        <f>'R'!O42</f>
        <v>0</v>
      </c>
      <c r="D555">
        <f>'R'!P42</f>
        <v>0</v>
      </c>
      <c r="E555" s="45">
        <f>'R'!S42</f>
        <v>0</v>
      </c>
      <c r="F555" s="400">
        <f>'R'!V42</f>
        <v>0</v>
      </c>
      <c r="G555" s="408">
        <f>'R'!W42</f>
        <v>0</v>
      </c>
      <c r="H555" t="s">
        <v>845</v>
      </c>
    </row>
    <row r="556" spans="1:8" x14ac:dyDescent="0.2">
      <c r="A556" t="str">
        <f>IF(G556&gt;0,'R'!C43,"")</f>
        <v/>
      </c>
      <c r="B556" t="str">
        <f>'R'!E43</f>
        <v>Additional Drives</v>
      </c>
      <c r="C556">
        <f>'R'!O43</f>
        <v>0</v>
      </c>
      <c r="D556" t="str">
        <f>'R'!P43</f>
        <v>each</v>
      </c>
      <c r="E556" s="45">
        <f>'R'!S43</f>
        <v>0</v>
      </c>
      <c r="F556" s="400">
        <f>'R'!V43</f>
        <v>0</v>
      </c>
      <c r="G556" s="408">
        <f>'R'!W43</f>
        <v>0</v>
      </c>
      <c r="H556" t="s">
        <v>845</v>
      </c>
    </row>
    <row r="557" spans="1:8" x14ac:dyDescent="0.2">
      <c r="A557" t="str">
        <f>IF(G557&gt;0,'R'!C44,"")</f>
        <v/>
      </c>
      <c r="B557" t="str">
        <f>'R'!E44</f>
        <v>Postings / Digital Delivery / QC</v>
      </c>
      <c r="C557">
        <f>'R'!O44</f>
        <v>0</v>
      </c>
      <c r="D557" t="str">
        <f>'R'!P44</f>
        <v>allow</v>
      </c>
      <c r="E557" s="45">
        <f>'R'!S44</f>
        <v>0</v>
      </c>
      <c r="F557" s="400">
        <f>'R'!V44</f>
        <v>0</v>
      </c>
      <c r="G557" s="408">
        <f>'R'!W44</f>
        <v>0</v>
      </c>
      <c r="H557" t="s">
        <v>845</v>
      </c>
    </row>
    <row r="558" spans="1:8" x14ac:dyDescent="0.2">
      <c r="A558" t="str">
        <f>IF(G558&gt;0,'R'!C45,"")</f>
        <v/>
      </c>
      <c r="B558">
        <f>'R'!E45</f>
        <v>0</v>
      </c>
      <c r="C558">
        <f>'R'!O45</f>
        <v>0</v>
      </c>
      <c r="D558">
        <f>'R'!P45</f>
        <v>0</v>
      </c>
      <c r="E558" s="45">
        <f>'R'!S45</f>
        <v>0</v>
      </c>
      <c r="F558" s="400">
        <f>'R'!V45</f>
        <v>0</v>
      </c>
      <c r="G558" s="408">
        <f>'R'!W45</f>
        <v>0</v>
      </c>
      <c r="H558" t="s">
        <v>845</v>
      </c>
    </row>
    <row r="559" spans="1:8" x14ac:dyDescent="0.2">
      <c r="A559" t="str">
        <f>IF(G559&gt;0,'R'!C46,"")</f>
        <v/>
      </c>
      <c r="B559">
        <f>'R'!E46</f>
        <v>0</v>
      </c>
      <c r="C559">
        <f>'R'!O46</f>
        <v>0</v>
      </c>
      <c r="D559">
        <f>'R'!P46</f>
        <v>0</v>
      </c>
      <c r="E559" s="45">
        <f>'R'!S46</f>
        <v>0</v>
      </c>
      <c r="F559" s="400">
        <f>'R'!V46</f>
        <v>0</v>
      </c>
      <c r="G559" s="408">
        <f>'R'!W46</f>
        <v>0</v>
      </c>
      <c r="H559" t="s">
        <v>845</v>
      </c>
    </row>
    <row r="560" spans="1:8" x14ac:dyDescent="0.2">
      <c r="A560" t="str">
        <f>IF(G560&gt;0,'R'!C47,"")</f>
        <v/>
      </c>
      <c r="B560">
        <f>'R'!E47</f>
        <v>0</v>
      </c>
      <c r="C560">
        <f>'R'!O47</f>
        <v>0</v>
      </c>
      <c r="D560">
        <f>'R'!P47</f>
        <v>0</v>
      </c>
      <c r="E560" s="45">
        <f>'R'!S47</f>
        <v>0</v>
      </c>
      <c r="F560" s="400">
        <f>'R'!V47</f>
        <v>0</v>
      </c>
      <c r="G560" s="408">
        <f>'R'!W47</f>
        <v>0</v>
      </c>
      <c r="H560" t="s">
        <v>845</v>
      </c>
    </row>
    <row r="561" spans="1:8" x14ac:dyDescent="0.2">
      <c r="A561" t="str">
        <f>IF(G561&gt;0,'R'!C48,"")</f>
        <v/>
      </c>
      <c r="B561">
        <f>'R'!E48</f>
        <v>0</v>
      </c>
      <c r="C561">
        <f>'R'!O48</f>
        <v>0</v>
      </c>
      <c r="D561">
        <f>'R'!P48</f>
        <v>0</v>
      </c>
      <c r="E561" s="45">
        <f>'R'!S48</f>
        <v>0</v>
      </c>
      <c r="F561" s="400">
        <f>'R'!V48</f>
        <v>0</v>
      </c>
      <c r="G561" s="408">
        <f>'R'!W48</f>
        <v>0</v>
      </c>
      <c r="H561" t="s">
        <v>845</v>
      </c>
    </row>
    <row r="562" spans="1:8" x14ac:dyDescent="0.2">
      <c r="A562" t="str">
        <f>IF(G562&gt;0,'R'!C49,"")</f>
        <v/>
      </c>
      <c r="B562">
        <f>'R'!E49</f>
        <v>0</v>
      </c>
      <c r="C562">
        <f>'R'!O49</f>
        <v>0</v>
      </c>
      <c r="D562">
        <f>'R'!P49</f>
        <v>0</v>
      </c>
      <c r="E562" s="45">
        <f>'R'!S49</f>
        <v>0</v>
      </c>
      <c r="F562" s="400">
        <f>'R'!V49</f>
        <v>0</v>
      </c>
      <c r="G562" s="408">
        <f>'R'!W49</f>
        <v>0</v>
      </c>
      <c r="H562" t="s">
        <v>845</v>
      </c>
    </row>
    <row r="563" spans="1:8" x14ac:dyDescent="0.2">
      <c r="A563" t="str">
        <f>IF(G563&gt;0,'R'!C50,"")</f>
        <v/>
      </c>
      <c r="B563">
        <f>'R'!E50</f>
        <v>0</v>
      </c>
      <c r="C563">
        <f>'R'!O50</f>
        <v>0</v>
      </c>
      <c r="D563">
        <f>'R'!P50</f>
        <v>0</v>
      </c>
      <c r="E563" s="45">
        <f>'R'!S50</f>
        <v>0</v>
      </c>
      <c r="F563" s="400">
        <f>'R'!V50</f>
        <v>0</v>
      </c>
      <c r="G563" s="408">
        <f>'R'!W50</f>
        <v>0</v>
      </c>
      <c r="H563" t="s">
        <v>845</v>
      </c>
    </row>
    <row r="564" spans="1:8" x14ac:dyDescent="0.2">
      <c r="A564" t="str">
        <f>IF(G564&gt;0,'R'!C51,"")</f>
        <v/>
      </c>
      <c r="B564">
        <f>'R'!E51</f>
        <v>0</v>
      </c>
      <c r="C564">
        <f>'R'!O51</f>
        <v>0</v>
      </c>
      <c r="D564">
        <f>'R'!P51</f>
        <v>0</v>
      </c>
      <c r="E564" s="45">
        <f>'R'!S51</f>
        <v>0</v>
      </c>
      <c r="F564" s="400">
        <f>'R'!V51</f>
        <v>0</v>
      </c>
      <c r="G564" s="408">
        <f>'R'!W51</f>
        <v>0</v>
      </c>
      <c r="H564" t="s">
        <v>845</v>
      </c>
    </row>
    <row r="565" spans="1:8" x14ac:dyDescent="0.2">
      <c r="A565" t="str">
        <f>IF(G565&gt;0,'R'!C52,"")</f>
        <v/>
      </c>
      <c r="B565" t="str">
        <f>'R'!E52</f>
        <v>Additional Drives</v>
      </c>
      <c r="C565">
        <f>'R'!O52</f>
        <v>0</v>
      </c>
      <c r="D565" t="str">
        <f>'R'!P52</f>
        <v>each</v>
      </c>
      <c r="E565" s="45">
        <f>'R'!S52</f>
        <v>0</v>
      </c>
      <c r="F565" s="400">
        <f>'R'!V52</f>
        <v>0</v>
      </c>
      <c r="G565" s="408">
        <f>'R'!W52</f>
        <v>0</v>
      </c>
      <c r="H565" t="s">
        <v>845</v>
      </c>
    </row>
    <row r="566" spans="1:8" x14ac:dyDescent="0.2">
      <c r="A566" t="str">
        <f>IF(G566&gt;0,'R'!C53,"")</f>
        <v/>
      </c>
      <c r="B566" t="str">
        <f>'R'!E53</f>
        <v>Postings / Digital Delivery / QC</v>
      </c>
      <c r="C566">
        <f>'R'!O53</f>
        <v>0</v>
      </c>
      <c r="D566" t="str">
        <f>'R'!P53</f>
        <v>allow</v>
      </c>
      <c r="E566" s="45">
        <f>'R'!S53</f>
        <v>0</v>
      </c>
      <c r="F566" s="400">
        <f>'R'!V53</f>
        <v>0</v>
      </c>
      <c r="G566" s="408">
        <f>'R'!W53</f>
        <v>0</v>
      </c>
      <c r="H566" t="s">
        <v>845</v>
      </c>
    </row>
    <row r="567" spans="1:8" x14ac:dyDescent="0.2">
      <c r="A567" t="str">
        <f>IF(G567&gt;0,'R'!C54,"")</f>
        <v/>
      </c>
      <c r="B567">
        <f>'R'!E54</f>
        <v>0</v>
      </c>
      <c r="C567">
        <f>'R'!O54</f>
        <v>0</v>
      </c>
      <c r="D567">
        <f>'R'!P54</f>
        <v>0</v>
      </c>
      <c r="E567" s="45">
        <f>'R'!S54</f>
        <v>0</v>
      </c>
      <c r="F567" s="400">
        <f>'R'!V54</f>
        <v>0</v>
      </c>
      <c r="G567" s="408">
        <f>'R'!W54</f>
        <v>0</v>
      </c>
      <c r="H567" t="s">
        <v>845</v>
      </c>
    </row>
    <row r="568" spans="1:8" x14ac:dyDescent="0.2">
      <c r="A568" t="str">
        <f>IF(G568&gt;0,'R'!C55,"")</f>
        <v/>
      </c>
      <c r="B568">
        <f>'R'!E55</f>
        <v>0</v>
      </c>
      <c r="C568">
        <f>'R'!O55</f>
        <v>0</v>
      </c>
      <c r="D568">
        <f>'R'!P55</f>
        <v>0</v>
      </c>
      <c r="E568" s="45">
        <f>'R'!S55</f>
        <v>0</v>
      </c>
      <c r="F568" s="400">
        <f>'R'!V55</f>
        <v>0</v>
      </c>
      <c r="G568" s="408">
        <f>'R'!W55</f>
        <v>0</v>
      </c>
      <c r="H568" t="s">
        <v>845</v>
      </c>
    </row>
    <row r="569" spans="1:8" x14ac:dyDescent="0.2">
      <c r="A569" t="str">
        <f>IF(G569&gt;0,'R'!C56,"")</f>
        <v/>
      </c>
      <c r="B569">
        <f>'R'!E56</f>
        <v>0</v>
      </c>
      <c r="C569">
        <f>'R'!O56</f>
        <v>0</v>
      </c>
      <c r="D569">
        <f>'R'!P56</f>
        <v>0</v>
      </c>
      <c r="E569" s="45">
        <f>'R'!S56</f>
        <v>0</v>
      </c>
      <c r="F569" s="400">
        <f>'R'!V56</f>
        <v>0</v>
      </c>
      <c r="G569" s="408">
        <f>'R'!W56</f>
        <v>0</v>
      </c>
      <c r="H569" t="s">
        <v>845</v>
      </c>
    </row>
    <row r="570" spans="1:8" x14ac:dyDescent="0.2">
      <c r="A570" t="str">
        <f>IF(G570&gt;0,'R'!C57,"")</f>
        <v/>
      </c>
      <c r="B570">
        <f>'R'!E57</f>
        <v>0</v>
      </c>
      <c r="C570">
        <f>'R'!O57</f>
        <v>0</v>
      </c>
      <c r="D570">
        <f>'R'!P57</f>
        <v>0</v>
      </c>
      <c r="E570" s="45">
        <f>'R'!S57</f>
        <v>0</v>
      </c>
      <c r="F570" s="400">
        <f>'R'!V57</f>
        <v>0</v>
      </c>
      <c r="G570" s="408">
        <f>'R'!W57</f>
        <v>0</v>
      </c>
      <c r="H570" t="s">
        <v>845</v>
      </c>
    </row>
    <row r="571" spans="1:8" x14ac:dyDescent="0.2">
      <c r="A571" t="str">
        <f>IF(G571&gt;0,'R'!C58,"")</f>
        <v/>
      </c>
      <c r="B571">
        <f>'R'!E58</f>
        <v>0</v>
      </c>
      <c r="C571">
        <f>'R'!O58</f>
        <v>0</v>
      </c>
      <c r="D571">
        <f>'R'!P58</f>
        <v>0</v>
      </c>
      <c r="E571" s="45">
        <f>'R'!S58</f>
        <v>0</v>
      </c>
      <c r="F571" s="400">
        <f>'R'!V58</f>
        <v>0</v>
      </c>
      <c r="G571" s="408">
        <f>'R'!W58</f>
        <v>0</v>
      </c>
      <c r="H571" t="s">
        <v>845</v>
      </c>
    </row>
    <row r="572" spans="1:8" x14ac:dyDescent="0.2">
      <c r="A572" t="str">
        <f>IF(G572&gt;0,'R'!C59,"")</f>
        <v/>
      </c>
      <c r="B572">
        <f>'R'!E59</f>
        <v>0</v>
      </c>
      <c r="C572">
        <f>'R'!O59</f>
        <v>0</v>
      </c>
      <c r="D572">
        <f>'R'!P59</f>
        <v>0</v>
      </c>
      <c r="E572" s="45">
        <f>'R'!S59</f>
        <v>0</v>
      </c>
      <c r="F572" s="400">
        <f>'R'!V59</f>
        <v>0</v>
      </c>
      <c r="G572" s="408">
        <f>'R'!W59</f>
        <v>0</v>
      </c>
      <c r="H572" t="s">
        <v>845</v>
      </c>
    </row>
    <row r="573" spans="1:8" x14ac:dyDescent="0.2">
      <c r="A573" t="str">
        <f>IF(G573&gt;0,'R'!C60,"")</f>
        <v/>
      </c>
      <c r="B573">
        <f>'R'!E60</f>
        <v>0</v>
      </c>
      <c r="C573">
        <f>'R'!O60</f>
        <v>0</v>
      </c>
      <c r="D573">
        <f>'R'!P60</f>
        <v>0</v>
      </c>
      <c r="E573" s="45">
        <f>'R'!S60</f>
        <v>0</v>
      </c>
      <c r="F573" s="400">
        <f>'R'!V60</f>
        <v>0</v>
      </c>
      <c r="G573" s="408">
        <f>'R'!W60</f>
        <v>0</v>
      </c>
      <c r="H573" t="s">
        <v>845</v>
      </c>
    </row>
    <row r="574" spans="1:8" x14ac:dyDescent="0.2">
      <c r="E574" s="45">
        <f>'R'!S61</f>
        <v>0</v>
      </c>
      <c r="F574" t="str">
        <f>'R'!O61</f>
        <v>Total R</v>
      </c>
      <c r="G574" s="408">
        <f>'R'!W61</f>
        <v>0</v>
      </c>
      <c r="H574" t="s">
        <v>845</v>
      </c>
    </row>
    <row r="575" spans="1:8" x14ac:dyDescent="0.2">
      <c r="E575" s="45"/>
      <c r="F575" s="400"/>
    </row>
    <row r="576" spans="1:8" x14ac:dyDescent="0.2">
      <c r="A576" t="s">
        <v>821</v>
      </c>
      <c r="B576" t="s">
        <v>822</v>
      </c>
      <c r="C576" t="s">
        <v>376</v>
      </c>
      <c r="D576" t="s">
        <v>823</v>
      </c>
      <c r="E576" t="s">
        <v>220</v>
      </c>
      <c r="F576" t="s">
        <v>400</v>
      </c>
      <c r="G576" s="408" t="s">
        <v>370</v>
      </c>
    </row>
    <row r="577" spans="1:9" x14ac:dyDescent="0.2">
      <c r="A577" t="str">
        <f>IF(G577&gt;0,S!C7,"")</f>
        <v/>
      </c>
      <c r="B577" t="str">
        <f>S!E7</f>
        <v>Pre-Load, Encode and Mix Prep</v>
      </c>
      <c r="C577">
        <f>S!O7</f>
        <v>0</v>
      </c>
      <c r="D577" t="str">
        <f>S!P7</f>
        <v>hours</v>
      </c>
      <c r="E577" s="45">
        <f>S!S7</f>
        <v>0</v>
      </c>
      <c r="F577" s="400">
        <f>S!V7</f>
        <v>0</v>
      </c>
      <c r="G577" s="408">
        <f>S!W7</f>
        <v>0</v>
      </c>
      <c r="H577" t="s">
        <v>846</v>
      </c>
      <c r="I577">
        <v>7</v>
      </c>
    </row>
    <row r="578" spans="1:9" x14ac:dyDescent="0.2">
      <c r="A578" t="str">
        <f>IF(G578&gt;0,S!C8,"")</f>
        <v/>
      </c>
      <c r="B578" t="str">
        <f>S!E8</f>
        <v>Sound Effects / Music Search</v>
      </c>
      <c r="C578">
        <f>S!O8</f>
        <v>0</v>
      </c>
      <c r="D578" t="str">
        <f>S!P8</f>
        <v>hours</v>
      </c>
      <c r="E578" s="45">
        <f>S!S8</f>
        <v>0</v>
      </c>
      <c r="F578" s="400">
        <f>S!V8</f>
        <v>0</v>
      </c>
      <c r="G578" s="408">
        <f>S!W8</f>
        <v>0</v>
      </c>
      <c r="H578" t="s">
        <v>846</v>
      </c>
    </row>
    <row r="579" spans="1:9" x14ac:dyDescent="0.2">
      <c r="A579" t="str">
        <f>IF(G579&gt;0,S!C9,"")</f>
        <v/>
      </c>
      <c r="B579" t="str">
        <f>S!E9</f>
        <v>Voice Casting</v>
      </c>
      <c r="C579">
        <f>S!O9</f>
        <v>0</v>
      </c>
      <c r="D579" t="str">
        <f>S!P9</f>
        <v>hours</v>
      </c>
      <c r="E579" s="45">
        <f>S!S9</f>
        <v>0</v>
      </c>
      <c r="F579" s="400">
        <f>S!V9</f>
        <v>0</v>
      </c>
      <c r="G579" s="408">
        <f>S!W9</f>
        <v>0</v>
      </c>
      <c r="H579" t="s">
        <v>846</v>
      </c>
    </row>
    <row r="580" spans="1:9" x14ac:dyDescent="0.2">
      <c r="A580" t="str">
        <f>IF(G580&gt;0,S!C10,"")</f>
        <v/>
      </c>
      <c r="B580" t="str">
        <f>S!E10</f>
        <v>Transcription / Translation</v>
      </c>
      <c r="C580">
        <f>S!O10</f>
        <v>0</v>
      </c>
      <c r="D580" t="str">
        <f>S!P10</f>
        <v>hours</v>
      </c>
      <c r="E580" s="45">
        <f>S!S10</f>
        <v>0</v>
      </c>
      <c r="F580" s="400">
        <f>S!V10</f>
        <v>0</v>
      </c>
      <c r="G580" s="408">
        <f>S!W10</f>
        <v>0</v>
      </c>
      <c r="H580" t="s">
        <v>846</v>
      </c>
    </row>
    <row r="581" spans="1:9" x14ac:dyDescent="0.2">
      <c r="A581" t="str">
        <f>IF(G581&gt;0,S!C11,"")</f>
        <v/>
      </c>
      <c r="B581">
        <f>S!E11</f>
        <v>0</v>
      </c>
      <c r="C581">
        <f>S!O11</f>
        <v>0</v>
      </c>
      <c r="D581">
        <f>S!P11</f>
        <v>0</v>
      </c>
      <c r="E581" s="45">
        <f>S!S11</f>
        <v>0</v>
      </c>
      <c r="F581" s="400">
        <f>S!V11</f>
        <v>0</v>
      </c>
      <c r="G581" s="408">
        <f>S!W11</f>
        <v>0</v>
      </c>
      <c r="H581" t="s">
        <v>846</v>
      </c>
    </row>
    <row r="582" spans="1:9" x14ac:dyDescent="0.2">
      <c r="A582" t="str">
        <f>IF(G582&gt;0,S!C12,"")</f>
        <v/>
      </c>
      <c r="B582">
        <f>S!E12</f>
        <v>0</v>
      </c>
      <c r="C582">
        <f>S!O12</f>
        <v>0</v>
      </c>
      <c r="D582">
        <f>S!P12</f>
        <v>0</v>
      </c>
      <c r="E582" s="45">
        <f>S!S12</f>
        <v>0</v>
      </c>
      <c r="F582" s="400">
        <f>S!V12</f>
        <v>0</v>
      </c>
      <c r="G582" s="408">
        <f>S!W12</f>
        <v>0</v>
      </c>
      <c r="H582" t="s">
        <v>846</v>
      </c>
    </row>
    <row r="583" spans="1:9" x14ac:dyDescent="0.2">
      <c r="A583" t="str">
        <f>IF(G583&gt;0,S!C13,"")</f>
        <v/>
      </c>
      <c r="B583">
        <f>S!E13</f>
        <v>0</v>
      </c>
      <c r="C583">
        <f>S!O13</f>
        <v>0</v>
      </c>
      <c r="D583">
        <f>S!P13</f>
        <v>0</v>
      </c>
      <c r="E583" s="45">
        <f>S!S13</f>
        <v>0</v>
      </c>
      <c r="F583" s="400">
        <f>S!V13</f>
        <v>0</v>
      </c>
      <c r="G583" s="408">
        <f>S!W13</f>
        <v>0</v>
      </c>
      <c r="H583" t="s">
        <v>846</v>
      </c>
    </row>
    <row r="584" spans="1:9" x14ac:dyDescent="0.2">
      <c r="A584" t="str">
        <f>IF(G584&gt;0,S!C14,"")</f>
        <v/>
      </c>
      <c r="B584" t="str">
        <f>S!E14</f>
        <v>VO Record</v>
      </c>
      <c r="C584">
        <f>S!O14</f>
        <v>0</v>
      </c>
      <c r="D584" t="str">
        <f>S!P14</f>
        <v>hours</v>
      </c>
      <c r="E584" s="45">
        <f>S!S14</f>
        <v>0</v>
      </c>
      <c r="F584" s="400">
        <f>S!V14</f>
        <v>0</v>
      </c>
      <c r="G584" s="408">
        <f>S!W14</f>
        <v>0</v>
      </c>
      <c r="H584" t="s">
        <v>846</v>
      </c>
    </row>
    <row r="585" spans="1:9" x14ac:dyDescent="0.2">
      <c r="A585" t="str">
        <f>IF(G585&gt;0,S!C15,"")</f>
        <v/>
      </c>
      <c r="B585" t="str">
        <f>S!E15</f>
        <v>ADR</v>
      </c>
      <c r="C585">
        <f>S!O15</f>
        <v>0</v>
      </c>
      <c r="D585" t="str">
        <f>S!P15</f>
        <v>hours</v>
      </c>
      <c r="E585" s="45">
        <f>S!S15</f>
        <v>0</v>
      </c>
      <c r="F585" s="400">
        <f>S!V15</f>
        <v>0</v>
      </c>
      <c r="G585" s="408">
        <f>S!W15</f>
        <v>0</v>
      </c>
      <c r="H585" t="s">
        <v>846</v>
      </c>
    </row>
    <row r="586" spans="1:9" x14ac:dyDescent="0.2">
      <c r="A586" t="str">
        <f>IF(G586&gt;0,S!C16,"")</f>
        <v/>
      </c>
      <c r="B586" t="str">
        <f>S!E16</f>
        <v>5.1 Mix</v>
      </c>
      <c r="C586">
        <f>S!O16</f>
        <v>0</v>
      </c>
      <c r="D586" t="str">
        <f>S!P16</f>
        <v>hours</v>
      </c>
      <c r="E586" s="45">
        <f>S!S16</f>
        <v>0</v>
      </c>
      <c r="F586" s="400">
        <f>S!V16</f>
        <v>0</v>
      </c>
      <c r="G586" s="408">
        <f>S!W16</f>
        <v>0</v>
      </c>
      <c r="H586" t="s">
        <v>846</v>
      </c>
    </row>
    <row r="587" spans="1:9" x14ac:dyDescent="0.2">
      <c r="A587" t="str">
        <f>IF(G587&gt;0,S!C17,"")</f>
        <v/>
      </c>
      <c r="B587" t="str">
        <f>S!E17</f>
        <v>Other Format Mixing</v>
      </c>
      <c r="C587">
        <f>S!O17</f>
        <v>0</v>
      </c>
      <c r="D587" t="str">
        <f>S!P17</f>
        <v>hours</v>
      </c>
      <c r="E587" s="45">
        <f>S!S17</f>
        <v>0</v>
      </c>
      <c r="F587" s="400">
        <f>S!V17</f>
        <v>0</v>
      </c>
      <c r="G587" s="408">
        <f>S!W17</f>
        <v>0</v>
      </c>
      <c r="H587" t="s">
        <v>846</v>
      </c>
    </row>
    <row r="588" spans="1:9" x14ac:dyDescent="0.2">
      <c r="A588" t="str">
        <f>IF(G588&gt;0,S!C18,"")</f>
        <v/>
      </c>
      <c r="B588" t="str">
        <f>S!E18</f>
        <v>Record and Mix </v>
      </c>
      <c r="C588">
        <f>S!O18</f>
        <v>0</v>
      </c>
      <c r="D588" t="str">
        <f>S!P18</f>
        <v>hours</v>
      </c>
      <c r="E588" s="45">
        <f>S!S18</f>
        <v>0</v>
      </c>
      <c r="F588" s="400">
        <f>S!V18</f>
        <v>0</v>
      </c>
      <c r="G588" s="408">
        <f>S!W18</f>
        <v>0</v>
      </c>
      <c r="H588" t="s">
        <v>846</v>
      </c>
    </row>
    <row r="589" spans="1:9" x14ac:dyDescent="0.2">
      <c r="A589" t="str">
        <f>IF(G589&gt;0,S!C19,"")</f>
        <v/>
      </c>
      <c r="B589" t="str">
        <f>S!E19</f>
        <v>Scratch Record</v>
      </c>
      <c r="C589">
        <f>S!O19</f>
        <v>0</v>
      </c>
      <c r="D589" t="str">
        <f>S!P19</f>
        <v>hours</v>
      </c>
      <c r="E589" s="45">
        <f>S!S19</f>
        <v>0</v>
      </c>
      <c r="F589" s="400">
        <f>S!V19</f>
        <v>0</v>
      </c>
      <c r="G589" s="408">
        <f>S!W19</f>
        <v>0</v>
      </c>
      <c r="H589" t="s">
        <v>846</v>
      </c>
    </row>
    <row r="590" spans="1:9" x14ac:dyDescent="0.2">
      <c r="A590" t="str">
        <f>IF(G590&gt;0,S!C20,"")</f>
        <v/>
      </c>
      <c r="B590" t="str">
        <f>S!E20</f>
        <v>Record and Mix  - Overtime</v>
      </c>
      <c r="C590">
        <f>S!O20</f>
        <v>0</v>
      </c>
      <c r="D590" t="str">
        <f>S!P20</f>
        <v>hours</v>
      </c>
      <c r="E590" s="45">
        <f>S!S20</f>
        <v>0</v>
      </c>
      <c r="F590" s="400">
        <f>S!V20</f>
        <v>0</v>
      </c>
      <c r="G590" s="408">
        <f>S!W20</f>
        <v>0</v>
      </c>
      <c r="H590" t="s">
        <v>846</v>
      </c>
    </row>
    <row r="591" spans="1:9" x14ac:dyDescent="0.2">
      <c r="A591" t="str">
        <f>IF(G591&gt;0,S!C21,"")</f>
        <v/>
      </c>
      <c r="B591">
        <f>S!E21</f>
        <v>0</v>
      </c>
      <c r="C591">
        <f>S!O21</f>
        <v>0</v>
      </c>
      <c r="D591">
        <f>S!P21</f>
        <v>0</v>
      </c>
      <c r="E591" s="45">
        <f>S!S21</f>
        <v>0</v>
      </c>
      <c r="F591" s="400">
        <f>S!V21</f>
        <v>0</v>
      </c>
      <c r="G591" s="408">
        <f>S!W21</f>
        <v>0</v>
      </c>
      <c r="H591" t="s">
        <v>846</v>
      </c>
    </row>
    <row r="592" spans="1:9" x14ac:dyDescent="0.2">
      <c r="A592" t="str">
        <f>IF(G592&gt;0,S!C22,"")</f>
        <v/>
      </c>
      <c r="B592">
        <f>S!E22</f>
        <v>0</v>
      </c>
      <c r="C592">
        <f>S!O22</f>
        <v>0</v>
      </c>
      <c r="D592">
        <f>S!P22</f>
        <v>0</v>
      </c>
      <c r="E592" s="45">
        <f>S!S22</f>
        <v>0</v>
      </c>
      <c r="F592" s="400">
        <f>S!V22</f>
        <v>0</v>
      </c>
      <c r="G592" s="408">
        <f>S!W22</f>
        <v>0</v>
      </c>
      <c r="H592" t="s">
        <v>846</v>
      </c>
    </row>
    <row r="593" spans="1:8" x14ac:dyDescent="0.2">
      <c r="A593" t="str">
        <f>IF(G593&gt;0,S!C23,"")</f>
        <v/>
      </c>
      <c r="B593" t="str">
        <f>S!E23</f>
        <v>Music Licensing (Stock/Original)</v>
      </c>
      <c r="C593">
        <f>S!O23</f>
        <v>0</v>
      </c>
      <c r="D593" t="str">
        <f>S!P23</f>
        <v>allow</v>
      </c>
      <c r="E593" s="45">
        <f>S!S23</f>
        <v>0</v>
      </c>
      <c r="F593" s="400">
        <f>S!V23</f>
        <v>0</v>
      </c>
      <c r="G593" s="408">
        <f>S!W23</f>
        <v>0</v>
      </c>
      <c r="H593" t="s">
        <v>846</v>
      </c>
    </row>
    <row r="594" spans="1:8" x14ac:dyDescent="0.2">
      <c r="A594" t="str">
        <f>IF(G594&gt;0,S!C24,"")</f>
        <v/>
      </c>
      <c r="B594" t="str">
        <f>S!E24</f>
        <v>Sound Effects </v>
      </c>
      <c r="C594">
        <f>S!O24</f>
        <v>0</v>
      </c>
      <c r="D594" t="str">
        <f>S!P24</f>
        <v>hours</v>
      </c>
      <c r="E594" s="45">
        <f>S!S24</f>
        <v>0</v>
      </c>
      <c r="F594" s="400">
        <f>S!V24</f>
        <v>0</v>
      </c>
      <c r="G594" s="408">
        <f>S!W24</f>
        <v>0</v>
      </c>
      <c r="H594" t="s">
        <v>846</v>
      </c>
    </row>
    <row r="595" spans="1:8" x14ac:dyDescent="0.2">
      <c r="A595" t="str">
        <f>IF(G595&gt;0,S!C25,"")</f>
        <v/>
      </c>
      <c r="B595" t="str">
        <f>S!E25</f>
        <v>Sound Design</v>
      </c>
      <c r="C595">
        <f>S!O25</f>
        <v>0</v>
      </c>
      <c r="D595" t="str">
        <f>S!P25</f>
        <v>allow</v>
      </c>
      <c r="E595" s="45">
        <f>S!S25</f>
        <v>0</v>
      </c>
      <c r="F595" s="400">
        <f>S!V25</f>
        <v>0</v>
      </c>
      <c r="G595" s="408">
        <f>S!W25</f>
        <v>0</v>
      </c>
      <c r="H595" t="s">
        <v>846</v>
      </c>
    </row>
    <row r="596" spans="1:8" x14ac:dyDescent="0.2">
      <c r="A596" t="str">
        <f>IF(G596&gt;0,S!C26,"")</f>
        <v/>
      </c>
      <c r="B596" t="str">
        <f>S!E26</f>
        <v>Digital Edit</v>
      </c>
      <c r="C596">
        <f>S!O26</f>
        <v>0</v>
      </c>
      <c r="D596" t="str">
        <f>S!P26</f>
        <v>hours</v>
      </c>
      <c r="E596" s="45">
        <f>S!S26</f>
        <v>0</v>
      </c>
      <c r="F596" s="400">
        <f>S!V26</f>
        <v>0</v>
      </c>
      <c r="G596" s="408">
        <f>S!W26</f>
        <v>0</v>
      </c>
      <c r="H596" t="s">
        <v>846</v>
      </c>
    </row>
    <row r="597" spans="1:8" x14ac:dyDescent="0.2">
      <c r="A597" t="str">
        <f>IF(G597&gt;0,S!C27,"")</f>
        <v/>
      </c>
      <c r="B597">
        <f>S!E27</f>
        <v>0</v>
      </c>
      <c r="C597">
        <f>S!O27</f>
        <v>0</v>
      </c>
      <c r="D597">
        <f>S!P27</f>
        <v>0</v>
      </c>
      <c r="E597" s="45">
        <f>S!S27</f>
        <v>0</v>
      </c>
      <c r="F597" s="400">
        <f>S!V27</f>
        <v>0</v>
      </c>
      <c r="G597" s="408">
        <f>S!W27</f>
        <v>0</v>
      </c>
      <c r="H597" t="s">
        <v>846</v>
      </c>
    </row>
    <row r="598" spans="1:8" x14ac:dyDescent="0.2">
      <c r="A598" t="str">
        <f>IF(G598&gt;0,S!C28,"")</f>
        <v/>
      </c>
      <c r="B598">
        <f>S!E28</f>
        <v>0</v>
      </c>
      <c r="C598">
        <f>S!O28</f>
        <v>0</v>
      </c>
      <c r="D598">
        <f>S!P28</f>
        <v>0</v>
      </c>
      <c r="E598" s="45">
        <f>S!S28</f>
        <v>0</v>
      </c>
      <c r="F598" s="400">
        <f>S!V28</f>
        <v>0</v>
      </c>
      <c r="G598" s="408">
        <f>S!W28</f>
        <v>0</v>
      </c>
      <c r="H598" t="s">
        <v>846</v>
      </c>
    </row>
    <row r="599" spans="1:8" x14ac:dyDescent="0.2">
      <c r="A599" t="str">
        <f>IF(G599&gt;0,S!C29,"")</f>
        <v/>
      </c>
      <c r="B599">
        <f>S!E29</f>
        <v>0</v>
      </c>
      <c r="C599">
        <f>S!O29</f>
        <v>0</v>
      </c>
      <c r="D599">
        <f>S!P29</f>
        <v>0</v>
      </c>
      <c r="E599" s="45">
        <f>S!S29</f>
        <v>0</v>
      </c>
      <c r="F599" s="400">
        <f>S!V29</f>
        <v>0</v>
      </c>
      <c r="G599" s="408">
        <f>S!W29</f>
        <v>0</v>
      </c>
      <c r="H599" t="s">
        <v>846</v>
      </c>
    </row>
    <row r="600" spans="1:8" x14ac:dyDescent="0.2">
      <c r="A600" t="str">
        <f>IF(G600&gt;0,S!C30,"")</f>
        <v/>
      </c>
      <c r="B600" t="str">
        <f>S!E30</f>
        <v>Remote Studio Costs</v>
      </c>
      <c r="C600">
        <f>S!O30</f>
        <v>0</v>
      </c>
      <c r="D600" t="str">
        <f>S!P30</f>
        <v>hours</v>
      </c>
      <c r="E600" s="45">
        <f>S!S30</f>
        <v>0</v>
      </c>
      <c r="F600" s="400">
        <f>S!V30</f>
        <v>0</v>
      </c>
      <c r="G600" s="408">
        <f>S!W30</f>
        <v>0</v>
      </c>
      <c r="H600" t="s">
        <v>846</v>
      </c>
    </row>
    <row r="601" spans="1:8" x14ac:dyDescent="0.2">
      <c r="A601" t="str">
        <f>IF(G601&gt;0,S!C31,"")</f>
        <v/>
      </c>
      <c r="B601" t="str">
        <f>S!E31</f>
        <v>Digital Patch: ISDN</v>
      </c>
      <c r="C601">
        <f>S!O31</f>
        <v>0</v>
      </c>
      <c r="D601" t="str">
        <f>S!P31</f>
        <v>hours</v>
      </c>
      <c r="E601" s="45">
        <f>S!S31</f>
        <v>0</v>
      </c>
      <c r="F601" s="400">
        <f>S!V31</f>
        <v>0</v>
      </c>
      <c r="G601" s="408">
        <f>S!W31</f>
        <v>0</v>
      </c>
      <c r="H601" t="s">
        <v>846</v>
      </c>
    </row>
    <row r="602" spans="1:8" x14ac:dyDescent="0.2">
      <c r="A602" t="str">
        <f>IF(G602&gt;0,S!C32,"")</f>
        <v/>
      </c>
      <c r="B602" t="str">
        <f>S!E32</f>
        <v>Digital Patch: ISDN INT'L</v>
      </c>
      <c r="C602">
        <f>S!O32</f>
        <v>0</v>
      </c>
      <c r="D602" t="str">
        <f>S!P32</f>
        <v>hours</v>
      </c>
      <c r="E602" s="45">
        <f>S!S32</f>
        <v>0</v>
      </c>
      <c r="F602" s="400">
        <f>S!V32</f>
        <v>0</v>
      </c>
      <c r="G602" s="408">
        <f>S!W32</f>
        <v>0</v>
      </c>
      <c r="H602" t="s">
        <v>846</v>
      </c>
    </row>
    <row r="603" spans="1:8" x14ac:dyDescent="0.2">
      <c r="A603" t="str">
        <f>IF(G603&gt;0,S!C33,"")</f>
        <v/>
      </c>
      <c r="B603" t="str">
        <f>S!E33</f>
        <v xml:space="preserve">Digital Patch: Source Connect </v>
      </c>
      <c r="C603">
        <f>S!O33</f>
        <v>0</v>
      </c>
      <c r="D603" t="str">
        <f>S!P33</f>
        <v>hours</v>
      </c>
      <c r="E603" s="45">
        <f>S!S33</f>
        <v>0</v>
      </c>
      <c r="F603" s="400">
        <f>S!V33</f>
        <v>0</v>
      </c>
      <c r="G603" s="408">
        <f>S!W33</f>
        <v>0</v>
      </c>
      <c r="H603" t="s">
        <v>846</v>
      </c>
    </row>
    <row r="604" spans="1:8" x14ac:dyDescent="0.2">
      <c r="A604" t="str">
        <f>IF(G604&gt;0,S!C34,"")</f>
        <v/>
      </c>
      <c r="B604" t="str">
        <f>S!E34</f>
        <v>Digital Patch: Skype / Phone</v>
      </c>
      <c r="C604">
        <f>S!O34</f>
        <v>0</v>
      </c>
      <c r="D604" t="str">
        <f>S!P34</f>
        <v>hours</v>
      </c>
      <c r="E604" s="45">
        <f>S!S34</f>
        <v>0</v>
      </c>
      <c r="F604" s="400">
        <f>S!V34</f>
        <v>0</v>
      </c>
      <c r="G604" s="408">
        <f>S!W34</f>
        <v>0</v>
      </c>
      <c r="H604" t="s">
        <v>846</v>
      </c>
    </row>
    <row r="605" spans="1:8" x14ac:dyDescent="0.2">
      <c r="A605" t="str">
        <f>IF(G605&gt;0,S!C35,"")</f>
        <v/>
      </c>
      <c r="B605" t="str">
        <f>S!E35</f>
        <v>Field Recording</v>
      </c>
      <c r="C605">
        <f>S!O35</f>
        <v>0</v>
      </c>
      <c r="D605" t="str">
        <f>S!P35</f>
        <v>days</v>
      </c>
      <c r="E605" s="45">
        <f>S!S35</f>
        <v>0</v>
      </c>
      <c r="F605" s="400">
        <f>S!V35</f>
        <v>0</v>
      </c>
      <c r="G605" s="408">
        <f>S!W35</f>
        <v>0</v>
      </c>
      <c r="H605" t="s">
        <v>846</v>
      </c>
    </row>
    <row r="606" spans="1:8" x14ac:dyDescent="0.2">
      <c r="A606" t="str">
        <f>IF(G606&gt;0,S!C36,"")</f>
        <v/>
      </c>
      <c r="B606">
        <f>S!E36</f>
        <v>0</v>
      </c>
      <c r="C606">
        <f>S!O36</f>
        <v>0</v>
      </c>
      <c r="D606">
        <f>S!P36</f>
        <v>0</v>
      </c>
      <c r="E606" s="45">
        <f>S!S36</f>
        <v>0</v>
      </c>
      <c r="F606" s="400">
        <f>S!V36</f>
        <v>0</v>
      </c>
      <c r="G606" s="408">
        <f>S!W36</f>
        <v>0</v>
      </c>
      <c r="H606" t="s">
        <v>846</v>
      </c>
    </row>
    <row r="607" spans="1:8" x14ac:dyDescent="0.2">
      <c r="A607" t="str">
        <f>IF(G607&gt;0,S!C37,"")</f>
        <v/>
      </c>
      <c r="B607">
        <f>S!E37</f>
        <v>0</v>
      </c>
      <c r="C607">
        <f>S!O37</f>
        <v>0</v>
      </c>
      <c r="D607">
        <f>S!P37</f>
        <v>0</v>
      </c>
      <c r="E607" s="45">
        <f>S!S37</f>
        <v>0</v>
      </c>
      <c r="F607" s="400">
        <f>S!V37</f>
        <v>0</v>
      </c>
      <c r="G607" s="408">
        <f>S!W37</f>
        <v>0</v>
      </c>
      <c r="H607" t="s">
        <v>846</v>
      </c>
    </row>
    <row r="608" spans="1:8" x14ac:dyDescent="0.2">
      <c r="A608" t="str">
        <f>IF(G608&gt;0,S!C38,"")</f>
        <v/>
      </c>
      <c r="B608">
        <f>S!E38</f>
        <v>0</v>
      </c>
      <c r="C608">
        <f>S!O38</f>
        <v>0</v>
      </c>
      <c r="D608">
        <f>S!P38</f>
        <v>0</v>
      </c>
      <c r="E608" s="45">
        <f>S!S38</f>
        <v>0</v>
      </c>
      <c r="F608" s="400">
        <f>S!V38</f>
        <v>0</v>
      </c>
      <c r="G608" s="408">
        <f>S!W38</f>
        <v>0</v>
      </c>
      <c r="H608" t="s">
        <v>846</v>
      </c>
    </row>
    <row r="609" spans="1:8" x14ac:dyDescent="0.2">
      <c r="A609" t="str">
        <f>IF(G609&gt;0,S!C39,"")</f>
        <v/>
      </c>
      <c r="B609" t="str">
        <f>S!E39</f>
        <v>Media</v>
      </c>
      <c r="C609">
        <f>S!O39</f>
        <v>0</v>
      </c>
      <c r="D609" t="str">
        <f>S!P39</f>
        <v>allow</v>
      </c>
      <c r="E609" s="45">
        <f>S!S39</f>
        <v>0</v>
      </c>
      <c r="F609" s="400">
        <f>S!V39</f>
        <v>0</v>
      </c>
      <c r="G609" s="408">
        <f>S!W39</f>
        <v>0</v>
      </c>
      <c r="H609" t="s">
        <v>846</v>
      </c>
    </row>
    <row r="610" spans="1:8" x14ac:dyDescent="0.2">
      <c r="A610" t="str">
        <f>IF(G610&gt;0,S!C40,"")</f>
        <v/>
      </c>
      <c r="B610" t="str">
        <f>S!E40</f>
        <v>Digital File Creation</v>
      </c>
      <c r="C610">
        <f>S!O40</f>
        <v>0</v>
      </c>
      <c r="D610" t="str">
        <f>S!P40</f>
        <v>allow</v>
      </c>
      <c r="E610" s="45">
        <f>S!S40</f>
        <v>0</v>
      </c>
      <c r="F610" s="400">
        <f>S!V40</f>
        <v>0</v>
      </c>
      <c r="G610" s="408">
        <f>S!W40</f>
        <v>0</v>
      </c>
      <c r="H610" t="s">
        <v>846</v>
      </c>
    </row>
    <row r="611" spans="1:8" x14ac:dyDescent="0.2">
      <c r="A611" t="str">
        <f>IF(G611&gt;0,S!C41,"")</f>
        <v/>
      </c>
      <c r="B611" t="str">
        <f>S!E41</f>
        <v>Uploads &amp; Machine Room</v>
      </c>
      <c r="C611">
        <f>S!O41</f>
        <v>0</v>
      </c>
      <c r="D611" t="str">
        <f>S!P41</f>
        <v>allow</v>
      </c>
      <c r="E611" s="45">
        <f>S!S41</f>
        <v>0</v>
      </c>
      <c r="F611" s="400">
        <f>S!V41</f>
        <v>0</v>
      </c>
      <c r="G611" s="408">
        <f>S!W41</f>
        <v>0</v>
      </c>
      <c r="H611" t="s">
        <v>846</v>
      </c>
    </row>
    <row r="612" spans="1:8" x14ac:dyDescent="0.2">
      <c r="A612" t="str">
        <f>IF(G612&gt;0,S!C42,"")</f>
        <v/>
      </c>
      <c r="B612" t="str">
        <f>S!E42</f>
        <v>Archive</v>
      </c>
      <c r="C612">
        <f>S!O42</f>
        <v>0</v>
      </c>
      <c r="D612" t="str">
        <f>S!P42</f>
        <v>allow</v>
      </c>
      <c r="E612" s="45">
        <f>S!S42</f>
        <v>0</v>
      </c>
      <c r="F612" s="400">
        <f>S!V42</f>
        <v>0</v>
      </c>
      <c r="G612" s="408">
        <f>S!W42</f>
        <v>0</v>
      </c>
      <c r="H612" t="s">
        <v>846</v>
      </c>
    </row>
    <row r="613" spans="1:8" x14ac:dyDescent="0.2">
      <c r="A613" t="str">
        <f>IF(G613&gt;0,S!C43,"")</f>
        <v/>
      </c>
      <c r="B613" t="str">
        <f>S!E43</f>
        <v>Audio Relay</v>
      </c>
      <c r="C613">
        <f>S!O43</f>
        <v>0</v>
      </c>
      <c r="D613" t="str">
        <f>S!P43</f>
        <v>each</v>
      </c>
      <c r="E613" s="45">
        <f>S!S43</f>
        <v>0</v>
      </c>
      <c r="F613" s="400">
        <f>S!V43</f>
        <v>0</v>
      </c>
      <c r="G613" s="408">
        <f>S!W43</f>
        <v>0</v>
      </c>
      <c r="H613" t="s">
        <v>846</v>
      </c>
    </row>
    <row r="614" spans="1:8" x14ac:dyDescent="0.2">
      <c r="A614" t="str">
        <f>IF(G614&gt;0,S!C44,"")</f>
        <v/>
      </c>
      <c r="B614" t="str">
        <f>S!E44</f>
        <v>Facility Overtime </v>
      </c>
      <c r="C614">
        <f>S!O44</f>
        <v>0</v>
      </c>
      <c r="D614" t="str">
        <f>S!P44</f>
        <v>hours</v>
      </c>
      <c r="E614" s="45">
        <f>S!S44</f>
        <v>0</v>
      </c>
      <c r="F614" s="400">
        <f>S!V44</f>
        <v>0</v>
      </c>
      <c r="G614" s="408">
        <f>S!W44</f>
        <v>0</v>
      </c>
      <c r="H614" t="s">
        <v>846</v>
      </c>
    </row>
    <row r="615" spans="1:8" x14ac:dyDescent="0.2">
      <c r="A615" t="str">
        <f>IF(G615&gt;0,S!C45,"")</f>
        <v/>
      </c>
      <c r="B615" t="str">
        <f>S!E45</f>
        <v>Weekend Key Fee</v>
      </c>
      <c r="C615">
        <f>S!O45</f>
        <v>0</v>
      </c>
      <c r="D615" t="str">
        <f>S!P45</f>
        <v>days</v>
      </c>
      <c r="E615" s="45">
        <f>S!S45</f>
        <v>0</v>
      </c>
      <c r="F615" s="400">
        <f>S!V45</f>
        <v>0</v>
      </c>
      <c r="G615" s="408">
        <f>S!W45</f>
        <v>0</v>
      </c>
      <c r="H615" t="s">
        <v>846</v>
      </c>
    </row>
    <row r="616" spans="1:8" x14ac:dyDescent="0.2">
      <c r="A616" t="str">
        <f>IF(G616&gt;0,S!C46,"")</f>
        <v/>
      </c>
      <c r="B616" t="str">
        <f>S!E46</f>
        <v>Transfer &amp; Stock</v>
      </c>
      <c r="C616">
        <f>S!O46</f>
        <v>0</v>
      </c>
      <c r="D616" t="str">
        <f>S!P46</f>
        <v>allow</v>
      </c>
      <c r="E616" s="45">
        <f>S!S46</f>
        <v>0</v>
      </c>
      <c r="F616" s="400">
        <f>S!V46</f>
        <v>0</v>
      </c>
      <c r="G616" s="408">
        <f>S!W46</f>
        <v>0</v>
      </c>
      <c r="H616" t="s">
        <v>846</v>
      </c>
    </row>
    <row r="617" spans="1:8" x14ac:dyDescent="0.2">
      <c r="A617" t="str">
        <f>IF(G617&gt;0,S!C47,"")</f>
        <v/>
      </c>
      <c r="B617">
        <f>S!E47</f>
        <v>0</v>
      </c>
      <c r="C617">
        <f>S!O47</f>
        <v>0</v>
      </c>
      <c r="D617">
        <f>S!P47</f>
        <v>0</v>
      </c>
      <c r="E617" s="45">
        <f>S!S47</f>
        <v>0</v>
      </c>
      <c r="F617" s="400">
        <f>S!V47</f>
        <v>0</v>
      </c>
      <c r="G617" s="408">
        <f>S!W47</f>
        <v>0</v>
      </c>
      <c r="H617" t="s">
        <v>846</v>
      </c>
    </row>
    <row r="618" spans="1:8" x14ac:dyDescent="0.2">
      <c r="A618" t="str">
        <f>IF(G618&gt;0,S!C48,"")</f>
        <v/>
      </c>
      <c r="B618" t="str">
        <f>S!E48</f>
        <v>Deliveries &amp; Messengers</v>
      </c>
      <c r="C618">
        <f>S!O48</f>
        <v>0</v>
      </c>
      <c r="D618" t="str">
        <f>S!P48</f>
        <v>allow</v>
      </c>
      <c r="E618" s="45">
        <f>S!S48</f>
        <v>0</v>
      </c>
      <c r="F618" s="400">
        <f>S!V48</f>
        <v>0</v>
      </c>
      <c r="G618" s="408">
        <f>S!W48</f>
        <v>0</v>
      </c>
      <c r="H618" t="s">
        <v>846</v>
      </c>
    </row>
    <row r="619" spans="1:8" x14ac:dyDescent="0.2">
      <c r="A619" t="str">
        <f>IF(G619&gt;0,S!C49,"")</f>
        <v/>
      </c>
      <c r="B619" t="str">
        <f>S!E49</f>
        <v>Shipping</v>
      </c>
      <c r="C619">
        <f>S!O49</f>
        <v>0</v>
      </c>
      <c r="D619" t="str">
        <f>S!P49</f>
        <v>allow</v>
      </c>
      <c r="E619" s="45">
        <f>S!S49</f>
        <v>0</v>
      </c>
      <c r="F619" s="400">
        <f>S!V49</f>
        <v>0</v>
      </c>
      <c r="G619" s="408">
        <f>S!W49</f>
        <v>0</v>
      </c>
      <c r="H619" t="s">
        <v>846</v>
      </c>
    </row>
    <row r="620" spans="1:8" x14ac:dyDescent="0.2">
      <c r="A620" t="str">
        <f>IF(G620&gt;0,S!C50,"")</f>
        <v/>
      </c>
      <c r="B620" t="str">
        <f>S!E50</f>
        <v>Inventory/Packing</v>
      </c>
      <c r="C620">
        <f>S!O50</f>
        <v>0</v>
      </c>
      <c r="D620" t="str">
        <f>S!P50</f>
        <v>allow</v>
      </c>
      <c r="E620" s="45">
        <f>S!S50</f>
        <v>0</v>
      </c>
      <c r="F620" s="400">
        <f>S!V50</f>
        <v>0</v>
      </c>
      <c r="G620" s="408">
        <f>S!W50</f>
        <v>0</v>
      </c>
      <c r="H620" t="s">
        <v>846</v>
      </c>
    </row>
    <row r="621" spans="1:8" x14ac:dyDescent="0.2">
      <c r="A621" t="str">
        <f>IF(G621&gt;0,S!C51,"")</f>
        <v/>
      </c>
      <c r="B621" t="str">
        <f>S!E51</f>
        <v>Shipping to Storage</v>
      </c>
      <c r="C621">
        <f>S!O51</f>
        <v>0</v>
      </c>
      <c r="D621" t="str">
        <f>S!P51</f>
        <v>allow</v>
      </c>
      <c r="E621" s="45">
        <f>S!S51</f>
        <v>0</v>
      </c>
      <c r="F621" s="400">
        <f>S!V51</f>
        <v>0</v>
      </c>
      <c r="G621" s="408">
        <f>S!W51</f>
        <v>0</v>
      </c>
      <c r="H621" t="s">
        <v>846</v>
      </c>
    </row>
    <row r="622" spans="1:8" x14ac:dyDescent="0.2">
      <c r="A622" t="str">
        <f>IF(G622&gt;0,S!C52,"")</f>
        <v/>
      </c>
      <c r="B622">
        <f>S!E52</f>
        <v>0</v>
      </c>
      <c r="C622">
        <f>S!O52</f>
        <v>0</v>
      </c>
      <c r="D622">
        <f>S!P52</f>
        <v>0</v>
      </c>
      <c r="E622" s="45">
        <f>S!S52</f>
        <v>0</v>
      </c>
      <c r="F622" s="400">
        <f>S!V52</f>
        <v>0</v>
      </c>
      <c r="G622" s="408">
        <f>S!W52</f>
        <v>0</v>
      </c>
      <c r="H622" t="s">
        <v>846</v>
      </c>
    </row>
    <row r="623" spans="1:8" x14ac:dyDescent="0.2">
      <c r="A623" t="str">
        <f>IF(G623&gt;0,S!C53,"")</f>
        <v/>
      </c>
      <c r="B623">
        <f>S!E53</f>
        <v>0</v>
      </c>
      <c r="C623">
        <f>S!O53</f>
        <v>0</v>
      </c>
      <c r="D623" t="str">
        <f>S!P53</f>
        <v>each</v>
      </c>
      <c r="E623" s="45">
        <f>S!S53</f>
        <v>0</v>
      </c>
      <c r="F623" s="400">
        <f>S!V53</f>
        <v>0</v>
      </c>
      <c r="G623" s="408">
        <f>S!W53</f>
        <v>0</v>
      </c>
      <c r="H623" t="s">
        <v>846</v>
      </c>
    </row>
    <row r="624" spans="1:8" x14ac:dyDescent="0.2">
      <c r="A624" t="str">
        <f>IF(G624&gt;0,S!C54,"")</f>
        <v/>
      </c>
      <c r="B624">
        <f>S!E54</f>
        <v>0</v>
      </c>
      <c r="C624">
        <f>S!O54</f>
        <v>0</v>
      </c>
      <c r="D624" t="str">
        <f>S!P54</f>
        <v>days</v>
      </c>
      <c r="E624" s="45">
        <f>S!S54</f>
        <v>0</v>
      </c>
      <c r="F624" s="400">
        <f>S!V54</f>
        <v>0</v>
      </c>
      <c r="G624" s="408">
        <f>S!W54</f>
        <v>0</v>
      </c>
      <c r="H624" t="s">
        <v>846</v>
      </c>
    </row>
    <row r="625" spans="1:8" x14ac:dyDescent="0.2">
      <c r="A625" t="str">
        <f>IF(G625&gt;0,S!C55,"")</f>
        <v/>
      </c>
      <c r="B625">
        <f>S!E55</f>
        <v>0</v>
      </c>
      <c r="C625">
        <f>S!O55</f>
        <v>0</v>
      </c>
      <c r="D625" t="str">
        <f>S!P55</f>
        <v>days</v>
      </c>
      <c r="E625" s="45">
        <f>S!S55</f>
        <v>0</v>
      </c>
      <c r="F625" s="400">
        <f>S!V55</f>
        <v>0</v>
      </c>
      <c r="G625" s="408">
        <f>S!W55</f>
        <v>0</v>
      </c>
      <c r="H625" t="s">
        <v>846</v>
      </c>
    </row>
    <row r="626" spans="1:8" x14ac:dyDescent="0.2">
      <c r="A626" t="str">
        <f>IF(G626&gt;0,S!C56,"")</f>
        <v/>
      </c>
      <c r="B626">
        <f>S!E56</f>
        <v>0</v>
      </c>
      <c r="C626">
        <f>S!O56</f>
        <v>0</v>
      </c>
      <c r="D626" t="str">
        <f>S!P56</f>
        <v>allow</v>
      </c>
      <c r="E626" s="45">
        <f>S!S56</f>
        <v>0</v>
      </c>
      <c r="F626" s="400">
        <f>S!V56</f>
        <v>0</v>
      </c>
      <c r="G626" s="408">
        <f>S!W56</f>
        <v>0</v>
      </c>
      <c r="H626" t="s">
        <v>846</v>
      </c>
    </row>
    <row r="627" spans="1:8" x14ac:dyDescent="0.2">
      <c r="A627" t="str">
        <f>IF(G627&gt;0,S!C57,"")</f>
        <v/>
      </c>
      <c r="B627">
        <f>S!E57</f>
        <v>0</v>
      </c>
      <c r="C627">
        <f>S!O57</f>
        <v>0</v>
      </c>
      <c r="D627" t="str">
        <f>S!P57</f>
        <v>allow</v>
      </c>
      <c r="E627" s="45">
        <f>S!S57</f>
        <v>0</v>
      </c>
      <c r="F627" s="400">
        <f>S!V57</f>
        <v>0</v>
      </c>
      <c r="G627" s="408">
        <f>S!W57</f>
        <v>0</v>
      </c>
      <c r="H627" t="s">
        <v>846</v>
      </c>
    </row>
    <row r="628" spans="1:8" x14ac:dyDescent="0.2">
      <c r="A628" t="str">
        <f>IF(G628&gt;0,S!C58,"")</f>
        <v/>
      </c>
      <c r="B628">
        <f>S!E58</f>
        <v>0</v>
      </c>
      <c r="C628">
        <f>S!O58</f>
        <v>0</v>
      </c>
      <c r="D628">
        <f>S!P58</f>
        <v>0</v>
      </c>
      <c r="E628" s="45">
        <f>S!S58</f>
        <v>0</v>
      </c>
      <c r="F628" s="400">
        <f>S!V58</f>
        <v>0</v>
      </c>
      <c r="G628" s="408">
        <f>S!W58</f>
        <v>0</v>
      </c>
      <c r="H628" t="s">
        <v>846</v>
      </c>
    </row>
    <row r="629" spans="1:8" x14ac:dyDescent="0.2">
      <c r="A629" t="str">
        <f>IF(G629&gt;0,S!C59,"")</f>
        <v/>
      </c>
      <c r="B629">
        <f>S!E59</f>
        <v>0</v>
      </c>
      <c r="C629">
        <f>S!O59</f>
        <v>0</v>
      </c>
      <c r="D629">
        <f>S!P59</f>
        <v>0</v>
      </c>
      <c r="E629" s="45">
        <f>S!S59</f>
        <v>0</v>
      </c>
      <c r="F629" s="400">
        <f>S!V59</f>
        <v>0</v>
      </c>
      <c r="G629" s="408">
        <f>S!W59</f>
        <v>0</v>
      </c>
      <c r="H629" t="s">
        <v>846</v>
      </c>
    </row>
    <row r="630" spans="1:8" x14ac:dyDescent="0.2">
      <c r="A630" t="str">
        <f>IF(G630&gt;0,S!C60,"")</f>
        <v/>
      </c>
      <c r="B630">
        <f>S!E60</f>
        <v>0</v>
      </c>
      <c r="C630">
        <f>S!O60</f>
        <v>0</v>
      </c>
      <c r="D630">
        <f>S!P60</f>
        <v>0</v>
      </c>
      <c r="E630" s="45">
        <f>S!S60</f>
        <v>0</v>
      </c>
      <c r="F630" s="400">
        <f>S!V60</f>
        <v>0</v>
      </c>
      <c r="G630" s="408">
        <f>S!W60</f>
        <v>0</v>
      </c>
      <c r="H630" t="s">
        <v>846</v>
      </c>
    </row>
    <row r="631" spans="1:8" x14ac:dyDescent="0.2">
      <c r="E631" s="45"/>
      <c r="F631" t="str">
        <f>S!O61</f>
        <v>Total S</v>
      </c>
      <c r="G631" s="408">
        <f>S!W61</f>
        <v>0</v>
      </c>
      <c r="H631" t="s">
        <v>846</v>
      </c>
    </row>
    <row r="632" spans="1:8" x14ac:dyDescent="0.2">
      <c r="E632" s="45"/>
      <c r="F632" s="400"/>
    </row>
    <row r="633" spans="1:8" x14ac:dyDescent="0.2">
      <c r="A633" t="s">
        <v>821</v>
      </c>
      <c r="B633" t="s">
        <v>822</v>
      </c>
      <c r="C633" t="s">
        <v>376</v>
      </c>
      <c r="D633" t="s">
        <v>823</v>
      </c>
      <c r="E633" t="s">
        <v>220</v>
      </c>
      <c r="F633" t="s">
        <v>400</v>
      </c>
      <c r="G633" s="408" t="s">
        <v>370</v>
      </c>
    </row>
    <row r="634" spans="1:8" x14ac:dyDescent="0.2">
      <c r="A634" t="str">
        <f>IF(G634&gt;0,T!C7,"")</f>
        <v/>
      </c>
      <c r="B634" t="str">
        <f>T!E7</f>
        <v>Color Grading Prep</v>
      </c>
      <c r="C634">
        <f>T!O7</f>
        <v>0</v>
      </c>
      <c r="D634" t="str">
        <f>T!P7</f>
        <v>hrs</v>
      </c>
      <c r="E634" s="45">
        <f>T!S7</f>
        <v>0</v>
      </c>
      <c r="F634" s="400">
        <f>T!V7</f>
        <v>0</v>
      </c>
      <c r="G634" s="408">
        <f>T!W7</f>
        <v>0</v>
      </c>
      <c r="H634" t="s">
        <v>847</v>
      </c>
    </row>
    <row r="635" spans="1:8" x14ac:dyDescent="0.2">
      <c r="A635" t="str">
        <f>IF(G635&gt;0,T!C8,"")</f>
        <v/>
      </c>
      <c r="B635" t="str">
        <f>T!E8</f>
        <v>Color Grading</v>
      </c>
      <c r="C635">
        <f>T!O8</f>
        <v>0</v>
      </c>
      <c r="D635" t="str">
        <f>T!P8</f>
        <v>hrs</v>
      </c>
      <c r="E635" s="45">
        <f>T!S8</f>
        <v>0</v>
      </c>
      <c r="F635" s="400">
        <f>T!V8</f>
        <v>0</v>
      </c>
      <c r="G635" s="408">
        <f>T!W8</f>
        <v>0</v>
      </c>
      <c r="H635" t="s">
        <v>847</v>
      </c>
    </row>
    <row r="636" spans="1:8" x14ac:dyDescent="0.2">
      <c r="A636" t="str">
        <f>IF(G636&gt;0,T!C9,"")</f>
        <v/>
      </c>
      <c r="B636" t="str">
        <f>T!E9</f>
        <v>Pre Load/Scanning</v>
      </c>
      <c r="C636">
        <f>T!O9</f>
        <v>0</v>
      </c>
      <c r="D636" t="str">
        <f>T!P9</f>
        <v>each</v>
      </c>
      <c r="E636" s="45">
        <f>T!S9</f>
        <v>0</v>
      </c>
      <c r="F636" s="400">
        <f>T!V9</f>
        <v>0</v>
      </c>
      <c r="G636" s="408">
        <f>T!W9</f>
        <v>0</v>
      </c>
      <c r="H636" t="s">
        <v>847</v>
      </c>
    </row>
    <row r="637" spans="1:8" x14ac:dyDescent="0.2">
      <c r="A637" t="str">
        <f>IF(G637&gt;0,T!C10,"")</f>
        <v/>
      </c>
      <c r="B637" t="str">
        <f>T!E10</f>
        <v>Data I/O</v>
      </c>
      <c r="C637">
        <f>T!O10</f>
        <v>0</v>
      </c>
      <c r="D637" t="str">
        <f>T!P10</f>
        <v>each</v>
      </c>
      <c r="E637" s="45">
        <f>T!S10</f>
        <v>0</v>
      </c>
      <c r="F637" s="400">
        <f>T!V10</f>
        <v>0</v>
      </c>
      <c r="G637" s="408">
        <f>T!W10</f>
        <v>0</v>
      </c>
      <c r="H637" t="s">
        <v>847</v>
      </c>
    </row>
    <row r="638" spans="1:8" x14ac:dyDescent="0.2">
      <c r="A638" t="str">
        <f>IF(G638&gt;0,T!C11,"")</f>
        <v/>
      </c>
      <c r="B638" t="str">
        <f>T!E11</f>
        <v>Transfers</v>
      </c>
      <c r="C638">
        <f>T!O11</f>
        <v>0</v>
      </c>
      <c r="D638" t="str">
        <f>T!P11</f>
        <v>each</v>
      </c>
      <c r="E638" s="45">
        <f>T!S11</f>
        <v>0</v>
      </c>
      <c r="F638" s="400">
        <f>T!V11</f>
        <v>0</v>
      </c>
      <c r="G638" s="408">
        <f>T!W11</f>
        <v>0</v>
      </c>
      <c r="H638" t="s">
        <v>847</v>
      </c>
    </row>
    <row r="639" spans="1:8" x14ac:dyDescent="0.2">
      <c r="A639" t="str">
        <f>IF(G639&gt;0,T!C12,"")</f>
        <v/>
      </c>
      <c r="B639" t="str">
        <f>T!E12</f>
        <v>Remote Set Up</v>
      </c>
      <c r="C639">
        <f>T!O12</f>
        <v>0</v>
      </c>
      <c r="D639" t="str">
        <f>T!P12</f>
        <v>each</v>
      </c>
      <c r="E639" s="45">
        <f>T!S12</f>
        <v>0</v>
      </c>
      <c r="F639" s="400">
        <f>T!V12</f>
        <v>0</v>
      </c>
      <c r="G639" s="408">
        <f>T!W12</f>
        <v>0</v>
      </c>
      <c r="H639" t="s">
        <v>847</v>
      </c>
    </row>
    <row r="640" spans="1:8" x14ac:dyDescent="0.2">
      <c r="A640" t="str">
        <f>IF(G640&gt;0,T!C13,"")</f>
        <v/>
      </c>
      <c r="B640" t="str">
        <f>T!E13</f>
        <v>Remote Room</v>
      </c>
      <c r="C640">
        <f>T!O13</f>
        <v>0</v>
      </c>
      <c r="D640" t="str">
        <f>T!P13</f>
        <v>each</v>
      </c>
      <c r="E640" s="45">
        <f>T!S13</f>
        <v>0</v>
      </c>
      <c r="F640" s="400">
        <f>T!V13</f>
        <v>0</v>
      </c>
      <c r="G640" s="408">
        <f>T!W13</f>
        <v>0</v>
      </c>
      <c r="H640" t="s">
        <v>847</v>
      </c>
    </row>
    <row r="641" spans="1:8" x14ac:dyDescent="0.2">
      <c r="A641" t="str">
        <f>IF(G641&gt;0,T!C14,"")</f>
        <v/>
      </c>
      <c r="B641" t="str">
        <f>T!E14</f>
        <v>Additional Machines</v>
      </c>
      <c r="C641">
        <f>T!O14</f>
        <v>0</v>
      </c>
      <c r="D641" t="str">
        <f>T!P14</f>
        <v>each</v>
      </c>
      <c r="E641" s="45">
        <f>T!S14</f>
        <v>0</v>
      </c>
      <c r="F641" s="400">
        <f>T!V14</f>
        <v>0</v>
      </c>
      <c r="G641" s="408">
        <f>T!W14</f>
        <v>0</v>
      </c>
      <c r="H641" t="s">
        <v>847</v>
      </c>
    </row>
    <row r="642" spans="1:8" x14ac:dyDescent="0.2">
      <c r="A642" t="str">
        <f>IF(G642&gt;0,T!C15,"")</f>
        <v/>
      </c>
      <c r="B642">
        <f>T!E15</f>
        <v>0</v>
      </c>
      <c r="C642">
        <f>T!O15</f>
        <v>0</v>
      </c>
      <c r="D642" t="str">
        <f>T!P15</f>
        <v>each</v>
      </c>
      <c r="E642" s="45">
        <f>T!S15</f>
        <v>0</v>
      </c>
      <c r="F642" s="400">
        <f>T!V15</f>
        <v>0</v>
      </c>
      <c r="G642" s="408">
        <f>T!W15</f>
        <v>0</v>
      </c>
      <c r="H642" t="s">
        <v>847</v>
      </c>
    </row>
    <row r="643" spans="1:8" x14ac:dyDescent="0.2">
      <c r="A643" t="str">
        <f>IF(G643&gt;0,T!C16,"")</f>
        <v/>
      </c>
      <c r="B643" t="str">
        <f>T!E16</f>
        <v>Final Conform</v>
      </c>
      <c r="C643">
        <f>T!O16</f>
        <v>0</v>
      </c>
      <c r="D643" t="str">
        <f>T!P16</f>
        <v>hrs</v>
      </c>
      <c r="E643" s="45">
        <f>T!S16</f>
        <v>0</v>
      </c>
      <c r="F643" s="400">
        <f>T!V16</f>
        <v>0</v>
      </c>
      <c r="G643" s="408">
        <f>T!W16</f>
        <v>0</v>
      </c>
      <c r="H643" t="s">
        <v>847</v>
      </c>
    </row>
    <row r="644" spans="1:8" x14ac:dyDescent="0.2">
      <c r="A644" t="str">
        <f>IF(G644&gt;0,T!C17,"")</f>
        <v/>
      </c>
      <c r="B644" t="str">
        <f>T!E17</f>
        <v>Compositing / VFX</v>
      </c>
      <c r="C644">
        <f>T!O17</f>
        <v>0</v>
      </c>
      <c r="D644" t="str">
        <f>T!P17</f>
        <v>each</v>
      </c>
      <c r="E644" s="45">
        <f>T!S17</f>
        <v>0</v>
      </c>
      <c r="F644" s="400">
        <f>T!V17</f>
        <v>0</v>
      </c>
      <c r="G644" s="408">
        <f>T!W17</f>
        <v>0</v>
      </c>
      <c r="H644" t="s">
        <v>847</v>
      </c>
    </row>
    <row r="645" spans="1:8" x14ac:dyDescent="0.2">
      <c r="A645" t="str">
        <f>IF(G645&gt;0,T!C18,"")</f>
        <v/>
      </c>
      <c r="B645" t="str">
        <f>T!E18</f>
        <v>Flame Assistant - Roto</v>
      </c>
      <c r="C645">
        <f>T!O18</f>
        <v>0</v>
      </c>
      <c r="D645" t="str">
        <f>T!P18</f>
        <v>each</v>
      </c>
      <c r="E645" s="45">
        <f>T!S18</f>
        <v>0</v>
      </c>
      <c r="F645" s="400">
        <f>T!V18</f>
        <v>0</v>
      </c>
      <c r="G645" s="408">
        <f>T!W18</f>
        <v>0</v>
      </c>
      <c r="H645" t="s">
        <v>847</v>
      </c>
    </row>
    <row r="646" spans="1:8" x14ac:dyDescent="0.2">
      <c r="A646" t="str">
        <f>IF(G646&gt;0,T!C19,"")</f>
        <v/>
      </c>
      <c r="B646" t="str">
        <f>T!E19</f>
        <v>2D GFX / Design</v>
      </c>
      <c r="C646">
        <f>T!O19</f>
        <v>0</v>
      </c>
      <c r="D646" t="str">
        <f>T!P19</f>
        <v>each</v>
      </c>
      <c r="E646" s="45">
        <f>T!S19</f>
        <v>0</v>
      </c>
      <c r="F646" s="400">
        <f>T!V19</f>
        <v>0</v>
      </c>
      <c r="G646" s="408">
        <f>T!W19</f>
        <v>0</v>
      </c>
      <c r="H646" t="s">
        <v>847</v>
      </c>
    </row>
    <row r="647" spans="1:8" x14ac:dyDescent="0.2">
      <c r="A647" t="str">
        <f>IF(G647&gt;0,T!C20,"")</f>
        <v/>
      </c>
      <c r="B647" t="str">
        <f>T!E20</f>
        <v>Motion Graphics</v>
      </c>
      <c r="C647">
        <f>T!O20</f>
        <v>0</v>
      </c>
      <c r="D647" t="str">
        <f>T!P20</f>
        <v>hrs</v>
      </c>
      <c r="E647" s="45">
        <f>T!S20</f>
        <v>0</v>
      </c>
      <c r="F647" s="400">
        <f>T!V20</f>
        <v>0</v>
      </c>
      <c r="G647" s="408">
        <f>T!W20</f>
        <v>0</v>
      </c>
      <c r="H647" t="s">
        <v>847</v>
      </c>
    </row>
    <row r="648" spans="1:8" x14ac:dyDescent="0.2">
      <c r="A648" t="str">
        <f>IF(G648&gt;0,T!C21,"")</f>
        <v/>
      </c>
      <c r="B648" t="str">
        <f>T!E21</f>
        <v>Color Correction</v>
      </c>
      <c r="C648">
        <f>T!O21</f>
        <v>0</v>
      </c>
      <c r="D648" t="str">
        <f>T!P21</f>
        <v>hrs</v>
      </c>
      <c r="E648" s="45">
        <f>T!S21</f>
        <v>0</v>
      </c>
      <c r="F648" s="400">
        <f>T!V21</f>
        <v>0</v>
      </c>
      <c r="G648" s="408">
        <f>T!W21</f>
        <v>0</v>
      </c>
      <c r="H648" t="s">
        <v>847</v>
      </c>
    </row>
    <row r="649" spans="1:8" x14ac:dyDescent="0.2">
      <c r="A649" t="str">
        <f>IF(G649&gt;0,T!C22,"")</f>
        <v/>
      </c>
      <c r="B649" t="str">
        <f>T!E22</f>
        <v>3D Animation</v>
      </c>
      <c r="C649">
        <f>T!O22</f>
        <v>0</v>
      </c>
      <c r="D649" t="str">
        <f>T!P22</f>
        <v>each</v>
      </c>
      <c r="E649" s="45">
        <f>T!S22</f>
        <v>0</v>
      </c>
      <c r="F649" s="400">
        <f>T!V22</f>
        <v>0</v>
      </c>
      <c r="G649" s="408">
        <f>T!W22</f>
        <v>0</v>
      </c>
      <c r="H649" t="s">
        <v>847</v>
      </c>
    </row>
    <row r="650" spans="1:8" x14ac:dyDescent="0.2">
      <c r="A650" t="str">
        <f>IF(G650&gt;0,T!C23,"")</f>
        <v/>
      </c>
      <c r="B650" t="str">
        <f>T!E23</f>
        <v>3D Modeling</v>
      </c>
      <c r="C650">
        <f>T!O23</f>
        <v>0</v>
      </c>
      <c r="D650" t="str">
        <f>T!P23</f>
        <v>each</v>
      </c>
      <c r="E650" s="45">
        <f>T!S23</f>
        <v>0</v>
      </c>
      <c r="F650" s="400">
        <f>T!V23</f>
        <v>0</v>
      </c>
      <c r="G650" s="408">
        <f>T!W23</f>
        <v>0</v>
      </c>
      <c r="H650" t="s">
        <v>847</v>
      </c>
    </row>
    <row r="651" spans="1:8" x14ac:dyDescent="0.2">
      <c r="A651" t="str">
        <f>IF(G651&gt;0,T!C24,"")</f>
        <v/>
      </c>
      <c r="B651">
        <f>T!E24</f>
        <v>0</v>
      </c>
      <c r="C651">
        <f>T!O24</f>
        <v>0</v>
      </c>
      <c r="D651" t="str">
        <f>T!P24</f>
        <v>each</v>
      </c>
      <c r="E651" s="45">
        <f>T!S24</f>
        <v>0</v>
      </c>
      <c r="F651" s="400">
        <f>T!V24</f>
        <v>0</v>
      </c>
      <c r="G651" s="408">
        <f>T!W24</f>
        <v>0</v>
      </c>
      <c r="H651" t="s">
        <v>847</v>
      </c>
    </row>
    <row r="652" spans="1:8" x14ac:dyDescent="0.2">
      <c r="A652" t="str">
        <f>IF(G652&gt;0,T!C25,"")</f>
        <v/>
      </c>
      <c r="B652" t="str">
        <f>T!E25</f>
        <v>Archiving</v>
      </c>
      <c r="C652">
        <f>T!O25</f>
        <v>0</v>
      </c>
      <c r="D652" t="str">
        <f>T!P25</f>
        <v>each</v>
      </c>
      <c r="E652" s="45">
        <f>T!S25</f>
        <v>0</v>
      </c>
      <c r="F652" s="400">
        <f>T!V25</f>
        <v>0</v>
      </c>
      <c r="G652" s="408">
        <f>T!W25</f>
        <v>0</v>
      </c>
      <c r="H652" t="s">
        <v>847</v>
      </c>
    </row>
    <row r="653" spans="1:8" x14ac:dyDescent="0.2">
      <c r="A653" t="str">
        <f>IF(G653&gt;0,T!C26,"")</f>
        <v/>
      </c>
      <c r="B653" t="str">
        <f>T!E26</f>
        <v>Uncompressed Files</v>
      </c>
      <c r="C653">
        <f>T!O26</f>
        <v>0</v>
      </c>
      <c r="D653" t="str">
        <f>T!P26</f>
        <v>each</v>
      </c>
      <c r="E653" s="45">
        <f>T!S26</f>
        <v>0</v>
      </c>
      <c r="F653" s="400">
        <f>T!V26</f>
        <v>0</v>
      </c>
      <c r="G653" s="408">
        <f>T!W26</f>
        <v>0</v>
      </c>
      <c r="H653" t="s">
        <v>847</v>
      </c>
    </row>
    <row r="654" spans="1:8" x14ac:dyDescent="0.2">
      <c r="A654" t="str">
        <f>IF(G654&gt;0,T!C27,"")</f>
        <v/>
      </c>
      <c r="B654" t="str">
        <f>T!E27</f>
        <v>Retouching</v>
      </c>
      <c r="C654">
        <f>T!O27</f>
        <v>0</v>
      </c>
      <c r="D654" t="str">
        <f>T!P27</f>
        <v>each</v>
      </c>
      <c r="E654" s="45">
        <f>T!S27</f>
        <v>0</v>
      </c>
      <c r="F654" s="400">
        <f>T!V27</f>
        <v>0</v>
      </c>
      <c r="G654" s="408">
        <f>T!W27</f>
        <v>0</v>
      </c>
      <c r="H654" t="s">
        <v>847</v>
      </c>
    </row>
    <row r="655" spans="1:8" x14ac:dyDescent="0.2">
      <c r="A655" t="str">
        <f>IF(G655&gt;0,T!C28,"")</f>
        <v/>
      </c>
      <c r="B655" t="str">
        <f>T!E28</f>
        <v>Standards Conversions</v>
      </c>
      <c r="C655">
        <f>T!O28</f>
        <v>0</v>
      </c>
      <c r="D655" t="str">
        <f>T!P28</f>
        <v>each</v>
      </c>
      <c r="E655" s="45">
        <f>T!S28</f>
        <v>0</v>
      </c>
      <c r="F655" s="400">
        <f>T!V28</f>
        <v>0</v>
      </c>
      <c r="G655" s="408">
        <f>T!W28</f>
        <v>0</v>
      </c>
      <c r="H655" t="s">
        <v>847</v>
      </c>
    </row>
    <row r="656" spans="1:8" x14ac:dyDescent="0.2">
      <c r="A656" t="str">
        <f>IF(G656&gt;0,T!C29,"")</f>
        <v/>
      </c>
      <c r="B656">
        <f>T!E29</f>
        <v>0</v>
      </c>
      <c r="C656">
        <f>T!O29</f>
        <v>0</v>
      </c>
      <c r="D656" t="str">
        <f>T!P29</f>
        <v>each</v>
      </c>
      <c r="E656" s="45">
        <f>T!S29</f>
        <v>0</v>
      </c>
      <c r="F656" s="400">
        <f>T!V29</f>
        <v>0</v>
      </c>
      <c r="G656" s="408">
        <f>T!W29</f>
        <v>0</v>
      </c>
      <c r="H656" t="s">
        <v>847</v>
      </c>
    </row>
    <row r="657" spans="1:8" x14ac:dyDescent="0.2">
      <c r="A657" t="str">
        <f>IF(G657&gt;0,T!C30,"")</f>
        <v/>
      </c>
      <c r="B657">
        <f>T!E30</f>
        <v>0</v>
      </c>
      <c r="C657">
        <f>T!O30</f>
        <v>0</v>
      </c>
      <c r="D657" t="str">
        <f>T!P30</f>
        <v>each</v>
      </c>
      <c r="E657" s="45">
        <f>T!S30</f>
        <v>0</v>
      </c>
      <c r="F657" s="400">
        <f>T!V30</f>
        <v>0</v>
      </c>
      <c r="G657" s="408">
        <f>T!W30</f>
        <v>0</v>
      </c>
      <c r="H657" t="s">
        <v>847</v>
      </c>
    </row>
    <row r="658" spans="1:8" x14ac:dyDescent="0.2">
      <c r="A658" t="str">
        <f>IF(G658&gt;0,T!C31,"")</f>
        <v/>
      </c>
      <c r="B658">
        <f>T!E31</f>
        <v>0</v>
      </c>
      <c r="C658">
        <f>T!O31</f>
        <v>0</v>
      </c>
      <c r="D658" t="str">
        <f>T!P31</f>
        <v>each</v>
      </c>
      <c r="E658" s="45">
        <f>T!S31</f>
        <v>0</v>
      </c>
      <c r="F658" s="400">
        <f>T!V31</f>
        <v>0</v>
      </c>
      <c r="G658" s="408">
        <f>T!W31</f>
        <v>0</v>
      </c>
      <c r="H658" t="s">
        <v>847</v>
      </c>
    </row>
    <row r="659" spans="1:8" x14ac:dyDescent="0.2">
      <c r="A659" t="str">
        <f>IF(G659&gt;0,T!C32,"")</f>
        <v/>
      </c>
      <c r="B659">
        <f>T!E32</f>
        <v>0</v>
      </c>
      <c r="C659">
        <f>T!O32</f>
        <v>0</v>
      </c>
      <c r="D659" t="str">
        <f>T!P32</f>
        <v>each</v>
      </c>
      <c r="E659" s="45">
        <f>T!S32</f>
        <v>0</v>
      </c>
      <c r="F659" s="400">
        <f>T!V32</f>
        <v>0</v>
      </c>
      <c r="G659" s="408">
        <f>T!W32</f>
        <v>0</v>
      </c>
      <c r="H659" t="s">
        <v>847</v>
      </c>
    </row>
    <row r="660" spans="1:8" x14ac:dyDescent="0.2">
      <c r="A660" t="str">
        <f>IF(G660&gt;0,T!C33,"")</f>
        <v/>
      </c>
      <c r="B660">
        <f>T!E33</f>
        <v>0</v>
      </c>
      <c r="C660">
        <f>T!O33</f>
        <v>0</v>
      </c>
      <c r="D660" t="str">
        <f>T!P33</f>
        <v>each</v>
      </c>
      <c r="E660" s="45">
        <f>T!S33</f>
        <v>0</v>
      </c>
      <c r="F660" s="400">
        <f>T!V33</f>
        <v>0</v>
      </c>
      <c r="G660" s="408">
        <f>T!W33</f>
        <v>0</v>
      </c>
      <c r="H660" t="s">
        <v>847</v>
      </c>
    </row>
    <row r="661" spans="1:8" x14ac:dyDescent="0.2">
      <c r="A661" t="str">
        <f>IF(G661&gt;0,T!C34,"")</f>
        <v/>
      </c>
      <c r="B661" t="str">
        <f>T!E34</f>
        <v>Additional Machines</v>
      </c>
      <c r="C661">
        <f>T!O34</f>
        <v>0</v>
      </c>
      <c r="D661" t="str">
        <f>T!P34</f>
        <v>each</v>
      </c>
      <c r="E661" s="45">
        <f>T!S34</f>
        <v>0</v>
      </c>
      <c r="F661" s="400">
        <f>T!V34</f>
        <v>0</v>
      </c>
      <c r="G661" s="408">
        <f>T!W34</f>
        <v>0</v>
      </c>
      <c r="H661" t="s">
        <v>847</v>
      </c>
    </row>
    <row r="662" spans="1:8" x14ac:dyDescent="0.2">
      <c r="A662" t="str">
        <f>IF(G662&gt;0,T!C35,"")</f>
        <v/>
      </c>
      <c r="B662" t="str">
        <f>T!E35</f>
        <v>Drives / Media</v>
      </c>
      <c r="C662">
        <f>T!O35</f>
        <v>0</v>
      </c>
      <c r="D662" t="str">
        <f>T!P35</f>
        <v>each</v>
      </c>
      <c r="E662" s="45">
        <f>T!S35</f>
        <v>0</v>
      </c>
      <c r="F662" s="400">
        <f>T!V35</f>
        <v>0</v>
      </c>
      <c r="G662" s="408">
        <f>T!W35</f>
        <v>0</v>
      </c>
      <c r="H662" t="s">
        <v>847</v>
      </c>
    </row>
    <row r="663" spans="1:8" x14ac:dyDescent="0.2">
      <c r="A663" t="str">
        <f>IF(G663&gt;0,T!C36,"")</f>
        <v/>
      </c>
      <c r="B663" t="str">
        <f>T!E36</f>
        <v>Generic Master</v>
      </c>
      <c r="C663">
        <f>T!O36</f>
        <v>0</v>
      </c>
      <c r="D663" t="str">
        <f>T!P36</f>
        <v>each</v>
      </c>
      <c r="E663" s="45">
        <f>T!S36</f>
        <v>0</v>
      </c>
      <c r="F663" s="400">
        <f>T!V36</f>
        <v>0</v>
      </c>
      <c r="G663" s="408">
        <f>T!W36</f>
        <v>0</v>
      </c>
      <c r="H663" t="s">
        <v>847</v>
      </c>
    </row>
    <row r="664" spans="1:8" x14ac:dyDescent="0.2">
      <c r="A664" t="str">
        <f>IF(G664&gt;0,T!C37,"")</f>
        <v/>
      </c>
      <c r="B664" t="str">
        <f>T!E37</f>
        <v>Master</v>
      </c>
      <c r="C664">
        <f>T!O37</f>
        <v>0</v>
      </c>
      <c r="D664" t="str">
        <f>T!P37</f>
        <v>each</v>
      </c>
      <c r="E664" s="45">
        <f>T!S37</f>
        <v>0</v>
      </c>
      <c r="F664" s="400">
        <f>T!V37</f>
        <v>0</v>
      </c>
      <c r="G664" s="408">
        <f>T!W37</f>
        <v>0</v>
      </c>
      <c r="H664" t="s">
        <v>847</v>
      </c>
    </row>
    <row r="665" spans="1:8" x14ac:dyDescent="0.2">
      <c r="A665" t="str">
        <f>IF(G665&gt;0,T!C38,"")</f>
        <v/>
      </c>
      <c r="B665" t="str">
        <f>T!E38</f>
        <v>Deliverables</v>
      </c>
      <c r="C665">
        <f>T!O38</f>
        <v>0</v>
      </c>
      <c r="D665" t="str">
        <f>T!P38</f>
        <v>each</v>
      </c>
      <c r="E665" s="45">
        <f>T!S38</f>
        <v>0</v>
      </c>
      <c r="F665" s="400">
        <f>T!V38</f>
        <v>0</v>
      </c>
      <c r="G665" s="408">
        <f>T!W38</f>
        <v>0</v>
      </c>
      <c r="H665" t="s">
        <v>847</v>
      </c>
    </row>
    <row r="666" spans="1:8" x14ac:dyDescent="0.2">
      <c r="A666" t="str">
        <f>IF(G666&gt;0,T!C39,"")</f>
        <v/>
      </c>
      <c r="B666" t="str">
        <f>T!E39</f>
        <v>Additional Outputs</v>
      </c>
      <c r="C666">
        <f>T!O39</f>
        <v>0</v>
      </c>
      <c r="D666" t="str">
        <f>T!P39</f>
        <v>each</v>
      </c>
      <c r="E666" s="45">
        <f>T!S39</f>
        <v>0</v>
      </c>
      <c r="F666" s="400">
        <f>T!V39</f>
        <v>0</v>
      </c>
      <c r="G666" s="408">
        <f>T!W39</f>
        <v>0</v>
      </c>
      <c r="H666" t="s">
        <v>847</v>
      </c>
    </row>
    <row r="667" spans="1:8" x14ac:dyDescent="0.2">
      <c r="A667" t="str">
        <f>IF(G667&gt;0,T!C40,"")</f>
        <v/>
      </c>
      <c r="B667" t="str">
        <f>T!E40</f>
        <v>Archiving Storage Device</v>
      </c>
      <c r="C667">
        <f>T!O40</f>
        <v>0</v>
      </c>
      <c r="D667" t="str">
        <f>T!P40</f>
        <v>each</v>
      </c>
      <c r="E667" s="45">
        <f>T!S40</f>
        <v>0</v>
      </c>
      <c r="F667" s="400">
        <f>T!V40</f>
        <v>0</v>
      </c>
      <c r="G667" s="408">
        <f>T!W40</f>
        <v>0</v>
      </c>
      <c r="H667" t="s">
        <v>847</v>
      </c>
    </row>
    <row r="668" spans="1:8" x14ac:dyDescent="0.2">
      <c r="A668" t="str">
        <f>IF(G668&gt;0,T!C41,"")</f>
        <v/>
      </c>
      <c r="B668" t="str">
        <f>T!E41</f>
        <v>Compressed File Dubs</v>
      </c>
      <c r="C668">
        <f>T!O41</f>
        <v>0</v>
      </c>
      <c r="D668" t="str">
        <f>T!P41</f>
        <v>each</v>
      </c>
      <c r="E668" s="45">
        <f>T!S41</f>
        <v>0</v>
      </c>
      <c r="F668" s="400">
        <f>T!V41</f>
        <v>0</v>
      </c>
      <c r="G668" s="408">
        <f>T!W41</f>
        <v>0</v>
      </c>
      <c r="H668" t="s">
        <v>847</v>
      </c>
    </row>
    <row r="669" spans="1:8" x14ac:dyDescent="0.2">
      <c r="A669" t="str">
        <f>IF(G669&gt;0,T!C42,"")</f>
        <v/>
      </c>
      <c r="B669" t="str">
        <f>T!E42</f>
        <v>Postings</v>
      </c>
      <c r="C669">
        <f>T!O42</f>
        <v>0</v>
      </c>
      <c r="D669" t="str">
        <f>T!P42</f>
        <v>each</v>
      </c>
      <c r="E669" s="45">
        <f>T!S42</f>
        <v>0</v>
      </c>
      <c r="F669" s="400">
        <f>T!V42</f>
        <v>0</v>
      </c>
      <c r="G669" s="408">
        <f>T!W42</f>
        <v>0</v>
      </c>
      <c r="H669" t="s">
        <v>847</v>
      </c>
    </row>
    <row r="670" spans="1:8" x14ac:dyDescent="0.2">
      <c r="A670" t="str">
        <f>IF(G670&gt;0,T!C43,"")</f>
        <v/>
      </c>
      <c r="B670" t="str">
        <f>T!E43</f>
        <v>Deliveries &amp; Messengers</v>
      </c>
      <c r="C670">
        <f>T!O43</f>
        <v>0</v>
      </c>
      <c r="D670" t="str">
        <f>T!P43</f>
        <v>days</v>
      </c>
      <c r="E670" s="45">
        <f>T!S43</f>
        <v>0</v>
      </c>
      <c r="F670" s="400">
        <f>T!V43</f>
        <v>0</v>
      </c>
      <c r="G670" s="408">
        <f>T!W43</f>
        <v>0</v>
      </c>
      <c r="H670" t="s">
        <v>847</v>
      </c>
    </row>
    <row r="671" spans="1:8" x14ac:dyDescent="0.2">
      <c r="A671" t="str">
        <f>IF(G671&gt;0,T!C44,"")</f>
        <v/>
      </c>
      <c r="B671" t="str">
        <f>T!E44</f>
        <v>Shipping</v>
      </c>
      <c r="C671">
        <f>T!O44</f>
        <v>0</v>
      </c>
      <c r="D671" t="str">
        <f>T!P44</f>
        <v>days</v>
      </c>
      <c r="E671" s="45">
        <f>T!S44</f>
        <v>0</v>
      </c>
      <c r="F671" s="400">
        <f>T!V44</f>
        <v>0</v>
      </c>
      <c r="G671" s="408">
        <f>T!W44</f>
        <v>0</v>
      </c>
      <c r="H671" t="s">
        <v>847</v>
      </c>
    </row>
    <row r="672" spans="1:8" x14ac:dyDescent="0.2">
      <c r="A672" t="str">
        <f>IF(G672&gt;0,T!C45,"")</f>
        <v/>
      </c>
      <c r="B672" t="str">
        <f>T!E45</f>
        <v>Inventory/Packing</v>
      </c>
      <c r="C672">
        <f>T!O45</f>
        <v>0</v>
      </c>
      <c r="D672" t="str">
        <f>T!P45</f>
        <v>days</v>
      </c>
      <c r="E672" s="45">
        <f>T!S45</f>
        <v>0</v>
      </c>
      <c r="F672" s="400">
        <f>T!V45</f>
        <v>0</v>
      </c>
      <c r="G672" s="408">
        <f>T!W45</f>
        <v>0</v>
      </c>
      <c r="H672" t="s">
        <v>847</v>
      </c>
    </row>
    <row r="673" spans="1:8" x14ac:dyDescent="0.2">
      <c r="A673" t="str">
        <f>IF(G673&gt;0,T!C46,"")</f>
        <v/>
      </c>
      <c r="B673" t="str">
        <f>T!E46</f>
        <v>Shipping to Storage</v>
      </c>
      <c r="C673">
        <f>T!O46</f>
        <v>0</v>
      </c>
      <c r="D673" t="str">
        <f>T!P46</f>
        <v>days</v>
      </c>
      <c r="E673" s="45">
        <f>T!S46</f>
        <v>0</v>
      </c>
      <c r="F673" s="400">
        <f>T!V46</f>
        <v>0</v>
      </c>
      <c r="G673" s="408">
        <f>T!W46</f>
        <v>0</v>
      </c>
      <c r="H673" t="s">
        <v>847</v>
      </c>
    </row>
    <row r="674" spans="1:8" x14ac:dyDescent="0.2">
      <c r="A674" t="str">
        <f>IF(G674&gt;0,T!C47,"")</f>
        <v/>
      </c>
      <c r="B674">
        <f>T!E47</f>
        <v>0</v>
      </c>
      <c r="C674">
        <f>T!O47</f>
        <v>0</v>
      </c>
      <c r="D674" t="str">
        <f>T!P47</f>
        <v>days</v>
      </c>
      <c r="E674" s="45">
        <f>T!S47</f>
        <v>0</v>
      </c>
      <c r="F674" s="400">
        <f>T!V47</f>
        <v>0</v>
      </c>
      <c r="G674" s="408">
        <f>T!W47</f>
        <v>0</v>
      </c>
      <c r="H674" t="s">
        <v>847</v>
      </c>
    </row>
    <row r="675" spans="1:8" x14ac:dyDescent="0.2">
      <c r="A675" t="str">
        <f>IF(G675&gt;0,T!C48,"")</f>
        <v/>
      </c>
      <c r="B675">
        <f>T!E48</f>
        <v>0</v>
      </c>
      <c r="C675">
        <f>T!O48</f>
        <v>0</v>
      </c>
      <c r="D675" t="str">
        <f>T!P48</f>
        <v>days</v>
      </c>
      <c r="E675" s="45">
        <f>T!S48</f>
        <v>0</v>
      </c>
      <c r="F675" s="400">
        <f>T!V48</f>
        <v>0</v>
      </c>
      <c r="G675" s="408">
        <f>T!W48</f>
        <v>0</v>
      </c>
      <c r="H675" t="s">
        <v>847</v>
      </c>
    </row>
    <row r="676" spans="1:8" x14ac:dyDescent="0.2">
      <c r="A676" t="str">
        <f>IF(G676&gt;0,T!C49,"")</f>
        <v/>
      </c>
      <c r="B676">
        <f>T!E49</f>
        <v>0</v>
      </c>
      <c r="C676">
        <f>T!O49</f>
        <v>0</v>
      </c>
      <c r="D676" t="str">
        <f>T!P49</f>
        <v>days</v>
      </c>
      <c r="E676" s="45">
        <f>T!S49</f>
        <v>0</v>
      </c>
      <c r="F676" s="400">
        <f>T!V49</f>
        <v>0</v>
      </c>
      <c r="G676" s="408">
        <f>T!W49</f>
        <v>0</v>
      </c>
      <c r="H676" t="s">
        <v>847</v>
      </c>
    </row>
    <row r="677" spans="1:8" x14ac:dyDescent="0.2">
      <c r="A677" t="str">
        <f>IF(G677&gt;0,T!C50,"")</f>
        <v/>
      </c>
      <c r="B677">
        <f>T!E50</f>
        <v>0</v>
      </c>
      <c r="C677">
        <f>T!O50</f>
        <v>0</v>
      </c>
      <c r="D677" t="str">
        <f>T!P50</f>
        <v>days</v>
      </c>
      <c r="E677" s="45">
        <f>T!S50</f>
        <v>0</v>
      </c>
      <c r="F677" s="400">
        <f>T!V50</f>
        <v>0</v>
      </c>
      <c r="G677" s="408">
        <f>T!W50</f>
        <v>0</v>
      </c>
      <c r="H677" t="s">
        <v>847</v>
      </c>
    </row>
    <row r="678" spans="1:8" x14ac:dyDescent="0.2">
      <c r="A678" t="str">
        <f>IF(G678&gt;0,T!C51,"")</f>
        <v/>
      </c>
      <c r="B678">
        <f>T!E51</f>
        <v>0</v>
      </c>
      <c r="C678">
        <f>T!O51</f>
        <v>0</v>
      </c>
      <c r="D678" t="str">
        <f>T!P51</f>
        <v>days</v>
      </c>
      <c r="E678" s="45">
        <f>T!S51</f>
        <v>0</v>
      </c>
      <c r="F678" s="400">
        <f>T!V51</f>
        <v>0</v>
      </c>
      <c r="G678" s="408">
        <f>T!W51</f>
        <v>0</v>
      </c>
      <c r="H678" t="s">
        <v>847</v>
      </c>
    </row>
    <row r="679" spans="1:8" x14ac:dyDescent="0.2">
      <c r="A679" t="str">
        <f>IF(G679&gt;0,T!C52,"")</f>
        <v/>
      </c>
      <c r="B679">
        <f>T!E52</f>
        <v>0</v>
      </c>
      <c r="C679">
        <f>T!O52</f>
        <v>0</v>
      </c>
      <c r="D679" t="str">
        <f>T!P52</f>
        <v>flights</v>
      </c>
      <c r="E679" s="45">
        <f>T!S52</f>
        <v>0</v>
      </c>
      <c r="F679" s="400">
        <f>T!V52</f>
        <v>0</v>
      </c>
      <c r="G679" s="408">
        <f>T!W52</f>
        <v>0</v>
      </c>
      <c r="H679" t="s">
        <v>847</v>
      </c>
    </row>
    <row r="680" spans="1:8" x14ac:dyDescent="0.2">
      <c r="A680" t="str">
        <f>IF(G680&gt;0,T!C53,"")</f>
        <v/>
      </c>
      <c r="B680">
        <f>T!E53</f>
        <v>0</v>
      </c>
      <c r="C680">
        <f>T!O53</f>
        <v>0</v>
      </c>
      <c r="D680" t="str">
        <f>T!P53</f>
        <v>days</v>
      </c>
      <c r="E680" s="45">
        <f>T!S53</f>
        <v>0</v>
      </c>
      <c r="F680" s="400">
        <f>T!V53</f>
        <v>0</v>
      </c>
      <c r="G680" s="408">
        <f>T!W53</f>
        <v>0</v>
      </c>
      <c r="H680" t="s">
        <v>847</v>
      </c>
    </row>
    <row r="681" spans="1:8" x14ac:dyDescent="0.2">
      <c r="A681" t="str">
        <f>IF(G681&gt;0,T!C54,"")</f>
        <v/>
      </c>
      <c r="B681">
        <f>T!E54</f>
        <v>0</v>
      </c>
      <c r="C681">
        <f>T!O54</f>
        <v>0</v>
      </c>
      <c r="D681">
        <f>T!P54</f>
        <v>0</v>
      </c>
      <c r="E681" s="45">
        <f>T!S54</f>
        <v>0</v>
      </c>
      <c r="F681" s="400">
        <f>T!V54</f>
        <v>0</v>
      </c>
      <c r="G681" s="408">
        <f>T!W54</f>
        <v>0</v>
      </c>
      <c r="H681" t="s">
        <v>847</v>
      </c>
    </row>
    <row r="682" spans="1:8" x14ac:dyDescent="0.2">
      <c r="A682" t="str">
        <f>IF(G682&gt;0,T!C55,"")</f>
        <v/>
      </c>
      <c r="B682">
        <f>T!E55</f>
        <v>0</v>
      </c>
      <c r="C682">
        <f>T!O55</f>
        <v>0</v>
      </c>
      <c r="D682" t="str">
        <f>T!P55</f>
        <v>days</v>
      </c>
      <c r="E682" s="45">
        <f>T!S55</f>
        <v>0</v>
      </c>
      <c r="F682" s="400">
        <f>T!V55</f>
        <v>0</v>
      </c>
      <c r="G682" s="408">
        <f>T!W55</f>
        <v>0</v>
      </c>
      <c r="H682" t="s">
        <v>847</v>
      </c>
    </row>
    <row r="683" spans="1:8" x14ac:dyDescent="0.2">
      <c r="A683" t="str">
        <f>IF(G683&gt;0,T!C56,"")</f>
        <v/>
      </c>
      <c r="B683">
        <f>T!E56</f>
        <v>0</v>
      </c>
      <c r="C683">
        <f>T!O56</f>
        <v>0</v>
      </c>
      <c r="D683">
        <f>T!P56</f>
        <v>0</v>
      </c>
      <c r="E683" s="45">
        <f>T!S56</f>
        <v>0</v>
      </c>
      <c r="F683" s="400">
        <f>T!V56</f>
        <v>0</v>
      </c>
      <c r="G683" s="408">
        <f>T!W56</f>
        <v>0</v>
      </c>
      <c r="H683" t="s">
        <v>847</v>
      </c>
    </row>
    <row r="684" spans="1:8" x14ac:dyDescent="0.2">
      <c r="A684" t="str">
        <f>IF(G684&gt;0,T!C57,"")</f>
        <v/>
      </c>
      <c r="B684">
        <f>T!E57</f>
        <v>0</v>
      </c>
      <c r="C684">
        <f>T!O57</f>
        <v>0</v>
      </c>
      <c r="D684" t="str">
        <f>T!P57</f>
        <v>days</v>
      </c>
      <c r="E684" s="45">
        <f>T!S57</f>
        <v>0</v>
      </c>
      <c r="F684" s="400">
        <f>T!V57</f>
        <v>0</v>
      </c>
      <c r="G684" s="408">
        <f>T!W57</f>
        <v>0</v>
      </c>
      <c r="H684" t="s">
        <v>847</v>
      </c>
    </row>
    <row r="685" spans="1:8" x14ac:dyDescent="0.2">
      <c r="A685" t="str">
        <f>IF(G685&gt;0,T!C58,"")</f>
        <v/>
      </c>
      <c r="B685">
        <f>T!E58</f>
        <v>0</v>
      </c>
      <c r="C685">
        <f>T!O58</f>
        <v>0</v>
      </c>
      <c r="D685" t="str">
        <f>T!P58</f>
        <v>days</v>
      </c>
      <c r="E685" s="45">
        <f>T!S58</f>
        <v>0</v>
      </c>
      <c r="F685" s="400">
        <f>T!V58</f>
        <v>0</v>
      </c>
      <c r="G685" s="408">
        <f>T!W58</f>
        <v>0</v>
      </c>
      <c r="H685" t="s">
        <v>847</v>
      </c>
    </row>
    <row r="686" spans="1:8" x14ac:dyDescent="0.2">
      <c r="A686" t="str">
        <f>IF(G686&gt;0,T!C59,"")</f>
        <v/>
      </c>
      <c r="B686">
        <f>T!E59</f>
        <v>0</v>
      </c>
      <c r="C686">
        <f>T!O59</f>
        <v>0</v>
      </c>
      <c r="D686">
        <f>T!P59</f>
        <v>0</v>
      </c>
      <c r="E686" s="45">
        <f>T!S59</f>
        <v>0</v>
      </c>
      <c r="F686" s="400">
        <f>T!V59</f>
        <v>0</v>
      </c>
      <c r="G686" s="408">
        <f>T!W59</f>
        <v>0</v>
      </c>
      <c r="H686" t="s">
        <v>847</v>
      </c>
    </row>
    <row r="687" spans="1:8" x14ac:dyDescent="0.2">
      <c r="A687" t="str">
        <f>IF(G687&gt;0,T!C60,"")</f>
        <v/>
      </c>
      <c r="B687">
        <f>T!E60</f>
        <v>0</v>
      </c>
      <c r="C687">
        <f>T!O60</f>
        <v>0</v>
      </c>
      <c r="D687" t="str">
        <f>T!P60</f>
        <v>days</v>
      </c>
      <c r="E687" s="45">
        <f>T!S60</f>
        <v>0</v>
      </c>
      <c r="F687" s="400">
        <f>T!V60</f>
        <v>0</v>
      </c>
      <c r="G687" s="408">
        <f>T!W60</f>
        <v>0</v>
      </c>
      <c r="H687" t="s">
        <v>847</v>
      </c>
    </row>
    <row r="688" spans="1:8" x14ac:dyDescent="0.2">
      <c r="E688" s="45"/>
      <c r="F688" t="str">
        <f>T!O61</f>
        <v>Total T</v>
      </c>
      <c r="G688" s="408">
        <f>T!W61</f>
        <v>0</v>
      </c>
      <c r="H688" t="s">
        <v>847</v>
      </c>
    </row>
    <row r="689" spans="1:8" x14ac:dyDescent="0.2">
      <c r="E689" s="45"/>
      <c r="F689" s="400"/>
    </row>
    <row r="690" spans="1:8" x14ac:dyDescent="0.2">
      <c r="A690" t="s">
        <v>821</v>
      </c>
      <c r="B690" t="s">
        <v>822</v>
      </c>
      <c r="C690" t="s">
        <v>376</v>
      </c>
      <c r="D690" t="s">
        <v>823</v>
      </c>
      <c r="E690" t="s">
        <v>220</v>
      </c>
      <c r="F690" t="s">
        <v>400</v>
      </c>
      <c r="G690" s="408" t="s">
        <v>370</v>
      </c>
    </row>
    <row r="691" spans="1:8" x14ac:dyDescent="0.2">
      <c r="A691" t="str">
        <f>IF(G691&gt;0,VW!C7,"")</f>
        <v/>
      </c>
      <c r="B691" t="str">
        <f>VW!E7</f>
        <v>Storage Devices</v>
      </c>
      <c r="C691">
        <f>VW!O7</f>
        <v>0</v>
      </c>
      <c r="D691" t="str">
        <f>VW!P7</f>
        <v>each</v>
      </c>
      <c r="E691" s="45">
        <f>VW!S7</f>
        <v>0</v>
      </c>
      <c r="F691" s="400">
        <f>VW!V7</f>
        <v>0</v>
      </c>
      <c r="G691" s="408">
        <f>VW!W7</f>
        <v>0</v>
      </c>
      <c r="H691" t="s">
        <v>848</v>
      </c>
    </row>
    <row r="692" spans="1:8" x14ac:dyDescent="0.2">
      <c r="A692" t="str">
        <f>IF(G692&gt;0,VW!C8,"")</f>
        <v/>
      </c>
      <c r="B692" t="str">
        <f>VW!E8</f>
        <v>Archiving/LTO</v>
      </c>
      <c r="C692">
        <f>VW!O8</f>
        <v>0</v>
      </c>
      <c r="D692" t="str">
        <f>VW!P8</f>
        <v>allow</v>
      </c>
      <c r="E692" s="45">
        <f>VW!S8</f>
        <v>0</v>
      </c>
      <c r="F692" s="400">
        <f>VW!V8</f>
        <v>0</v>
      </c>
      <c r="G692" s="408">
        <f>VW!W8</f>
        <v>0</v>
      </c>
      <c r="H692" t="s">
        <v>848</v>
      </c>
    </row>
    <row r="693" spans="1:8" x14ac:dyDescent="0.2">
      <c r="A693" t="str">
        <f>IF(G693&gt;0,VW!C9,"")</f>
        <v/>
      </c>
      <c r="B693" t="str">
        <f>VW!E9</f>
        <v>Archive Storage Devices</v>
      </c>
      <c r="C693">
        <f>VW!O9</f>
        <v>0</v>
      </c>
      <c r="D693" t="str">
        <f>VW!P9</f>
        <v>each</v>
      </c>
      <c r="E693" s="45">
        <f>VW!S9</f>
        <v>0</v>
      </c>
      <c r="F693" s="400">
        <f>VW!V9</f>
        <v>0</v>
      </c>
      <c r="G693" s="408">
        <f>VW!W9</f>
        <v>0</v>
      </c>
      <c r="H693" t="s">
        <v>848</v>
      </c>
    </row>
    <row r="694" spans="1:8" x14ac:dyDescent="0.2">
      <c r="A694" t="str">
        <f>IF(G694&gt;0,VW!C10,"")</f>
        <v/>
      </c>
      <c r="B694" t="str">
        <f>VW!E10</f>
        <v>Tape-to-Film Transfer</v>
      </c>
      <c r="C694">
        <f>VW!O10</f>
        <v>0</v>
      </c>
      <c r="D694" t="str">
        <f>VW!P10</f>
        <v>hours</v>
      </c>
      <c r="E694" s="45">
        <f>VW!S10</f>
        <v>0</v>
      </c>
      <c r="F694" s="400">
        <f>VW!V10</f>
        <v>0</v>
      </c>
      <c r="G694" s="408">
        <f>VW!W10</f>
        <v>0</v>
      </c>
      <c r="H694" t="s">
        <v>848</v>
      </c>
    </row>
    <row r="695" spans="1:8" x14ac:dyDescent="0.2">
      <c r="A695" t="str">
        <f>IF(G695&gt;0,VW!C11,"")</f>
        <v/>
      </c>
      <c r="B695" t="str">
        <f>VW!E11</f>
        <v>Standards Conversion</v>
      </c>
      <c r="C695">
        <f>VW!O11</f>
        <v>0</v>
      </c>
      <c r="D695" t="str">
        <f>VW!P11</f>
        <v>hours</v>
      </c>
      <c r="E695" s="45">
        <f>VW!S11</f>
        <v>0</v>
      </c>
      <c r="F695" s="400">
        <f>VW!V11</f>
        <v>0</v>
      </c>
      <c r="G695" s="408">
        <f>VW!W11</f>
        <v>0</v>
      </c>
      <c r="H695" t="s">
        <v>848</v>
      </c>
    </row>
    <row r="696" spans="1:8" x14ac:dyDescent="0.2">
      <c r="A696" t="str">
        <f>IF(G696&gt;0,VW!C12,"")</f>
        <v/>
      </c>
      <c r="B696" t="str">
        <f>VW!E12</f>
        <v>Stock Footage</v>
      </c>
      <c r="C696">
        <f>VW!O12</f>
        <v>0</v>
      </c>
      <c r="D696" t="str">
        <f>VW!P12</f>
        <v>allow</v>
      </c>
      <c r="E696" s="45">
        <f>VW!S12</f>
        <v>0</v>
      </c>
      <c r="F696" s="400">
        <f>VW!V12</f>
        <v>0</v>
      </c>
      <c r="G696" s="408">
        <f>VW!W12</f>
        <v>0</v>
      </c>
      <c r="H696" t="s">
        <v>848</v>
      </c>
    </row>
    <row r="697" spans="1:8" x14ac:dyDescent="0.2">
      <c r="A697" t="str">
        <f>IF(G697&gt;0,VW!C13,"")</f>
        <v/>
      </c>
      <c r="B697" t="str">
        <f>VW!E13</f>
        <v>Satellite/Digital Transmission</v>
      </c>
      <c r="C697">
        <f>VW!O13</f>
        <v>0</v>
      </c>
      <c r="D697" t="str">
        <f>VW!P13</f>
        <v>hours</v>
      </c>
      <c r="E697" s="45">
        <f>VW!S13</f>
        <v>0</v>
      </c>
      <c r="F697" s="400">
        <f>VW!V13</f>
        <v>0</v>
      </c>
      <c r="G697" s="408">
        <f>VW!W13</f>
        <v>0</v>
      </c>
      <c r="H697" t="s">
        <v>848</v>
      </c>
    </row>
    <row r="698" spans="1:8" x14ac:dyDescent="0.2">
      <c r="A698" t="str">
        <f>IF(G698&gt;0,VW!C14,"")</f>
        <v/>
      </c>
      <c r="B698" t="str">
        <f>VW!E14</f>
        <v>Data Transmission Charge</v>
      </c>
      <c r="C698">
        <f>VW!O14</f>
        <v>0</v>
      </c>
      <c r="D698" t="str">
        <f>VW!P14</f>
        <v>flat</v>
      </c>
      <c r="E698" s="45">
        <f>VW!S14</f>
        <v>0</v>
      </c>
      <c r="F698" s="400">
        <f>VW!V14</f>
        <v>0</v>
      </c>
      <c r="G698" s="408">
        <f>VW!W14</f>
        <v>0</v>
      </c>
      <c r="H698" t="s">
        <v>848</v>
      </c>
    </row>
    <row r="699" spans="1:8" x14ac:dyDescent="0.2">
      <c r="A699" t="str">
        <f>IF(G699&gt;0,VW!C15,"")</f>
        <v/>
      </c>
      <c r="B699">
        <f>VW!E15</f>
        <v>0</v>
      </c>
      <c r="C699">
        <f>VW!O15</f>
        <v>0</v>
      </c>
      <c r="D699">
        <f>VW!P15</f>
        <v>0</v>
      </c>
      <c r="E699" s="45">
        <f>VW!S15</f>
        <v>0</v>
      </c>
      <c r="F699" s="400">
        <f>VW!V15</f>
        <v>0</v>
      </c>
      <c r="G699" s="408">
        <f>VW!W15</f>
        <v>0</v>
      </c>
      <c r="H699" t="s">
        <v>848</v>
      </c>
    </row>
    <row r="700" spans="1:8" x14ac:dyDescent="0.2">
      <c r="A700" t="str">
        <f>IF(G700&gt;0,VW!C16,"")</f>
        <v/>
      </c>
      <c r="B700" t="str">
        <f>VW!E16</f>
        <v>Deliveries &amp; Messengers</v>
      </c>
      <c r="C700">
        <f>VW!O16</f>
        <v>0</v>
      </c>
      <c r="D700" t="str">
        <f>VW!P16</f>
        <v>allow</v>
      </c>
      <c r="E700" s="45">
        <f>VW!S16</f>
        <v>0</v>
      </c>
      <c r="F700" s="400">
        <f>VW!V16</f>
        <v>0</v>
      </c>
      <c r="G700" s="408">
        <f>VW!W16</f>
        <v>0</v>
      </c>
      <c r="H700" t="s">
        <v>848</v>
      </c>
    </row>
    <row r="701" spans="1:8" x14ac:dyDescent="0.2">
      <c r="A701" t="str">
        <f>IF(G701&gt;0,VW!C17,"")</f>
        <v/>
      </c>
      <c r="B701" t="str">
        <f>VW!E17</f>
        <v>Shipping</v>
      </c>
      <c r="C701">
        <f>VW!O17</f>
        <v>0</v>
      </c>
      <c r="D701" t="str">
        <f>VW!P17</f>
        <v>allow</v>
      </c>
      <c r="E701" s="45">
        <f>VW!S17</f>
        <v>0</v>
      </c>
      <c r="F701" s="400">
        <f>VW!V17</f>
        <v>0</v>
      </c>
      <c r="G701" s="408">
        <f>VW!W17</f>
        <v>0</v>
      </c>
      <c r="H701" t="s">
        <v>848</v>
      </c>
    </row>
    <row r="702" spans="1:8" x14ac:dyDescent="0.2">
      <c r="A702" t="str">
        <f>IF(G702&gt;0,VW!C18,"")</f>
        <v/>
      </c>
      <c r="B702" t="str">
        <f>VW!E18</f>
        <v>Inventory/Packing</v>
      </c>
      <c r="C702">
        <f>VW!O18</f>
        <v>0</v>
      </c>
      <c r="D702" t="str">
        <f>VW!P18</f>
        <v>allow</v>
      </c>
      <c r="E702" s="45">
        <f>VW!S18</f>
        <v>0</v>
      </c>
      <c r="F702" s="400">
        <f>VW!V18</f>
        <v>0</v>
      </c>
      <c r="G702" s="408">
        <f>VW!W18</f>
        <v>0</v>
      </c>
      <c r="H702" t="s">
        <v>848</v>
      </c>
    </row>
    <row r="703" spans="1:8" x14ac:dyDescent="0.2">
      <c r="A703" t="str">
        <f>IF(G703&gt;0,VW!C19,"")</f>
        <v/>
      </c>
      <c r="B703" t="str">
        <f>VW!E19</f>
        <v>Shipping to Storage</v>
      </c>
      <c r="C703">
        <f>VW!O19</f>
        <v>0</v>
      </c>
      <c r="D703" t="str">
        <f>VW!P19</f>
        <v>allow</v>
      </c>
      <c r="E703" s="45">
        <f>VW!S19</f>
        <v>0</v>
      </c>
      <c r="F703" s="400">
        <f>VW!V19</f>
        <v>0</v>
      </c>
      <c r="G703" s="408">
        <f>VW!W19</f>
        <v>0</v>
      </c>
      <c r="H703" t="s">
        <v>848</v>
      </c>
    </row>
    <row r="704" spans="1:8" x14ac:dyDescent="0.2">
      <c r="A704" t="str">
        <f>IF(G704&gt;0,VW!C20,"")</f>
        <v/>
      </c>
      <c r="B704" t="str">
        <f>VW!E20</f>
        <v>Additional Machines</v>
      </c>
      <c r="C704">
        <f>VW!O20</f>
        <v>0</v>
      </c>
      <c r="D704" t="str">
        <f>VW!P20</f>
        <v>allow</v>
      </c>
      <c r="E704" s="45">
        <f>VW!S20</f>
        <v>0</v>
      </c>
      <c r="F704" s="400">
        <f>VW!V20</f>
        <v>0</v>
      </c>
      <c r="G704" s="408">
        <f>VW!W20</f>
        <v>0</v>
      </c>
      <c r="H704" t="s">
        <v>848</v>
      </c>
    </row>
    <row r="705" spans="1:8" x14ac:dyDescent="0.2">
      <c r="A705" t="str">
        <f>IF(G705&gt;0,VW!C21,"")</f>
        <v/>
      </c>
      <c r="B705">
        <f>VW!E21</f>
        <v>0</v>
      </c>
      <c r="C705">
        <f>VW!O21</f>
        <v>0</v>
      </c>
      <c r="D705">
        <f>VW!P21</f>
        <v>0</v>
      </c>
      <c r="E705" s="45">
        <f>VW!S21</f>
        <v>0</v>
      </c>
      <c r="F705" s="400">
        <f>VW!V21</f>
        <v>0</v>
      </c>
      <c r="G705" s="408">
        <f>VW!W21</f>
        <v>0</v>
      </c>
      <c r="H705" t="s">
        <v>848</v>
      </c>
    </row>
    <row r="706" spans="1:8" x14ac:dyDescent="0.2">
      <c r="A706" t="str">
        <f>IF(G706&gt;0,VW!C22,"")</f>
        <v/>
      </c>
      <c r="B706">
        <f>VW!E22</f>
        <v>0</v>
      </c>
      <c r="C706">
        <f>VW!O22</f>
        <v>0</v>
      </c>
      <c r="D706">
        <f>VW!P22</f>
        <v>0</v>
      </c>
      <c r="E706" s="45">
        <f>VW!S22</f>
        <v>0</v>
      </c>
      <c r="F706" s="400">
        <f>VW!V22</f>
        <v>0</v>
      </c>
      <c r="G706" s="408">
        <f>VW!W22</f>
        <v>0</v>
      </c>
      <c r="H706" t="s">
        <v>848</v>
      </c>
    </row>
    <row r="707" spans="1:8" x14ac:dyDescent="0.2">
      <c r="A707" t="str">
        <f>IF(G707&gt;0,VW!C23,"")</f>
        <v/>
      </c>
      <c r="B707">
        <f>VW!E23</f>
        <v>0</v>
      </c>
      <c r="C707">
        <f>VW!O23</f>
        <v>0</v>
      </c>
      <c r="D707">
        <f>VW!P23</f>
        <v>0</v>
      </c>
      <c r="E707" s="45">
        <f>VW!S23</f>
        <v>0</v>
      </c>
      <c r="F707" s="400">
        <f>VW!V23</f>
        <v>0</v>
      </c>
      <c r="G707" s="408">
        <f>VW!W23</f>
        <v>0</v>
      </c>
      <c r="H707" t="s">
        <v>848</v>
      </c>
    </row>
    <row r="708" spans="1:8" x14ac:dyDescent="0.2">
      <c r="A708" t="str">
        <f>IF(G708&gt;0,VW!C24,"")</f>
        <v/>
      </c>
      <c r="B708">
        <f>VW!E24</f>
        <v>0</v>
      </c>
      <c r="C708">
        <f>VW!O24</f>
        <v>0</v>
      </c>
      <c r="D708">
        <f>VW!P24</f>
        <v>0</v>
      </c>
      <c r="E708" s="45">
        <f>VW!S24</f>
        <v>0</v>
      </c>
      <c r="F708" s="400">
        <f>VW!V24</f>
        <v>0</v>
      </c>
      <c r="G708" s="408">
        <f>VW!W24</f>
        <v>0</v>
      </c>
      <c r="H708" t="s">
        <v>848</v>
      </c>
    </row>
    <row r="709" spans="1:8" x14ac:dyDescent="0.2">
      <c r="A709" t="str">
        <f>IF(G709&gt;0,VW!C25,"")</f>
        <v/>
      </c>
      <c r="B709" t="str">
        <f>VW!E25</f>
        <v>Airfare</v>
      </c>
      <c r="C709">
        <f>VW!O25</f>
        <v>0</v>
      </c>
      <c r="D709" t="str">
        <f>VW!P25</f>
        <v>each</v>
      </c>
      <c r="E709" s="45">
        <f>VW!S25</f>
        <v>0</v>
      </c>
      <c r="F709" s="400">
        <f>VW!V25</f>
        <v>0</v>
      </c>
      <c r="G709" s="408">
        <f>VW!W25</f>
        <v>0</v>
      </c>
      <c r="H709" t="s">
        <v>848</v>
      </c>
    </row>
    <row r="710" spans="1:8" x14ac:dyDescent="0.2">
      <c r="A710" t="str">
        <f>IF(G710&gt;0,VW!C26,"")</f>
        <v/>
      </c>
      <c r="B710" t="str">
        <f>VW!E26</f>
        <v>Hotel</v>
      </c>
      <c r="C710">
        <f>VW!O26</f>
        <v>0</v>
      </c>
      <c r="D710" t="str">
        <f>VW!P26</f>
        <v>each</v>
      </c>
      <c r="E710" s="45">
        <f>VW!S26</f>
        <v>0</v>
      </c>
      <c r="F710" s="400">
        <f>VW!V26</f>
        <v>0</v>
      </c>
      <c r="G710" s="408">
        <f>VW!W26</f>
        <v>0</v>
      </c>
      <c r="H710" t="s">
        <v>848</v>
      </c>
    </row>
    <row r="711" spans="1:8" x14ac:dyDescent="0.2">
      <c r="A711" t="str">
        <f>IF(G711&gt;0,VW!C27,"")</f>
        <v/>
      </c>
      <c r="B711" t="str">
        <f>VW!E27</f>
        <v>Per Diem</v>
      </c>
      <c r="C711">
        <f>VW!O27</f>
        <v>0</v>
      </c>
      <c r="D711" t="str">
        <f>VW!P27</f>
        <v>days</v>
      </c>
      <c r="E711" s="45">
        <f>VW!S27</f>
        <v>0</v>
      </c>
      <c r="F711" s="400">
        <f>VW!V27</f>
        <v>0</v>
      </c>
      <c r="G711" s="408">
        <f>VW!W27</f>
        <v>0</v>
      </c>
      <c r="H711" t="s">
        <v>848</v>
      </c>
    </row>
    <row r="712" spans="1:8" x14ac:dyDescent="0.2">
      <c r="A712" t="str">
        <f>IF(G712&gt;0,VW!C28,"")</f>
        <v/>
      </c>
      <c r="B712" t="str">
        <f>VW!E28</f>
        <v>Transportation</v>
      </c>
      <c r="C712">
        <f>VW!O28</f>
        <v>0</v>
      </c>
      <c r="D712" t="str">
        <f>VW!P28</f>
        <v>allow</v>
      </c>
      <c r="E712" s="45">
        <f>VW!S28</f>
        <v>0</v>
      </c>
      <c r="F712" s="400">
        <f>VW!V28</f>
        <v>0</v>
      </c>
      <c r="G712" s="408">
        <f>VW!W28</f>
        <v>0</v>
      </c>
      <c r="H712" t="s">
        <v>848</v>
      </c>
    </row>
    <row r="713" spans="1:8" x14ac:dyDescent="0.2">
      <c r="A713" t="str">
        <f>IF(G713&gt;0,VW!C29,"")</f>
        <v/>
      </c>
      <c r="B713" t="str">
        <f>VW!E29</f>
        <v>Assistant Editor Travel</v>
      </c>
      <c r="C713">
        <f>VW!O29</f>
        <v>0</v>
      </c>
      <c r="D713" t="str">
        <f>VW!P29</f>
        <v>allow</v>
      </c>
      <c r="E713" s="45">
        <f>VW!S29</f>
        <v>0</v>
      </c>
      <c r="F713" s="400">
        <f>VW!V29</f>
        <v>0</v>
      </c>
      <c r="G713" s="408">
        <f>VW!W29</f>
        <v>0</v>
      </c>
      <c r="H713" t="s">
        <v>848</v>
      </c>
    </row>
    <row r="714" spans="1:8" x14ac:dyDescent="0.2">
      <c r="A714" t="str">
        <f>IF(G714&gt;0,VW!C30,"")</f>
        <v/>
      </c>
      <c r="B714">
        <f>VW!E30</f>
        <v>0</v>
      </c>
      <c r="C714">
        <f>VW!O30</f>
        <v>0</v>
      </c>
      <c r="D714">
        <f>VW!P30</f>
        <v>0</v>
      </c>
      <c r="E714" s="45">
        <f>VW!S30</f>
        <v>0</v>
      </c>
      <c r="F714" s="400">
        <f>VW!V30</f>
        <v>0</v>
      </c>
      <c r="G714" s="408">
        <f>VW!W30</f>
        <v>0</v>
      </c>
      <c r="H714" t="s">
        <v>848</v>
      </c>
    </row>
    <row r="715" spans="1:8" x14ac:dyDescent="0.2">
      <c r="A715" t="str">
        <f>IF(G715&gt;0,VW!C31,"")</f>
        <v/>
      </c>
      <c r="B715">
        <f>VW!E31</f>
        <v>0</v>
      </c>
      <c r="C715">
        <f>VW!O31</f>
        <v>0</v>
      </c>
      <c r="D715">
        <f>VW!P31</f>
        <v>0</v>
      </c>
      <c r="E715" s="45">
        <f>VW!S31</f>
        <v>0</v>
      </c>
      <c r="F715" s="400">
        <f>VW!V31</f>
        <v>0</v>
      </c>
      <c r="G715" s="408">
        <f>VW!W31</f>
        <v>0</v>
      </c>
      <c r="H715" t="s">
        <v>848</v>
      </c>
    </row>
    <row r="716" spans="1:8" x14ac:dyDescent="0.2">
      <c r="A716" t="str">
        <f>IF(G716&gt;0,VW!C32,"")</f>
        <v/>
      </c>
      <c r="B716">
        <f>VW!E32</f>
        <v>0</v>
      </c>
      <c r="C716">
        <f>VW!O32</f>
        <v>0</v>
      </c>
      <c r="D716">
        <f>VW!P32</f>
        <v>0</v>
      </c>
      <c r="E716" s="45">
        <f>VW!S32</f>
        <v>0</v>
      </c>
      <c r="F716" s="400">
        <f>VW!V32</f>
        <v>0</v>
      </c>
      <c r="G716" s="408">
        <f>VW!W32</f>
        <v>0</v>
      </c>
      <c r="H716" t="s">
        <v>848</v>
      </c>
    </row>
    <row r="717" spans="1:8" x14ac:dyDescent="0.2">
      <c r="A717" t="str">
        <f>IF(G717&gt;0,VW!C33,"")</f>
        <v/>
      </c>
      <c r="B717">
        <f>VW!E33</f>
        <v>0</v>
      </c>
      <c r="C717">
        <f>VW!O33</f>
        <v>0</v>
      </c>
      <c r="D717">
        <f>VW!P33</f>
        <v>0</v>
      </c>
      <c r="E717" s="45">
        <f>VW!S33</f>
        <v>0</v>
      </c>
      <c r="F717" s="400">
        <f>VW!V33</f>
        <v>0</v>
      </c>
      <c r="G717" s="408">
        <f>VW!W33</f>
        <v>0</v>
      </c>
      <c r="H717" t="s">
        <v>848</v>
      </c>
    </row>
    <row r="718" spans="1:8" x14ac:dyDescent="0.2">
      <c r="A718" t="str">
        <f>IF(G718&gt;0,VW!C34,"")</f>
        <v/>
      </c>
      <c r="B718" t="str">
        <f>VW!E34</f>
        <v>Editorial Supplies</v>
      </c>
      <c r="C718">
        <f>VW!O34</f>
        <v>0</v>
      </c>
      <c r="D718" t="str">
        <f>VW!P34</f>
        <v>allow</v>
      </c>
      <c r="E718" s="45">
        <f>VW!S34</f>
        <v>0</v>
      </c>
      <c r="F718" s="400">
        <f>VW!V34</f>
        <v>0</v>
      </c>
      <c r="G718" s="408">
        <f>VW!W34</f>
        <v>0</v>
      </c>
      <c r="H718" t="s">
        <v>848</v>
      </c>
    </row>
    <row r="719" spans="1:8" x14ac:dyDescent="0.2">
      <c r="A719" t="str">
        <f>IF(G719&gt;0,VW!C35,"")</f>
        <v/>
      </c>
      <c r="B719" t="str">
        <f>VW!E35</f>
        <v>Equipment Rental</v>
      </c>
      <c r="C719">
        <f>VW!O35</f>
        <v>0</v>
      </c>
      <c r="D719" t="str">
        <f>VW!P35</f>
        <v>allow</v>
      </c>
      <c r="E719" s="45">
        <f>VW!S35</f>
        <v>0</v>
      </c>
      <c r="F719" s="400">
        <f>VW!V35</f>
        <v>0</v>
      </c>
      <c r="G719" s="408">
        <f>VW!W35</f>
        <v>0</v>
      </c>
      <c r="H719" t="s">
        <v>848</v>
      </c>
    </row>
    <row r="720" spans="1:8" x14ac:dyDescent="0.2">
      <c r="A720" t="str">
        <f>IF(G720&gt;0,VW!C36,"")</f>
        <v/>
      </c>
      <c r="B720" t="str">
        <f>VW!E36</f>
        <v>Working Meals</v>
      </c>
      <c r="C720">
        <f>VW!O36</f>
        <v>0</v>
      </c>
      <c r="D720" t="str">
        <f>VW!P36</f>
        <v>allow</v>
      </c>
      <c r="E720" s="45">
        <f>VW!S36</f>
        <v>0</v>
      </c>
      <c r="F720" s="400">
        <f>VW!V36</f>
        <v>0</v>
      </c>
      <c r="G720" s="408">
        <f>VW!W36</f>
        <v>0</v>
      </c>
      <c r="H720" t="s">
        <v>848</v>
      </c>
    </row>
    <row r="721" spans="1:8" x14ac:dyDescent="0.2">
      <c r="A721" t="str">
        <f>IF(G721&gt;0,VW!C37,"")</f>
        <v/>
      </c>
      <c r="B721" t="str">
        <f>VW!E37</f>
        <v>Weekend Fee</v>
      </c>
      <c r="C721">
        <f>VW!O37</f>
        <v>0</v>
      </c>
      <c r="D721" t="str">
        <f>VW!P37</f>
        <v>flat</v>
      </c>
      <c r="E721" s="45">
        <f>VW!S37</f>
        <v>0</v>
      </c>
      <c r="F721" s="400">
        <f>VW!V37</f>
        <v>0</v>
      </c>
      <c r="G721" s="408">
        <f>VW!W37</f>
        <v>0</v>
      </c>
      <c r="H721" t="s">
        <v>848</v>
      </c>
    </row>
    <row r="722" spans="1:8" x14ac:dyDescent="0.2">
      <c r="A722" t="str">
        <f>IF(G722&gt;0,VW!C38,"")</f>
        <v/>
      </c>
      <c r="B722">
        <f>VW!E38</f>
        <v>0</v>
      </c>
      <c r="C722">
        <f>VW!O38</f>
        <v>0</v>
      </c>
      <c r="D722">
        <f>VW!P38</f>
        <v>0</v>
      </c>
      <c r="E722" s="45">
        <f>VW!S38</f>
        <v>0</v>
      </c>
      <c r="F722" s="400">
        <f>VW!V38</f>
        <v>0</v>
      </c>
      <c r="G722" s="408">
        <f>VW!W38</f>
        <v>0</v>
      </c>
      <c r="H722" t="s">
        <v>848</v>
      </c>
    </row>
    <row r="723" spans="1:8" x14ac:dyDescent="0.2">
      <c r="A723" t="str">
        <f>IF(G723&gt;0,VW!C39,"")</f>
        <v/>
      </c>
      <c r="B723">
        <f>VW!E39</f>
        <v>0</v>
      </c>
      <c r="C723">
        <f>VW!O39</f>
        <v>0</v>
      </c>
      <c r="D723">
        <f>VW!P39</f>
        <v>0</v>
      </c>
      <c r="E723" s="45">
        <f>VW!S39</f>
        <v>0</v>
      </c>
      <c r="F723" s="400">
        <f>VW!V39</f>
        <v>0</v>
      </c>
      <c r="G723" s="408">
        <f>VW!W39</f>
        <v>0</v>
      </c>
      <c r="H723" t="s">
        <v>848</v>
      </c>
    </row>
    <row r="724" spans="1:8" x14ac:dyDescent="0.2">
      <c r="A724" t="str">
        <f>IF(G724&gt;0,VW!C40,"")</f>
        <v/>
      </c>
      <c r="B724">
        <f>VW!E40</f>
        <v>0</v>
      </c>
      <c r="C724">
        <f>VW!O40</f>
        <v>0</v>
      </c>
      <c r="D724">
        <f>VW!P40</f>
        <v>0</v>
      </c>
      <c r="E724" s="45">
        <f>VW!S40</f>
        <v>0</v>
      </c>
      <c r="F724" s="400">
        <f>VW!V40</f>
        <v>0</v>
      </c>
      <c r="G724" s="408">
        <f>VW!W40</f>
        <v>0</v>
      </c>
      <c r="H724" t="s">
        <v>848</v>
      </c>
    </row>
    <row r="725" spans="1:8" x14ac:dyDescent="0.2">
      <c r="E725" s="45"/>
      <c r="F725" t="str">
        <f>VW!P41</f>
        <v>Total V</v>
      </c>
      <c r="G725" s="408">
        <f>VW!W41</f>
        <v>0</v>
      </c>
      <c r="H725" t="s">
        <v>848</v>
      </c>
    </row>
    <row r="726" spans="1:8" x14ac:dyDescent="0.2">
      <c r="E726" s="45"/>
    </row>
    <row r="727" spans="1:8" x14ac:dyDescent="0.2">
      <c r="A727" t="s">
        <v>821</v>
      </c>
      <c r="B727" t="s">
        <v>822</v>
      </c>
      <c r="C727" t="s">
        <v>376</v>
      </c>
      <c r="D727" t="s">
        <v>823</v>
      </c>
      <c r="E727" t="s">
        <v>220</v>
      </c>
      <c r="F727" t="s">
        <v>400</v>
      </c>
      <c r="G727" s="408" t="s">
        <v>370</v>
      </c>
    </row>
    <row r="728" spans="1:8" x14ac:dyDescent="0.2">
      <c r="A728" t="str">
        <f>IF(G728&gt;0,VW!C45,"")</f>
        <v/>
      </c>
      <c r="B728" t="str">
        <f>VW!E45</f>
        <v>Pre-Production Labor</v>
      </c>
      <c r="C728">
        <f>VW!O45</f>
        <v>0</v>
      </c>
      <c r="D728" t="str">
        <f>VW!P45</f>
        <v>days</v>
      </c>
      <c r="E728" s="45">
        <f>VW!S45</f>
        <v>0</v>
      </c>
      <c r="F728" s="400">
        <f>VW!V45</f>
        <v>0</v>
      </c>
      <c r="G728" s="408">
        <f>VW!W45</f>
        <v>0</v>
      </c>
      <c r="H728" t="s">
        <v>849</v>
      </c>
    </row>
    <row r="729" spans="1:8" x14ac:dyDescent="0.2">
      <c r="A729" t="str">
        <f>IF(G729&gt;0,VW!C46,"")</f>
        <v/>
      </c>
      <c r="B729" t="str">
        <f>VW!E46</f>
        <v>Editor Labor</v>
      </c>
      <c r="C729">
        <f>VW!O46</f>
        <v>0</v>
      </c>
      <c r="D729" t="str">
        <f>VW!P46</f>
        <v>days</v>
      </c>
      <c r="E729" s="45">
        <f>VW!S46</f>
        <v>0</v>
      </c>
      <c r="F729" s="400">
        <f>VW!V46</f>
        <v>0</v>
      </c>
      <c r="G729" s="408">
        <f>VW!W46</f>
        <v>0</v>
      </c>
      <c r="H729" t="s">
        <v>849</v>
      </c>
    </row>
    <row r="730" spans="1:8" x14ac:dyDescent="0.2">
      <c r="A730" t="str">
        <f>IF(G730&gt;0,VW!C47,"")</f>
        <v/>
      </c>
      <c r="B730" t="str">
        <f>VW!E47</f>
        <v>Editor OT/Weekend</v>
      </c>
      <c r="C730">
        <f>VW!O47</f>
        <v>0</v>
      </c>
      <c r="D730" t="str">
        <f>VW!P47</f>
        <v>days</v>
      </c>
      <c r="E730" s="45">
        <f>VW!S47</f>
        <v>0</v>
      </c>
      <c r="F730" s="400">
        <f>VW!V47</f>
        <v>0</v>
      </c>
      <c r="G730" s="408">
        <f>VW!W47</f>
        <v>0</v>
      </c>
      <c r="H730" t="s">
        <v>849</v>
      </c>
    </row>
    <row r="731" spans="1:8" x14ac:dyDescent="0.2">
      <c r="A731" t="str">
        <f>IF(G731&gt;0,VW!C48,"")</f>
        <v/>
      </c>
      <c r="B731" t="str">
        <f>VW!E48</f>
        <v>Assistant Labor</v>
      </c>
      <c r="C731">
        <f>VW!O48</f>
        <v>0</v>
      </c>
      <c r="D731" t="str">
        <f>VW!P48</f>
        <v>days</v>
      </c>
      <c r="E731" s="45">
        <f>VW!S48</f>
        <v>0</v>
      </c>
      <c r="F731" s="400">
        <f>VW!V48</f>
        <v>0</v>
      </c>
      <c r="G731" s="408">
        <f>VW!W48</f>
        <v>0</v>
      </c>
      <c r="H731" t="s">
        <v>849</v>
      </c>
    </row>
    <row r="732" spans="1:8" x14ac:dyDescent="0.2">
      <c r="A732" t="str">
        <f>IF(G732&gt;0,VW!C49,"")</f>
        <v/>
      </c>
      <c r="B732" t="str">
        <f>VW!E49</f>
        <v>Assistant OT/Weekend</v>
      </c>
      <c r="C732">
        <f>VW!O49</f>
        <v>0</v>
      </c>
      <c r="D732" t="str">
        <f>VW!P49</f>
        <v>days</v>
      </c>
      <c r="E732" s="45">
        <f>VW!S49</f>
        <v>0</v>
      </c>
      <c r="F732" s="400">
        <f>VW!V49</f>
        <v>0</v>
      </c>
      <c r="G732" s="408">
        <f>VW!W49</f>
        <v>0</v>
      </c>
      <c r="H732" t="s">
        <v>849</v>
      </c>
    </row>
    <row r="733" spans="1:8" x14ac:dyDescent="0.2">
      <c r="A733" t="str">
        <f>IF(G733&gt;0,VW!C50,"")</f>
        <v/>
      </c>
      <c r="B733" t="str">
        <f>VW!E50</f>
        <v>Session Supervisory Fee</v>
      </c>
      <c r="C733">
        <f>VW!O50</f>
        <v>0</v>
      </c>
      <c r="D733" t="str">
        <f>VW!P50</f>
        <v>days</v>
      </c>
      <c r="E733" s="45">
        <f>VW!S50</f>
        <v>0</v>
      </c>
      <c r="F733" s="400">
        <f>VW!V50</f>
        <v>0</v>
      </c>
      <c r="G733" s="408">
        <f>VW!W50</f>
        <v>0</v>
      </c>
      <c r="H733" t="s">
        <v>849</v>
      </c>
    </row>
    <row r="734" spans="1:8" x14ac:dyDescent="0.2">
      <c r="A734" t="str">
        <f>IF(G734&gt;0,VW!C51,"")</f>
        <v/>
      </c>
      <c r="B734" t="str">
        <f>VW!E51</f>
        <v>Producer/ Coordinator</v>
      </c>
      <c r="C734">
        <f>VW!O51</f>
        <v>0</v>
      </c>
      <c r="D734" t="str">
        <f>VW!P51</f>
        <v>days</v>
      </c>
      <c r="E734" s="45">
        <f>VW!S51</f>
        <v>0</v>
      </c>
      <c r="F734" s="400">
        <f>VW!V51</f>
        <v>0</v>
      </c>
      <c r="G734" s="408">
        <f>VW!W51</f>
        <v>0</v>
      </c>
      <c r="H734" t="s">
        <v>849</v>
      </c>
    </row>
    <row r="735" spans="1:8" x14ac:dyDescent="0.2">
      <c r="A735" t="str">
        <f>IF(G735&gt;0,VW!C52,"")</f>
        <v/>
      </c>
      <c r="B735" t="str">
        <f>VW!E52</f>
        <v>Set Supervision</v>
      </c>
      <c r="C735">
        <f>VW!O52</f>
        <v>0</v>
      </c>
      <c r="D735" t="str">
        <f>VW!P52</f>
        <v>days</v>
      </c>
      <c r="E735" s="45">
        <f>VW!S52</f>
        <v>0</v>
      </c>
      <c r="F735" s="400">
        <f>VW!V52</f>
        <v>0</v>
      </c>
      <c r="G735" s="408">
        <f>VW!W52</f>
        <v>0</v>
      </c>
      <c r="H735" t="s">
        <v>849</v>
      </c>
    </row>
    <row r="736" spans="1:8" x14ac:dyDescent="0.2">
      <c r="A736" t="str">
        <f>IF(G736&gt;0,VW!C53,"")</f>
        <v/>
      </c>
      <c r="B736">
        <f>VW!E53</f>
        <v>0</v>
      </c>
      <c r="C736">
        <f>VW!O53</f>
        <v>0</v>
      </c>
      <c r="D736">
        <f>VW!P53</f>
        <v>0</v>
      </c>
      <c r="E736" s="45">
        <f>VW!S53</f>
        <v>0</v>
      </c>
      <c r="F736" s="400">
        <f>VW!V53</f>
        <v>0</v>
      </c>
      <c r="G736" s="408">
        <f>VW!W53</f>
        <v>0</v>
      </c>
      <c r="H736" t="s">
        <v>849</v>
      </c>
    </row>
    <row r="737" spans="1:8" x14ac:dyDescent="0.2">
      <c r="A737" t="str">
        <f>IF(G737&gt;0,VW!C54,"")</f>
        <v/>
      </c>
      <c r="B737" t="str">
        <f>VW!E54</f>
        <v>Creative Fees</v>
      </c>
      <c r="C737">
        <f>VW!O54</f>
        <v>0</v>
      </c>
      <c r="D737" t="str">
        <f>VW!P54</f>
        <v>flat</v>
      </c>
      <c r="E737" s="45">
        <f>VW!S54</f>
        <v>0</v>
      </c>
      <c r="F737" s="400">
        <f>VW!V54</f>
        <v>0</v>
      </c>
      <c r="G737" s="408">
        <f>VW!W54</f>
        <v>0</v>
      </c>
      <c r="H737" t="s">
        <v>849</v>
      </c>
    </row>
    <row r="738" spans="1:8" x14ac:dyDescent="0.2">
      <c r="A738" t="str">
        <f>IF(G738&gt;0,VW!C55,"")</f>
        <v/>
      </c>
      <c r="B738">
        <f>VW!E55</f>
        <v>0</v>
      </c>
      <c r="C738">
        <f>VW!O55</f>
        <v>0</v>
      </c>
      <c r="D738">
        <f>VW!P55</f>
        <v>0</v>
      </c>
      <c r="E738" s="45">
        <f>VW!S55</f>
        <v>0</v>
      </c>
      <c r="F738" s="400">
        <f>VW!V55</f>
        <v>0</v>
      </c>
      <c r="G738" s="408">
        <f>VW!W55</f>
        <v>0</v>
      </c>
      <c r="H738" t="s">
        <v>849</v>
      </c>
    </row>
    <row r="739" spans="1:8" x14ac:dyDescent="0.2">
      <c r="A739" t="str">
        <f>IF(G739&gt;0,VW!C56,"")</f>
        <v/>
      </c>
      <c r="B739">
        <f>VW!E56</f>
        <v>0</v>
      </c>
      <c r="C739">
        <f>VW!O56</f>
        <v>0</v>
      </c>
      <c r="D739">
        <f>VW!P56</f>
        <v>0</v>
      </c>
      <c r="E739" s="45">
        <f>VW!S56</f>
        <v>0</v>
      </c>
      <c r="F739" s="400">
        <f>VW!V56</f>
        <v>0</v>
      </c>
      <c r="G739" s="408">
        <f>VW!W56</f>
        <v>0</v>
      </c>
      <c r="H739" t="s">
        <v>849</v>
      </c>
    </row>
    <row r="740" spans="1:8" x14ac:dyDescent="0.2">
      <c r="A740" t="str">
        <f>IF(G740&gt;0,VW!C57,"")</f>
        <v/>
      </c>
      <c r="B740">
        <f>VW!E57</f>
        <v>0</v>
      </c>
      <c r="C740">
        <f>VW!O57</f>
        <v>0</v>
      </c>
      <c r="D740">
        <f>VW!P57</f>
        <v>0</v>
      </c>
      <c r="E740" s="45">
        <f>VW!S57</f>
        <v>0</v>
      </c>
      <c r="F740" s="400">
        <f>VW!V57</f>
        <v>0</v>
      </c>
      <c r="G740" s="408">
        <f>VW!W57</f>
        <v>0</v>
      </c>
      <c r="H740" t="s">
        <v>849</v>
      </c>
    </row>
    <row r="741" spans="1:8" x14ac:dyDescent="0.2">
      <c r="A741" t="str">
        <f>IF(G741&gt;0,VW!C58,"")</f>
        <v/>
      </c>
      <c r="B741">
        <f>VW!E58</f>
        <v>0</v>
      </c>
      <c r="C741">
        <f>VW!O58</f>
        <v>0</v>
      </c>
      <c r="D741">
        <f>VW!P58</f>
        <v>0</v>
      </c>
      <c r="E741" s="45">
        <f>VW!S58</f>
        <v>0</v>
      </c>
      <c r="F741" s="400">
        <f>VW!V58</f>
        <v>0</v>
      </c>
      <c r="G741" s="408">
        <f>VW!W58</f>
        <v>0</v>
      </c>
      <c r="H741" t="s">
        <v>849</v>
      </c>
    </row>
    <row r="742" spans="1:8" x14ac:dyDescent="0.2">
      <c r="E742" s="45"/>
      <c r="F742" t="str">
        <f>VW!P59</f>
        <v>Total W</v>
      </c>
      <c r="G742" s="408">
        <f>VW!W59</f>
        <v>0</v>
      </c>
      <c r="H742" t="s">
        <v>849</v>
      </c>
    </row>
    <row r="743" spans="1:8" x14ac:dyDescent="0.2">
      <c r="E743" s="45"/>
      <c r="F743" s="400"/>
    </row>
    <row r="744" spans="1:8" x14ac:dyDescent="0.2">
      <c r="E744" s="45"/>
      <c r="F744" s="400"/>
    </row>
    <row r="745" spans="1:8" x14ac:dyDescent="0.2">
      <c r="E745" s="45"/>
      <c r="F745" s="400"/>
    </row>
    <row r="746" spans="1:8" x14ac:dyDescent="0.2">
      <c r="E746" s="45"/>
      <c r="F746" s="400"/>
    </row>
    <row r="747" spans="1:8" x14ac:dyDescent="0.2">
      <c r="E747" s="45"/>
      <c r="F747" s="400"/>
    </row>
    <row r="748" spans="1:8" x14ac:dyDescent="0.2">
      <c r="E748" s="45"/>
      <c r="F748" s="400"/>
    </row>
    <row r="749" spans="1:8" x14ac:dyDescent="0.2">
      <c r="E749" s="45"/>
      <c r="F749" s="400"/>
    </row>
    <row r="750" spans="1:8" x14ac:dyDescent="0.2">
      <c r="E750" s="45"/>
      <c r="F750" s="400"/>
    </row>
    <row r="751" spans="1:8" x14ac:dyDescent="0.2">
      <c r="E751" s="45"/>
      <c r="F751" s="400"/>
    </row>
    <row r="752" spans="1:8" x14ac:dyDescent="0.2">
      <c r="E752" s="45"/>
      <c r="F752" s="400"/>
    </row>
    <row r="753" spans="5:6" x14ac:dyDescent="0.2">
      <c r="E753" s="45"/>
      <c r="F753" s="400"/>
    </row>
  </sheetData>
  <sheetProtection sheet="1" objects="1" scenarios="1"/>
  <pageMargins left="0.7" right="0.7" top="0.75" bottom="0.75" header="0.3" footer="0.3"/>
  <pageSetup orientation="portrait" horizontalDpi="0" verticalDpi="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8D9553-59B6-4BDF-B7AF-B2D0826BCEA5}">
  <sheetPr codeName="Sheet14">
    <pageSetUpPr fitToPage="1"/>
  </sheetPr>
  <dimension ref="B1:DD99"/>
  <sheetViews>
    <sheetView view="pageBreakPreview" topLeftCell="A45" zoomScale="60" zoomScaleNormal="100" workbookViewId="0">
      <selection activeCell="AO99" sqref="AO99"/>
    </sheetView>
  </sheetViews>
  <sheetFormatPr baseColWidth="10" defaultColWidth="4.6640625" defaultRowHeight="17" x14ac:dyDescent="0.2"/>
  <cols>
    <col min="1" max="13" width="4.6640625" style="7"/>
    <col min="14" max="20" width="4.6640625" style="7" customWidth="1"/>
    <col min="21" max="22" width="4.6640625" style="44" customWidth="1"/>
    <col min="23" max="27" width="4.6640625" style="7" customWidth="1"/>
    <col min="28" max="36" width="4.6640625" style="7"/>
    <col min="37" max="37" width="4.6640625" style="34"/>
    <col min="38" max="107" width="4.6640625" style="7"/>
    <col min="108" max="108" width="0" style="7" hidden="1" customWidth="1"/>
    <col min="109" max="16384" width="4.6640625" style="7"/>
  </cols>
  <sheetData>
    <row r="1" spans="2:108" ht="16.5" customHeight="1" x14ac:dyDescent="0.2">
      <c r="B1"/>
      <c r="C1"/>
      <c r="D1"/>
      <c r="E1"/>
      <c r="F1"/>
      <c r="G1"/>
      <c r="H1"/>
      <c r="I1"/>
      <c r="J1"/>
      <c r="K1"/>
      <c r="L1"/>
      <c r="Q1" s="63"/>
      <c r="R1" s="63"/>
      <c r="U1" s="7"/>
      <c r="V1" s="7"/>
      <c r="X1" s="24"/>
      <c r="Y1" s="24"/>
      <c r="Z1" s="24"/>
      <c r="AJ1" s="63"/>
      <c r="AK1" s="7"/>
      <c r="DD1" s="7" t="s">
        <v>537</v>
      </c>
    </row>
    <row r="2" spans="2:108" ht="6.5" customHeight="1" x14ac:dyDescent="0.2">
      <c r="B2"/>
      <c r="C2"/>
      <c r="D2"/>
      <c r="E2"/>
      <c r="F2"/>
      <c r="G2"/>
      <c r="H2"/>
      <c r="I2"/>
      <c r="J2"/>
      <c r="K2"/>
      <c r="L2"/>
      <c r="M2"/>
      <c r="Q2" s="63"/>
      <c r="R2" s="63"/>
      <c r="U2" s="7"/>
      <c r="V2" s="7"/>
      <c r="X2" s="24"/>
      <c r="Y2" s="24"/>
      <c r="Z2" s="24"/>
      <c r="AJ2" s="63"/>
      <c r="AK2" s="7"/>
    </row>
    <row r="3" spans="2:108" ht="16.5" customHeight="1" x14ac:dyDescent="0.2">
      <c r="B3"/>
      <c r="C3"/>
      <c r="D3"/>
      <c r="E3"/>
      <c r="F3"/>
      <c r="G3"/>
      <c r="H3"/>
      <c r="I3"/>
      <c r="J3"/>
      <c r="K3"/>
      <c r="L3"/>
      <c r="M3"/>
      <c r="Q3" s="63"/>
      <c r="U3" s="7"/>
      <c r="V3" s="7"/>
      <c r="X3" s="24"/>
      <c r="Y3" s="24"/>
      <c r="Z3" s="24"/>
      <c r="AJ3" s="63"/>
      <c r="AK3" s="7"/>
    </row>
    <row r="4" spans="2:108" ht="6.5" customHeight="1" x14ac:dyDescent="0.2">
      <c r="B4"/>
      <c r="C4"/>
      <c r="D4"/>
      <c r="E4"/>
      <c r="F4"/>
      <c r="G4"/>
      <c r="H4"/>
      <c r="I4"/>
      <c r="J4"/>
      <c r="K4"/>
      <c r="L4"/>
      <c r="Q4" s="63"/>
      <c r="U4" s="7"/>
      <c r="V4" s="7"/>
      <c r="X4" s="24"/>
      <c r="Y4" s="24"/>
      <c r="Z4" s="24"/>
      <c r="AJ4" s="63"/>
      <c r="AK4" s="7"/>
    </row>
    <row r="5" spans="2:108" ht="16.5" customHeight="1" x14ac:dyDescent="0.2">
      <c r="B5"/>
      <c r="C5"/>
      <c r="D5"/>
      <c r="E5"/>
      <c r="F5"/>
      <c r="G5"/>
      <c r="H5"/>
      <c r="I5"/>
      <c r="J5"/>
      <c r="K5"/>
      <c r="L5"/>
      <c r="M5"/>
      <c r="Q5" s="63"/>
      <c r="R5" s="63"/>
      <c r="U5" s="7"/>
      <c r="V5" s="7"/>
      <c r="X5" s="24"/>
      <c r="Y5" s="24"/>
      <c r="Z5" s="24"/>
      <c r="AJ5" s="63"/>
      <c r="AK5" s="7"/>
    </row>
    <row r="6" spans="2:108" ht="16.25" customHeight="1" x14ac:dyDescent="0.2">
      <c r="C6" s="19"/>
      <c r="BI6" s="46"/>
    </row>
    <row r="7" spans="2:108" ht="16" customHeight="1" x14ac:dyDescent="0.2">
      <c r="AK7" s="35"/>
      <c r="AL7" s="2"/>
      <c r="AM7" s="2"/>
      <c r="AN7" s="2"/>
    </row>
    <row r="8" spans="2:108" s="323" customFormat="1" ht="20" customHeight="1" x14ac:dyDescent="0.2">
      <c r="C8" s="28" t="s">
        <v>427</v>
      </c>
      <c r="D8" s="280" t="s">
        <v>531</v>
      </c>
      <c r="E8" s="80"/>
      <c r="F8" s="370"/>
      <c r="G8" s="370"/>
      <c r="H8" s="370"/>
      <c r="I8" s="370"/>
      <c r="J8" s="370"/>
      <c r="K8" s="370"/>
      <c r="L8" s="370"/>
      <c r="M8" s="370"/>
      <c r="N8" s="370"/>
      <c r="O8" s="370"/>
      <c r="P8" s="370"/>
      <c r="Q8" s="370"/>
      <c r="R8" s="370"/>
      <c r="S8" s="370"/>
      <c r="T8" s="370"/>
      <c r="U8" s="371"/>
      <c r="V8" s="371"/>
      <c r="W8" s="866"/>
      <c r="X8" s="866"/>
      <c r="Y8" s="866"/>
      <c r="Z8" s="866"/>
      <c r="AB8" s="867"/>
      <c r="AC8" s="867"/>
      <c r="AD8" s="868"/>
      <c r="AF8" s="869"/>
      <c r="AG8" s="867"/>
      <c r="AH8" s="868"/>
      <c r="AK8" s="368"/>
      <c r="AL8" s="372"/>
      <c r="AM8" s="372"/>
      <c r="AN8" s="372"/>
    </row>
    <row r="9" spans="2:108" s="110" customFormat="1" ht="16.25" customHeight="1" x14ac:dyDescent="0.15">
      <c r="C9" s="152"/>
      <c r="D9" s="116"/>
      <c r="E9" s="116" t="s">
        <v>384</v>
      </c>
      <c r="F9" s="130"/>
      <c r="G9" s="130"/>
      <c r="H9" s="130"/>
      <c r="I9" s="130"/>
      <c r="J9" s="130"/>
      <c r="K9" s="130"/>
      <c r="L9" s="130"/>
      <c r="M9" s="130"/>
      <c r="N9" s="800" t="s">
        <v>375</v>
      </c>
      <c r="O9" s="800"/>
      <c r="P9" s="130"/>
      <c r="Q9" s="800" t="s">
        <v>220</v>
      </c>
      <c r="R9" s="800"/>
      <c r="S9" s="130"/>
      <c r="T9" s="116" t="s">
        <v>400</v>
      </c>
      <c r="U9" s="130"/>
      <c r="V9" s="130"/>
      <c r="W9" s="130"/>
      <c r="X9" s="724" t="s">
        <v>370</v>
      </c>
      <c r="Y9" s="724"/>
      <c r="Z9" s="725"/>
      <c r="AB9" s="848" t="s">
        <v>363</v>
      </c>
      <c r="AC9" s="849"/>
      <c r="AD9" s="850"/>
      <c r="AF9" s="848" t="s">
        <v>447</v>
      </c>
      <c r="AG9" s="849"/>
      <c r="AH9" s="850"/>
      <c r="AK9" s="165"/>
      <c r="AL9" s="166"/>
    </row>
    <row r="10" spans="2:108" s="51" customFormat="1" ht="16" customHeight="1" x14ac:dyDescent="0.15">
      <c r="C10" s="828">
        <v>0</v>
      </c>
      <c r="D10" s="829"/>
      <c r="E10" s="604"/>
      <c r="F10" s="604"/>
      <c r="G10" s="604"/>
      <c r="H10" s="604"/>
      <c r="I10" s="604"/>
      <c r="J10" s="604"/>
      <c r="K10" s="604"/>
      <c r="L10" s="604"/>
      <c r="M10" s="604"/>
      <c r="N10" s="58"/>
      <c r="O10" s="58" t="s">
        <v>116</v>
      </c>
      <c r="P10" s="59" t="s">
        <v>117</v>
      </c>
      <c r="Q10" s="831"/>
      <c r="R10" s="831"/>
      <c r="S10" s="67" t="s">
        <v>143</v>
      </c>
      <c r="T10" s="324"/>
      <c r="U10" s="88"/>
      <c r="V10" s="88"/>
      <c r="W10" s="664">
        <f>N10*Q10*(IF(ISNUMBER(T10),T10,IF(ISNUMBER(N10),1,0)))</f>
        <v>0</v>
      </c>
      <c r="X10" s="664"/>
      <c r="Y10" s="664"/>
      <c r="Z10" s="665"/>
      <c r="AB10" s="832">
        <v>0</v>
      </c>
      <c r="AC10" s="833"/>
      <c r="AD10" s="834"/>
      <c r="AF10" s="832">
        <f>AB10-W10</f>
        <v>0</v>
      </c>
      <c r="AG10" s="833"/>
      <c r="AH10" s="834"/>
      <c r="AM10" s="316"/>
      <c r="AN10" s="316"/>
    </row>
    <row r="11" spans="2:108" s="51" customFormat="1" ht="16" customHeight="1" x14ac:dyDescent="0.15">
      <c r="C11" s="828">
        <f>C10+1</f>
        <v>1</v>
      </c>
      <c r="D11" s="829"/>
      <c r="E11" s="830"/>
      <c r="F11" s="830"/>
      <c r="G11" s="830"/>
      <c r="H11" s="830"/>
      <c r="I11" s="830"/>
      <c r="J11" s="830"/>
      <c r="K11" s="830"/>
      <c r="L11" s="830"/>
      <c r="M11" s="830"/>
      <c r="N11" s="58"/>
      <c r="O11" s="58" t="s">
        <v>116</v>
      </c>
      <c r="P11" s="59" t="s">
        <v>117</v>
      </c>
      <c r="Q11" s="831"/>
      <c r="R11" s="831"/>
      <c r="S11" s="67" t="s">
        <v>143</v>
      </c>
      <c r="T11" s="324"/>
      <c r="U11" s="88"/>
      <c r="V11" s="88"/>
      <c r="W11" s="664">
        <f>N11*Q11*(IF(ISNUMBER(T11),T11,IF(ISNUMBER(N11),1,0)))</f>
        <v>0</v>
      </c>
      <c r="X11" s="664"/>
      <c r="Y11" s="664"/>
      <c r="Z11" s="665"/>
      <c r="AB11" s="832">
        <v>0</v>
      </c>
      <c r="AC11" s="833"/>
      <c r="AD11" s="834"/>
      <c r="AF11" s="832">
        <f t="shared" ref="AF11:AF72" si="0">AB11-W11</f>
        <v>0</v>
      </c>
      <c r="AG11" s="833"/>
      <c r="AH11" s="834"/>
      <c r="AK11" s="325"/>
    </row>
    <row r="12" spans="2:108" s="51" customFormat="1" ht="16" customHeight="1" x14ac:dyDescent="0.15">
      <c r="C12" s="828">
        <f t="shared" ref="C12:C69" si="1">C11+1</f>
        <v>2</v>
      </c>
      <c r="D12" s="829"/>
      <c r="E12" s="830"/>
      <c r="F12" s="830"/>
      <c r="G12" s="830"/>
      <c r="H12" s="830"/>
      <c r="I12" s="830"/>
      <c r="J12" s="830"/>
      <c r="K12" s="830"/>
      <c r="L12" s="830"/>
      <c r="M12" s="830"/>
      <c r="N12" s="58"/>
      <c r="O12" s="58" t="s">
        <v>116</v>
      </c>
      <c r="P12" s="59" t="s">
        <v>117</v>
      </c>
      <c r="Q12" s="831"/>
      <c r="R12" s="831"/>
      <c r="S12" s="67" t="s">
        <v>143</v>
      </c>
      <c r="T12" s="324"/>
      <c r="U12" s="88"/>
      <c r="V12" s="88"/>
      <c r="W12" s="664">
        <f>N12*Q12*(IF(ISNUMBER(T12),T12,IF(ISNUMBER(N12),1,0)))</f>
        <v>0</v>
      </c>
      <c r="X12" s="664"/>
      <c r="Y12" s="664"/>
      <c r="Z12" s="665"/>
      <c r="AB12" s="832">
        <v>0</v>
      </c>
      <c r="AC12" s="833"/>
      <c r="AD12" s="834"/>
      <c r="AF12" s="832">
        <f t="shared" si="0"/>
        <v>0</v>
      </c>
      <c r="AG12" s="833"/>
      <c r="AH12" s="834"/>
      <c r="AK12" s="325"/>
    </row>
    <row r="13" spans="2:108" s="51" customFormat="1" ht="16" customHeight="1" x14ac:dyDescent="0.15">
      <c r="C13" s="828">
        <f t="shared" si="1"/>
        <v>3</v>
      </c>
      <c r="D13" s="829"/>
      <c r="E13" s="830"/>
      <c r="F13" s="830"/>
      <c r="G13" s="830"/>
      <c r="H13" s="830"/>
      <c r="I13" s="830"/>
      <c r="J13" s="830"/>
      <c r="K13" s="830"/>
      <c r="L13" s="830"/>
      <c r="M13" s="830"/>
      <c r="N13" s="58"/>
      <c r="O13" s="58" t="s">
        <v>116</v>
      </c>
      <c r="P13" s="59" t="s">
        <v>117</v>
      </c>
      <c r="Q13" s="831"/>
      <c r="R13" s="831"/>
      <c r="S13" s="67" t="s">
        <v>143</v>
      </c>
      <c r="T13" s="324"/>
      <c r="U13" s="88"/>
      <c r="V13" s="88"/>
      <c r="W13" s="664">
        <f t="shared" ref="W13:W59" si="2">N13*Q13*(IF(ISNUMBER(T13),T13,IF(ISNUMBER(N13),1,0)))</f>
        <v>0</v>
      </c>
      <c r="X13" s="664"/>
      <c r="Y13" s="664"/>
      <c r="Z13" s="665"/>
      <c r="AB13" s="832">
        <v>0</v>
      </c>
      <c r="AC13" s="833"/>
      <c r="AD13" s="834"/>
      <c r="AF13" s="832">
        <f t="shared" si="0"/>
        <v>0</v>
      </c>
      <c r="AG13" s="833"/>
      <c r="AH13" s="834"/>
      <c r="AK13" s="325"/>
    </row>
    <row r="14" spans="2:108" s="51" customFormat="1" ht="16" customHeight="1" x14ac:dyDescent="0.15">
      <c r="C14" s="828">
        <f t="shared" si="1"/>
        <v>4</v>
      </c>
      <c r="D14" s="829"/>
      <c r="E14" s="830"/>
      <c r="F14" s="830"/>
      <c r="G14" s="830"/>
      <c r="H14" s="830"/>
      <c r="I14" s="830"/>
      <c r="J14" s="830"/>
      <c r="K14" s="830"/>
      <c r="L14" s="830"/>
      <c r="M14" s="830"/>
      <c r="N14" s="58"/>
      <c r="O14" s="58" t="s">
        <v>116</v>
      </c>
      <c r="P14" s="59" t="s">
        <v>117</v>
      </c>
      <c r="Q14" s="831"/>
      <c r="R14" s="831"/>
      <c r="S14" s="67" t="s">
        <v>143</v>
      </c>
      <c r="T14" s="324"/>
      <c r="U14" s="88"/>
      <c r="V14" s="88"/>
      <c r="W14" s="664">
        <f t="shared" si="2"/>
        <v>0</v>
      </c>
      <c r="X14" s="664"/>
      <c r="Y14" s="664"/>
      <c r="Z14" s="665"/>
      <c r="AB14" s="832">
        <v>0</v>
      </c>
      <c r="AC14" s="833"/>
      <c r="AD14" s="834"/>
      <c r="AF14" s="832">
        <f t="shared" si="0"/>
        <v>0</v>
      </c>
      <c r="AG14" s="833"/>
      <c r="AH14" s="834"/>
      <c r="AK14" s="325"/>
    </row>
    <row r="15" spans="2:108" s="51" customFormat="1" ht="16" customHeight="1" x14ac:dyDescent="0.15">
      <c r="C15" s="828">
        <f t="shared" si="1"/>
        <v>5</v>
      </c>
      <c r="D15" s="829"/>
      <c r="E15" s="830"/>
      <c r="F15" s="830"/>
      <c r="G15" s="830"/>
      <c r="H15" s="830"/>
      <c r="I15" s="830"/>
      <c r="J15" s="830"/>
      <c r="K15" s="830"/>
      <c r="L15" s="830"/>
      <c r="M15" s="830"/>
      <c r="N15" s="58"/>
      <c r="O15" s="58" t="s">
        <v>116</v>
      </c>
      <c r="P15" s="59" t="s">
        <v>117</v>
      </c>
      <c r="Q15" s="831"/>
      <c r="R15" s="831"/>
      <c r="S15" s="67" t="s">
        <v>143</v>
      </c>
      <c r="T15" s="324"/>
      <c r="U15" s="88"/>
      <c r="V15" s="88"/>
      <c r="W15" s="664">
        <f t="shared" si="2"/>
        <v>0</v>
      </c>
      <c r="X15" s="664"/>
      <c r="Y15" s="664"/>
      <c r="Z15" s="665"/>
      <c r="AB15" s="832">
        <v>0</v>
      </c>
      <c r="AC15" s="833"/>
      <c r="AD15" s="834"/>
      <c r="AF15" s="832">
        <f t="shared" si="0"/>
        <v>0</v>
      </c>
      <c r="AG15" s="833"/>
      <c r="AH15" s="834"/>
      <c r="AK15" s="325"/>
    </row>
    <row r="16" spans="2:108" s="51" customFormat="1" ht="16" customHeight="1" x14ac:dyDescent="0.15">
      <c r="C16" s="828">
        <f t="shared" si="1"/>
        <v>6</v>
      </c>
      <c r="D16" s="829"/>
      <c r="E16" s="830"/>
      <c r="F16" s="830"/>
      <c r="G16" s="830"/>
      <c r="H16" s="830"/>
      <c r="I16" s="830"/>
      <c r="J16" s="830"/>
      <c r="K16" s="830"/>
      <c r="L16" s="830"/>
      <c r="M16" s="830"/>
      <c r="N16" s="58"/>
      <c r="O16" s="58" t="s">
        <v>116</v>
      </c>
      <c r="P16" s="59" t="s">
        <v>117</v>
      </c>
      <c r="Q16" s="831"/>
      <c r="R16" s="831"/>
      <c r="S16" s="67" t="s">
        <v>143</v>
      </c>
      <c r="T16" s="324"/>
      <c r="U16" s="88"/>
      <c r="V16" s="88"/>
      <c r="W16" s="664">
        <f t="shared" si="2"/>
        <v>0</v>
      </c>
      <c r="X16" s="664"/>
      <c r="Y16" s="664"/>
      <c r="Z16" s="665"/>
      <c r="AB16" s="832">
        <v>0</v>
      </c>
      <c r="AC16" s="833"/>
      <c r="AD16" s="834"/>
      <c r="AF16" s="832">
        <f t="shared" si="0"/>
        <v>0</v>
      </c>
      <c r="AG16" s="833"/>
      <c r="AH16" s="834"/>
      <c r="AK16" s="325"/>
    </row>
    <row r="17" spans="3:37" s="51" customFormat="1" ht="16" customHeight="1" x14ac:dyDescent="0.15">
      <c r="C17" s="828">
        <f t="shared" si="1"/>
        <v>7</v>
      </c>
      <c r="D17" s="829"/>
      <c r="E17" s="830"/>
      <c r="F17" s="830"/>
      <c r="G17" s="830"/>
      <c r="H17" s="830"/>
      <c r="I17" s="830"/>
      <c r="J17" s="830"/>
      <c r="K17" s="830"/>
      <c r="L17" s="830"/>
      <c r="M17" s="830"/>
      <c r="N17" s="58"/>
      <c r="O17" s="58" t="s">
        <v>116</v>
      </c>
      <c r="P17" s="59" t="s">
        <v>117</v>
      </c>
      <c r="Q17" s="831"/>
      <c r="R17" s="831"/>
      <c r="S17" s="67" t="s">
        <v>143</v>
      </c>
      <c r="T17" s="324"/>
      <c r="U17" s="88"/>
      <c r="V17" s="88"/>
      <c r="W17" s="664">
        <f t="shared" si="2"/>
        <v>0</v>
      </c>
      <c r="X17" s="664"/>
      <c r="Y17" s="664"/>
      <c r="Z17" s="665"/>
      <c r="AB17" s="832">
        <v>0</v>
      </c>
      <c r="AC17" s="833"/>
      <c r="AD17" s="834"/>
      <c r="AF17" s="832">
        <f t="shared" si="0"/>
        <v>0</v>
      </c>
      <c r="AG17" s="833"/>
      <c r="AH17" s="834"/>
      <c r="AK17" s="325"/>
    </row>
    <row r="18" spans="3:37" s="51" customFormat="1" ht="16" customHeight="1" x14ac:dyDescent="0.15">
      <c r="C18" s="828">
        <f t="shared" si="1"/>
        <v>8</v>
      </c>
      <c r="D18" s="829"/>
      <c r="E18" s="830"/>
      <c r="F18" s="830"/>
      <c r="G18" s="830"/>
      <c r="H18" s="830"/>
      <c r="I18" s="830"/>
      <c r="J18" s="830"/>
      <c r="K18" s="830"/>
      <c r="L18" s="830"/>
      <c r="M18" s="830"/>
      <c r="N18" s="58"/>
      <c r="O18" s="58" t="s">
        <v>116</v>
      </c>
      <c r="P18" s="59" t="s">
        <v>117</v>
      </c>
      <c r="Q18" s="831"/>
      <c r="R18" s="831"/>
      <c r="S18" s="67" t="s">
        <v>143</v>
      </c>
      <c r="T18" s="324"/>
      <c r="U18" s="88"/>
      <c r="V18" s="88"/>
      <c r="W18" s="664">
        <f t="shared" si="2"/>
        <v>0</v>
      </c>
      <c r="X18" s="664"/>
      <c r="Y18" s="664"/>
      <c r="Z18" s="665"/>
      <c r="AB18" s="832">
        <v>0</v>
      </c>
      <c r="AC18" s="833"/>
      <c r="AD18" s="834"/>
      <c r="AF18" s="832">
        <f t="shared" si="0"/>
        <v>0</v>
      </c>
      <c r="AG18" s="833"/>
      <c r="AH18" s="834"/>
      <c r="AK18" s="325"/>
    </row>
    <row r="19" spans="3:37" s="51" customFormat="1" ht="16" customHeight="1" x14ac:dyDescent="0.15">
      <c r="C19" s="828">
        <f t="shared" si="1"/>
        <v>9</v>
      </c>
      <c r="D19" s="829"/>
      <c r="E19" s="830"/>
      <c r="F19" s="830"/>
      <c r="G19" s="830"/>
      <c r="H19" s="830"/>
      <c r="I19" s="830"/>
      <c r="J19" s="830"/>
      <c r="K19" s="830"/>
      <c r="L19" s="830"/>
      <c r="M19" s="830"/>
      <c r="N19" s="58"/>
      <c r="O19" s="58" t="s">
        <v>116</v>
      </c>
      <c r="P19" s="59" t="s">
        <v>117</v>
      </c>
      <c r="Q19" s="831"/>
      <c r="R19" s="831"/>
      <c r="S19" s="67" t="s">
        <v>143</v>
      </c>
      <c r="T19" s="324"/>
      <c r="U19" s="88"/>
      <c r="V19" s="88"/>
      <c r="W19" s="664">
        <f t="shared" si="2"/>
        <v>0</v>
      </c>
      <c r="X19" s="664"/>
      <c r="Y19" s="664"/>
      <c r="Z19" s="665"/>
      <c r="AB19" s="832">
        <v>0</v>
      </c>
      <c r="AC19" s="833"/>
      <c r="AD19" s="834"/>
      <c r="AF19" s="832">
        <f t="shared" si="0"/>
        <v>0</v>
      </c>
      <c r="AG19" s="833"/>
      <c r="AH19" s="834"/>
      <c r="AK19" s="325"/>
    </row>
    <row r="20" spans="3:37" s="51" customFormat="1" ht="16" customHeight="1" x14ac:dyDescent="0.15">
      <c r="C20" s="828">
        <f t="shared" si="1"/>
        <v>10</v>
      </c>
      <c r="D20" s="829"/>
      <c r="E20" s="830"/>
      <c r="F20" s="830"/>
      <c r="G20" s="830"/>
      <c r="H20" s="830"/>
      <c r="I20" s="830"/>
      <c r="J20" s="830"/>
      <c r="K20" s="830"/>
      <c r="L20" s="830"/>
      <c r="M20" s="830"/>
      <c r="N20" s="58"/>
      <c r="O20" s="58" t="s">
        <v>116</v>
      </c>
      <c r="P20" s="59" t="s">
        <v>117</v>
      </c>
      <c r="Q20" s="831"/>
      <c r="R20" s="831"/>
      <c r="S20" s="67" t="s">
        <v>143</v>
      </c>
      <c r="T20" s="324"/>
      <c r="U20" s="88"/>
      <c r="V20" s="88"/>
      <c r="W20" s="664">
        <f t="shared" si="2"/>
        <v>0</v>
      </c>
      <c r="X20" s="664"/>
      <c r="Y20" s="664"/>
      <c r="Z20" s="665"/>
      <c r="AB20" s="832">
        <v>0</v>
      </c>
      <c r="AC20" s="833"/>
      <c r="AD20" s="834"/>
      <c r="AF20" s="832">
        <f t="shared" si="0"/>
        <v>0</v>
      </c>
      <c r="AG20" s="833"/>
      <c r="AH20" s="834"/>
      <c r="AK20" s="325"/>
    </row>
    <row r="21" spans="3:37" s="51" customFormat="1" ht="16" customHeight="1" x14ac:dyDescent="0.15">
      <c r="C21" s="828">
        <f t="shared" si="1"/>
        <v>11</v>
      </c>
      <c r="D21" s="829"/>
      <c r="E21" s="830"/>
      <c r="F21" s="830"/>
      <c r="G21" s="830"/>
      <c r="H21" s="830"/>
      <c r="I21" s="830"/>
      <c r="J21" s="830"/>
      <c r="K21" s="830"/>
      <c r="L21" s="830"/>
      <c r="M21" s="830"/>
      <c r="N21" s="58"/>
      <c r="O21" s="58" t="s">
        <v>116</v>
      </c>
      <c r="P21" s="59" t="s">
        <v>117</v>
      </c>
      <c r="Q21" s="831"/>
      <c r="R21" s="831"/>
      <c r="S21" s="67" t="s">
        <v>143</v>
      </c>
      <c r="T21" s="324"/>
      <c r="U21" s="88"/>
      <c r="V21" s="88"/>
      <c r="W21" s="664">
        <f t="shared" si="2"/>
        <v>0</v>
      </c>
      <c r="X21" s="664"/>
      <c r="Y21" s="664"/>
      <c r="Z21" s="665"/>
      <c r="AB21" s="832">
        <v>0</v>
      </c>
      <c r="AC21" s="833"/>
      <c r="AD21" s="834"/>
      <c r="AF21" s="832">
        <f t="shared" si="0"/>
        <v>0</v>
      </c>
      <c r="AG21" s="833"/>
      <c r="AH21" s="834"/>
      <c r="AK21" s="325"/>
    </row>
    <row r="22" spans="3:37" s="51" customFormat="1" ht="16" customHeight="1" x14ac:dyDescent="0.15">
      <c r="C22" s="828">
        <f t="shared" si="1"/>
        <v>12</v>
      </c>
      <c r="D22" s="829"/>
      <c r="E22" s="830"/>
      <c r="F22" s="830"/>
      <c r="G22" s="830"/>
      <c r="H22" s="830"/>
      <c r="I22" s="830"/>
      <c r="J22" s="830"/>
      <c r="K22" s="830"/>
      <c r="L22" s="830"/>
      <c r="M22" s="830"/>
      <c r="N22" s="58"/>
      <c r="O22" s="58" t="s">
        <v>116</v>
      </c>
      <c r="P22" s="59" t="s">
        <v>117</v>
      </c>
      <c r="Q22" s="831"/>
      <c r="R22" s="831"/>
      <c r="S22" s="67" t="s">
        <v>143</v>
      </c>
      <c r="T22" s="324"/>
      <c r="U22" s="88"/>
      <c r="V22" s="88"/>
      <c r="W22" s="664">
        <f t="shared" si="2"/>
        <v>0</v>
      </c>
      <c r="X22" s="664"/>
      <c r="Y22" s="664"/>
      <c r="Z22" s="665"/>
      <c r="AB22" s="832">
        <v>0</v>
      </c>
      <c r="AC22" s="833"/>
      <c r="AD22" s="834"/>
      <c r="AF22" s="832">
        <f t="shared" si="0"/>
        <v>0</v>
      </c>
      <c r="AG22" s="833"/>
      <c r="AH22" s="834"/>
      <c r="AK22" s="325"/>
    </row>
    <row r="23" spans="3:37" s="51" customFormat="1" ht="16" customHeight="1" x14ac:dyDescent="0.15">
      <c r="C23" s="828">
        <f t="shared" si="1"/>
        <v>13</v>
      </c>
      <c r="D23" s="829"/>
      <c r="E23" s="830"/>
      <c r="F23" s="830"/>
      <c r="G23" s="830"/>
      <c r="H23" s="830"/>
      <c r="I23" s="830"/>
      <c r="J23" s="830"/>
      <c r="K23" s="830"/>
      <c r="L23" s="830"/>
      <c r="M23" s="830"/>
      <c r="N23" s="58"/>
      <c r="O23" s="58" t="s">
        <v>116</v>
      </c>
      <c r="P23" s="59" t="s">
        <v>117</v>
      </c>
      <c r="Q23" s="831"/>
      <c r="R23" s="831"/>
      <c r="S23" s="67" t="s">
        <v>143</v>
      </c>
      <c r="T23" s="324"/>
      <c r="U23" s="88"/>
      <c r="V23" s="88"/>
      <c r="W23" s="664">
        <f t="shared" si="2"/>
        <v>0</v>
      </c>
      <c r="X23" s="664"/>
      <c r="Y23" s="664"/>
      <c r="Z23" s="665"/>
      <c r="AB23" s="832">
        <v>0</v>
      </c>
      <c r="AC23" s="833"/>
      <c r="AD23" s="834"/>
      <c r="AF23" s="832">
        <f t="shared" si="0"/>
        <v>0</v>
      </c>
      <c r="AG23" s="833"/>
      <c r="AH23" s="834"/>
      <c r="AK23" s="325"/>
    </row>
    <row r="24" spans="3:37" s="51" customFormat="1" ht="16" customHeight="1" x14ac:dyDescent="0.15">
      <c r="C24" s="828">
        <f t="shared" si="1"/>
        <v>14</v>
      </c>
      <c r="D24" s="829"/>
      <c r="E24" s="830"/>
      <c r="F24" s="830"/>
      <c r="G24" s="830"/>
      <c r="H24" s="830"/>
      <c r="I24" s="830"/>
      <c r="J24" s="830"/>
      <c r="K24" s="830"/>
      <c r="L24" s="830"/>
      <c r="M24" s="830"/>
      <c r="N24" s="58"/>
      <c r="O24" s="58" t="s">
        <v>116</v>
      </c>
      <c r="P24" s="59" t="s">
        <v>117</v>
      </c>
      <c r="Q24" s="831"/>
      <c r="R24" s="831"/>
      <c r="S24" s="67" t="s">
        <v>143</v>
      </c>
      <c r="T24" s="324"/>
      <c r="U24" s="88"/>
      <c r="V24" s="88"/>
      <c r="W24" s="664">
        <f t="shared" si="2"/>
        <v>0</v>
      </c>
      <c r="X24" s="664"/>
      <c r="Y24" s="664"/>
      <c r="Z24" s="665"/>
      <c r="AB24" s="832">
        <v>0</v>
      </c>
      <c r="AC24" s="833"/>
      <c r="AD24" s="834"/>
      <c r="AF24" s="832">
        <f t="shared" si="0"/>
        <v>0</v>
      </c>
      <c r="AG24" s="833"/>
      <c r="AH24" s="834"/>
      <c r="AK24" s="325"/>
    </row>
    <row r="25" spans="3:37" s="51" customFormat="1" ht="16" customHeight="1" x14ac:dyDescent="0.15">
      <c r="C25" s="828">
        <f t="shared" si="1"/>
        <v>15</v>
      </c>
      <c r="D25" s="829"/>
      <c r="E25" s="830"/>
      <c r="F25" s="830"/>
      <c r="G25" s="830"/>
      <c r="H25" s="830"/>
      <c r="I25" s="830"/>
      <c r="J25" s="830"/>
      <c r="K25" s="830"/>
      <c r="L25" s="830"/>
      <c r="M25" s="830"/>
      <c r="N25" s="58"/>
      <c r="O25" s="58" t="s">
        <v>116</v>
      </c>
      <c r="P25" s="59" t="s">
        <v>117</v>
      </c>
      <c r="Q25" s="831"/>
      <c r="R25" s="831"/>
      <c r="S25" s="67" t="s">
        <v>143</v>
      </c>
      <c r="T25" s="324"/>
      <c r="U25" s="88"/>
      <c r="V25" s="88"/>
      <c r="W25" s="664">
        <f t="shared" si="2"/>
        <v>0</v>
      </c>
      <c r="X25" s="664"/>
      <c r="Y25" s="664"/>
      <c r="Z25" s="665"/>
      <c r="AB25" s="832">
        <v>0</v>
      </c>
      <c r="AC25" s="833"/>
      <c r="AD25" s="834"/>
      <c r="AF25" s="832">
        <f t="shared" si="0"/>
        <v>0</v>
      </c>
      <c r="AG25" s="833"/>
      <c r="AH25" s="834"/>
      <c r="AK25" s="325"/>
    </row>
    <row r="26" spans="3:37" s="51" customFormat="1" ht="16" customHeight="1" x14ac:dyDescent="0.15">
      <c r="C26" s="828">
        <f t="shared" si="1"/>
        <v>16</v>
      </c>
      <c r="D26" s="829"/>
      <c r="E26" s="830"/>
      <c r="F26" s="830"/>
      <c r="G26" s="830"/>
      <c r="H26" s="830"/>
      <c r="I26" s="830"/>
      <c r="J26" s="830"/>
      <c r="K26" s="830"/>
      <c r="L26" s="830"/>
      <c r="M26" s="830"/>
      <c r="N26" s="58"/>
      <c r="O26" s="58" t="s">
        <v>116</v>
      </c>
      <c r="P26" s="59" t="s">
        <v>117</v>
      </c>
      <c r="Q26" s="831"/>
      <c r="R26" s="831"/>
      <c r="S26" s="67" t="s">
        <v>143</v>
      </c>
      <c r="T26" s="324"/>
      <c r="U26" s="88"/>
      <c r="V26" s="88"/>
      <c r="W26" s="664">
        <f t="shared" si="2"/>
        <v>0</v>
      </c>
      <c r="X26" s="664"/>
      <c r="Y26" s="664"/>
      <c r="Z26" s="665"/>
      <c r="AB26" s="832">
        <v>0</v>
      </c>
      <c r="AC26" s="833"/>
      <c r="AD26" s="834"/>
      <c r="AF26" s="832">
        <f t="shared" si="0"/>
        <v>0</v>
      </c>
      <c r="AG26" s="833"/>
      <c r="AH26" s="834"/>
      <c r="AK26" s="325"/>
    </row>
    <row r="27" spans="3:37" s="51" customFormat="1" ht="16" customHeight="1" x14ac:dyDescent="0.15">
      <c r="C27" s="828">
        <f t="shared" si="1"/>
        <v>17</v>
      </c>
      <c r="D27" s="829"/>
      <c r="E27" s="830"/>
      <c r="F27" s="830"/>
      <c r="G27" s="830"/>
      <c r="H27" s="830"/>
      <c r="I27" s="830"/>
      <c r="J27" s="830"/>
      <c r="K27" s="830"/>
      <c r="L27" s="830"/>
      <c r="M27" s="830"/>
      <c r="N27" s="58"/>
      <c r="O27" s="58" t="s">
        <v>116</v>
      </c>
      <c r="P27" s="59" t="s">
        <v>117</v>
      </c>
      <c r="Q27" s="831"/>
      <c r="R27" s="831"/>
      <c r="S27" s="67" t="s">
        <v>143</v>
      </c>
      <c r="T27" s="324"/>
      <c r="U27" s="88"/>
      <c r="V27" s="88"/>
      <c r="W27" s="664">
        <f t="shared" si="2"/>
        <v>0</v>
      </c>
      <c r="X27" s="664"/>
      <c r="Y27" s="664"/>
      <c r="Z27" s="665"/>
      <c r="AB27" s="832">
        <v>0</v>
      </c>
      <c r="AC27" s="833"/>
      <c r="AD27" s="834"/>
      <c r="AF27" s="832">
        <f t="shared" si="0"/>
        <v>0</v>
      </c>
      <c r="AG27" s="833"/>
      <c r="AH27" s="834"/>
      <c r="AK27" s="325"/>
    </row>
    <row r="28" spans="3:37" s="51" customFormat="1" ht="16" customHeight="1" x14ac:dyDescent="0.15">
      <c r="C28" s="828">
        <f t="shared" si="1"/>
        <v>18</v>
      </c>
      <c r="D28" s="829"/>
      <c r="E28" s="830"/>
      <c r="F28" s="830"/>
      <c r="G28" s="830"/>
      <c r="H28" s="830"/>
      <c r="I28" s="830"/>
      <c r="J28" s="830"/>
      <c r="K28" s="830"/>
      <c r="L28" s="830"/>
      <c r="M28" s="830"/>
      <c r="N28" s="58"/>
      <c r="O28" s="58" t="s">
        <v>116</v>
      </c>
      <c r="P28" s="59" t="s">
        <v>117</v>
      </c>
      <c r="Q28" s="831"/>
      <c r="R28" s="831"/>
      <c r="S28" s="67" t="s">
        <v>143</v>
      </c>
      <c r="T28" s="324"/>
      <c r="U28" s="88"/>
      <c r="V28" s="88"/>
      <c r="W28" s="664">
        <f t="shared" si="2"/>
        <v>0</v>
      </c>
      <c r="X28" s="664"/>
      <c r="Y28" s="664"/>
      <c r="Z28" s="665"/>
      <c r="AB28" s="832">
        <v>0</v>
      </c>
      <c r="AC28" s="833"/>
      <c r="AD28" s="834"/>
      <c r="AF28" s="832">
        <f t="shared" si="0"/>
        <v>0</v>
      </c>
      <c r="AG28" s="833"/>
      <c r="AH28" s="834"/>
      <c r="AK28" s="325"/>
    </row>
    <row r="29" spans="3:37" s="51" customFormat="1" ht="16" customHeight="1" x14ac:dyDescent="0.15">
      <c r="C29" s="828">
        <f t="shared" si="1"/>
        <v>19</v>
      </c>
      <c r="D29" s="829"/>
      <c r="E29" s="830"/>
      <c r="F29" s="830"/>
      <c r="G29" s="830"/>
      <c r="H29" s="830"/>
      <c r="I29" s="830"/>
      <c r="J29" s="830"/>
      <c r="K29" s="830"/>
      <c r="L29" s="830"/>
      <c r="M29" s="830"/>
      <c r="N29" s="58"/>
      <c r="O29" s="58" t="s">
        <v>116</v>
      </c>
      <c r="P29" s="59" t="s">
        <v>117</v>
      </c>
      <c r="Q29" s="831"/>
      <c r="R29" s="831"/>
      <c r="S29" s="67" t="s">
        <v>143</v>
      </c>
      <c r="T29" s="324"/>
      <c r="U29" s="88"/>
      <c r="V29" s="88"/>
      <c r="W29" s="664">
        <f t="shared" si="2"/>
        <v>0</v>
      </c>
      <c r="X29" s="664"/>
      <c r="Y29" s="664"/>
      <c r="Z29" s="665"/>
      <c r="AB29" s="832">
        <v>0</v>
      </c>
      <c r="AC29" s="833"/>
      <c r="AD29" s="834"/>
      <c r="AF29" s="832">
        <f t="shared" si="0"/>
        <v>0</v>
      </c>
      <c r="AG29" s="833"/>
      <c r="AH29" s="834"/>
      <c r="AK29" s="325"/>
    </row>
    <row r="30" spans="3:37" s="51" customFormat="1" ht="16" customHeight="1" x14ac:dyDescent="0.15">
      <c r="C30" s="828">
        <f t="shared" si="1"/>
        <v>20</v>
      </c>
      <c r="D30" s="829"/>
      <c r="E30" s="830"/>
      <c r="F30" s="830"/>
      <c r="G30" s="830"/>
      <c r="H30" s="830"/>
      <c r="I30" s="830"/>
      <c r="J30" s="830"/>
      <c r="K30" s="830"/>
      <c r="L30" s="830"/>
      <c r="M30" s="830"/>
      <c r="N30" s="58"/>
      <c r="O30" s="58" t="s">
        <v>116</v>
      </c>
      <c r="P30" s="59" t="s">
        <v>117</v>
      </c>
      <c r="Q30" s="831"/>
      <c r="R30" s="831"/>
      <c r="S30" s="67" t="s">
        <v>143</v>
      </c>
      <c r="T30" s="324"/>
      <c r="U30" s="88"/>
      <c r="V30" s="88"/>
      <c r="W30" s="664">
        <f t="shared" si="2"/>
        <v>0</v>
      </c>
      <c r="X30" s="664"/>
      <c r="Y30" s="664"/>
      <c r="Z30" s="665"/>
      <c r="AB30" s="832">
        <v>0</v>
      </c>
      <c r="AC30" s="833"/>
      <c r="AD30" s="834"/>
      <c r="AF30" s="832">
        <f t="shared" si="0"/>
        <v>0</v>
      </c>
      <c r="AG30" s="833"/>
      <c r="AH30" s="834"/>
      <c r="AK30" s="325"/>
    </row>
    <row r="31" spans="3:37" s="51" customFormat="1" ht="16" customHeight="1" x14ac:dyDescent="0.15">
      <c r="C31" s="828">
        <f t="shared" si="1"/>
        <v>21</v>
      </c>
      <c r="D31" s="829"/>
      <c r="E31" s="830"/>
      <c r="F31" s="830"/>
      <c r="G31" s="830"/>
      <c r="H31" s="830"/>
      <c r="I31" s="830"/>
      <c r="J31" s="830"/>
      <c r="K31" s="830"/>
      <c r="L31" s="830"/>
      <c r="M31" s="830"/>
      <c r="N31" s="58"/>
      <c r="O31" s="58" t="s">
        <v>116</v>
      </c>
      <c r="P31" s="59" t="s">
        <v>117</v>
      </c>
      <c r="Q31" s="831"/>
      <c r="R31" s="831"/>
      <c r="S31" s="67" t="s">
        <v>143</v>
      </c>
      <c r="T31" s="324"/>
      <c r="U31" s="88"/>
      <c r="V31" s="88"/>
      <c r="W31" s="664">
        <f t="shared" si="2"/>
        <v>0</v>
      </c>
      <c r="X31" s="664"/>
      <c r="Y31" s="664"/>
      <c r="Z31" s="665"/>
      <c r="AB31" s="832">
        <v>0</v>
      </c>
      <c r="AC31" s="833"/>
      <c r="AD31" s="834"/>
      <c r="AF31" s="832">
        <f t="shared" si="0"/>
        <v>0</v>
      </c>
      <c r="AG31" s="833"/>
      <c r="AH31" s="834"/>
      <c r="AK31" s="325"/>
    </row>
    <row r="32" spans="3:37" s="51" customFormat="1" ht="16" customHeight="1" x14ac:dyDescent="0.15">
      <c r="C32" s="828">
        <f t="shared" si="1"/>
        <v>22</v>
      </c>
      <c r="D32" s="829"/>
      <c r="E32" s="830"/>
      <c r="F32" s="830"/>
      <c r="G32" s="830"/>
      <c r="H32" s="830"/>
      <c r="I32" s="830"/>
      <c r="J32" s="830"/>
      <c r="K32" s="830"/>
      <c r="L32" s="830"/>
      <c r="M32" s="830"/>
      <c r="N32" s="58"/>
      <c r="O32" s="58" t="s">
        <v>116</v>
      </c>
      <c r="P32" s="59" t="s">
        <v>117</v>
      </c>
      <c r="Q32" s="831"/>
      <c r="R32" s="831"/>
      <c r="S32" s="67" t="s">
        <v>143</v>
      </c>
      <c r="T32" s="324"/>
      <c r="U32" s="88"/>
      <c r="V32" s="88"/>
      <c r="W32" s="664">
        <f t="shared" si="2"/>
        <v>0</v>
      </c>
      <c r="X32" s="664"/>
      <c r="Y32" s="664"/>
      <c r="Z32" s="665"/>
      <c r="AB32" s="832">
        <v>0</v>
      </c>
      <c r="AC32" s="833"/>
      <c r="AD32" s="834"/>
      <c r="AF32" s="832">
        <f t="shared" si="0"/>
        <v>0</v>
      </c>
      <c r="AG32" s="833"/>
      <c r="AH32" s="834"/>
      <c r="AK32" s="325"/>
    </row>
    <row r="33" spans="3:37" s="51" customFormat="1" ht="16" customHeight="1" x14ac:dyDescent="0.15">
      <c r="C33" s="828">
        <f t="shared" si="1"/>
        <v>23</v>
      </c>
      <c r="D33" s="829"/>
      <c r="E33" s="830"/>
      <c r="F33" s="830"/>
      <c r="G33" s="830"/>
      <c r="H33" s="830"/>
      <c r="I33" s="830"/>
      <c r="J33" s="830"/>
      <c r="K33" s="830"/>
      <c r="L33" s="830"/>
      <c r="M33" s="830"/>
      <c r="N33" s="58"/>
      <c r="O33" s="58" t="s">
        <v>116</v>
      </c>
      <c r="P33" s="59" t="s">
        <v>117</v>
      </c>
      <c r="Q33" s="831"/>
      <c r="R33" s="831"/>
      <c r="S33" s="67" t="s">
        <v>143</v>
      </c>
      <c r="T33" s="324"/>
      <c r="U33" s="88"/>
      <c r="V33" s="88"/>
      <c r="W33" s="664">
        <f t="shared" si="2"/>
        <v>0</v>
      </c>
      <c r="X33" s="664"/>
      <c r="Y33" s="664"/>
      <c r="Z33" s="665"/>
      <c r="AB33" s="832">
        <v>0</v>
      </c>
      <c r="AC33" s="833"/>
      <c r="AD33" s="834"/>
      <c r="AF33" s="832">
        <f t="shared" si="0"/>
        <v>0</v>
      </c>
      <c r="AG33" s="833"/>
      <c r="AH33" s="834"/>
      <c r="AK33" s="325"/>
    </row>
    <row r="34" spans="3:37" s="51" customFormat="1" ht="16" customHeight="1" x14ac:dyDescent="0.15">
      <c r="C34" s="828">
        <f t="shared" si="1"/>
        <v>24</v>
      </c>
      <c r="D34" s="829"/>
      <c r="E34" s="830"/>
      <c r="F34" s="830"/>
      <c r="G34" s="830"/>
      <c r="H34" s="830"/>
      <c r="I34" s="830"/>
      <c r="J34" s="830"/>
      <c r="K34" s="830"/>
      <c r="L34" s="830"/>
      <c r="M34" s="830"/>
      <c r="N34" s="58"/>
      <c r="O34" s="58" t="s">
        <v>116</v>
      </c>
      <c r="P34" s="59" t="s">
        <v>117</v>
      </c>
      <c r="Q34" s="831"/>
      <c r="R34" s="831"/>
      <c r="S34" s="67" t="s">
        <v>143</v>
      </c>
      <c r="T34" s="324"/>
      <c r="U34" s="88"/>
      <c r="V34" s="88"/>
      <c r="W34" s="664">
        <f t="shared" si="2"/>
        <v>0</v>
      </c>
      <c r="X34" s="664"/>
      <c r="Y34" s="664"/>
      <c r="Z34" s="665"/>
      <c r="AB34" s="832">
        <v>0</v>
      </c>
      <c r="AC34" s="833"/>
      <c r="AD34" s="834"/>
      <c r="AF34" s="832">
        <f t="shared" si="0"/>
        <v>0</v>
      </c>
      <c r="AG34" s="833"/>
      <c r="AH34" s="834"/>
      <c r="AK34" s="325"/>
    </row>
    <row r="35" spans="3:37" s="51" customFormat="1" ht="16" customHeight="1" x14ac:dyDescent="0.15">
      <c r="C35" s="828">
        <f t="shared" si="1"/>
        <v>25</v>
      </c>
      <c r="D35" s="829"/>
      <c r="E35" s="830"/>
      <c r="F35" s="830"/>
      <c r="G35" s="830"/>
      <c r="H35" s="830"/>
      <c r="I35" s="830"/>
      <c r="J35" s="830"/>
      <c r="K35" s="830"/>
      <c r="L35" s="830"/>
      <c r="M35" s="830"/>
      <c r="N35" s="58"/>
      <c r="O35" s="58" t="s">
        <v>116</v>
      </c>
      <c r="P35" s="59" t="s">
        <v>117</v>
      </c>
      <c r="Q35" s="831"/>
      <c r="R35" s="831"/>
      <c r="S35" s="67" t="s">
        <v>143</v>
      </c>
      <c r="T35" s="324"/>
      <c r="U35" s="88"/>
      <c r="V35" s="88"/>
      <c r="W35" s="664">
        <f t="shared" si="2"/>
        <v>0</v>
      </c>
      <c r="X35" s="664"/>
      <c r="Y35" s="664"/>
      <c r="Z35" s="665"/>
      <c r="AB35" s="832">
        <v>0</v>
      </c>
      <c r="AC35" s="833"/>
      <c r="AD35" s="834"/>
      <c r="AF35" s="832">
        <f t="shared" si="0"/>
        <v>0</v>
      </c>
      <c r="AG35" s="833"/>
      <c r="AH35" s="834"/>
      <c r="AK35" s="325"/>
    </row>
    <row r="36" spans="3:37" s="51" customFormat="1" ht="16" customHeight="1" x14ac:dyDescent="0.15">
      <c r="C36" s="828">
        <f t="shared" si="1"/>
        <v>26</v>
      </c>
      <c r="D36" s="829"/>
      <c r="E36" s="830"/>
      <c r="F36" s="830"/>
      <c r="G36" s="830"/>
      <c r="H36" s="830"/>
      <c r="I36" s="830"/>
      <c r="J36" s="830"/>
      <c r="K36" s="830"/>
      <c r="L36" s="830"/>
      <c r="M36" s="830"/>
      <c r="N36" s="58"/>
      <c r="O36" s="58" t="s">
        <v>116</v>
      </c>
      <c r="P36" s="59" t="s">
        <v>117</v>
      </c>
      <c r="Q36" s="831"/>
      <c r="R36" s="831"/>
      <c r="S36" s="67" t="s">
        <v>143</v>
      </c>
      <c r="T36" s="324"/>
      <c r="U36" s="88"/>
      <c r="V36" s="88"/>
      <c r="W36" s="664">
        <f t="shared" si="2"/>
        <v>0</v>
      </c>
      <c r="X36" s="664"/>
      <c r="Y36" s="664"/>
      <c r="Z36" s="665"/>
      <c r="AB36" s="832">
        <v>0</v>
      </c>
      <c r="AC36" s="833"/>
      <c r="AD36" s="834"/>
      <c r="AF36" s="832">
        <f t="shared" si="0"/>
        <v>0</v>
      </c>
      <c r="AG36" s="833"/>
      <c r="AH36" s="834"/>
      <c r="AK36" s="325"/>
    </row>
    <row r="37" spans="3:37" s="51" customFormat="1" ht="16" customHeight="1" x14ac:dyDescent="0.15">
      <c r="C37" s="828">
        <f t="shared" si="1"/>
        <v>27</v>
      </c>
      <c r="D37" s="829"/>
      <c r="E37" s="830"/>
      <c r="F37" s="830"/>
      <c r="G37" s="830"/>
      <c r="H37" s="830"/>
      <c r="I37" s="830"/>
      <c r="J37" s="830"/>
      <c r="K37" s="830"/>
      <c r="L37" s="830"/>
      <c r="M37" s="830"/>
      <c r="N37" s="58"/>
      <c r="O37" s="58" t="s">
        <v>116</v>
      </c>
      <c r="P37" s="59" t="s">
        <v>117</v>
      </c>
      <c r="Q37" s="831"/>
      <c r="R37" s="831"/>
      <c r="S37" s="67" t="s">
        <v>143</v>
      </c>
      <c r="T37" s="324"/>
      <c r="U37" s="88"/>
      <c r="V37" s="88"/>
      <c r="W37" s="664">
        <f t="shared" si="2"/>
        <v>0</v>
      </c>
      <c r="X37" s="664"/>
      <c r="Y37" s="664"/>
      <c r="Z37" s="665"/>
      <c r="AB37" s="832">
        <v>0</v>
      </c>
      <c r="AC37" s="833"/>
      <c r="AD37" s="834"/>
      <c r="AF37" s="832">
        <f t="shared" si="0"/>
        <v>0</v>
      </c>
      <c r="AG37" s="833"/>
      <c r="AH37" s="834"/>
      <c r="AK37" s="325"/>
    </row>
    <row r="38" spans="3:37" s="51" customFormat="1" ht="16" customHeight="1" x14ac:dyDescent="0.15">
      <c r="C38" s="828">
        <f t="shared" si="1"/>
        <v>28</v>
      </c>
      <c r="D38" s="829"/>
      <c r="E38" s="830"/>
      <c r="F38" s="830"/>
      <c r="G38" s="830"/>
      <c r="H38" s="830"/>
      <c r="I38" s="830"/>
      <c r="J38" s="830"/>
      <c r="K38" s="830"/>
      <c r="L38" s="830"/>
      <c r="M38" s="830"/>
      <c r="N38" s="58"/>
      <c r="O38" s="58" t="s">
        <v>116</v>
      </c>
      <c r="P38" s="59" t="s">
        <v>117</v>
      </c>
      <c r="Q38" s="831"/>
      <c r="R38" s="831"/>
      <c r="S38" s="67" t="s">
        <v>143</v>
      </c>
      <c r="T38" s="324"/>
      <c r="U38" s="88"/>
      <c r="V38" s="88"/>
      <c r="W38" s="664">
        <f t="shared" si="2"/>
        <v>0</v>
      </c>
      <c r="X38" s="664"/>
      <c r="Y38" s="664"/>
      <c r="Z38" s="665"/>
      <c r="AB38" s="832">
        <v>0</v>
      </c>
      <c r="AC38" s="833"/>
      <c r="AD38" s="834"/>
      <c r="AF38" s="832">
        <f t="shared" si="0"/>
        <v>0</v>
      </c>
      <c r="AG38" s="833"/>
      <c r="AH38" s="834"/>
      <c r="AK38" s="325"/>
    </row>
    <row r="39" spans="3:37" s="51" customFormat="1" ht="16" customHeight="1" x14ac:dyDescent="0.15">
      <c r="C39" s="828">
        <f t="shared" si="1"/>
        <v>29</v>
      </c>
      <c r="D39" s="829"/>
      <c r="E39" s="830"/>
      <c r="F39" s="830"/>
      <c r="G39" s="830"/>
      <c r="H39" s="830"/>
      <c r="I39" s="830"/>
      <c r="J39" s="830"/>
      <c r="K39" s="830"/>
      <c r="L39" s="830"/>
      <c r="M39" s="830"/>
      <c r="N39" s="58"/>
      <c r="O39" s="58" t="s">
        <v>116</v>
      </c>
      <c r="P39" s="59" t="s">
        <v>117</v>
      </c>
      <c r="Q39" s="831"/>
      <c r="R39" s="831"/>
      <c r="S39" s="67" t="s">
        <v>143</v>
      </c>
      <c r="T39" s="324"/>
      <c r="U39" s="88"/>
      <c r="V39" s="88"/>
      <c r="W39" s="664">
        <f t="shared" si="2"/>
        <v>0</v>
      </c>
      <c r="X39" s="664"/>
      <c r="Y39" s="664"/>
      <c r="Z39" s="665"/>
      <c r="AB39" s="832">
        <v>0</v>
      </c>
      <c r="AC39" s="833"/>
      <c r="AD39" s="834"/>
      <c r="AF39" s="832">
        <f t="shared" si="0"/>
        <v>0</v>
      </c>
      <c r="AG39" s="833"/>
      <c r="AH39" s="834"/>
      <c r="AK39" s="325"/>
    </row>
    <row r="40" spans="3:37" s="51" customFormat="1" ht="16" customHeight="1" x14ac:dyDescent="0.15">
      <c r="C40" s="828">
        <f t="shared" si="1"/>
        <v>30</v>
      </c>
      <c r="D40" s="829"/>
      <c r="E40" s="830"/>
      <c r="F40" s="830"/>
      <c r="G40" s="830"/>
      <c r="H40" s="830"/>
      <c r="I40" s="830"/>
      <c r="J40" s="830"/>
      <c r="K40" s="830"/>
      <c r="L40" s="830"/>
      <c r="M40" s="830"/>
      <c r="N40" s="58"/>
      <c r="O40" s="58" t="s">
        <v>116</v>
      </c>
      <c r="P40" s="59" t="s">
        <v>117</v>
      </c>
      <c r="Q40" s="831"/>
      <c r="R40" s="831"/>
      <c r="S40" s="67" t="s">
        <v>143</v>
      </c>
      <c r="T40" s="324"/>
      <c r="U40" s="88"/>
      <c r="V40" s="88"/>
      <c r="W40" s="664">
        <f t="shared" si="2"/>
        <v>0</v>
      </c>
      <c r="X40" s="664"/>
      <c r="Y40" s="664"/>
      <c r="Z40" s="665"/>
      <c r="AB40" s="832">
        <v>0</v>
      </c>
      <c r="AC40" s="833"/>
      <c r="AD40" s="834"/>
      <c r="AF40" s="832">
        <f t="shared" si="0"/>
        <v>0</v>
      </c>
      <c r="AG40" s="833"/>
      <c r="AH40" s="834"/>
      <c r="AK40" s="325"/>
    </row>
    <row r="41" spans="3:37" s="51" customFormat="1" ht="16" customHeight="1" x14ac:dyDescent="0.15">
      <c r="C41" s="828">
        <f t="shared" si="1"/>
        <v>31</v>
      </c>
      <c r="D41" s="829"/>
      <c r="E41" s="830"/>
      <c r="F41" s="830"/>
      <c r="G41" s="830"/>
      <c r="H41" s="830"/>
      <c r="I41" s="830"/>
      <c r="J41" s="830"/>
      <c r="K41" s="830"/>
      <c r="L41" s="830"/>
      <c r="M41" s="830"/>
      <c r="N41" s="58"/>
      <c r="O41" s="58" t="s">
        <v>116</v>
      </c>
      <c r="P41" s="59" t="s">
        <v>117</v>
      </c>
      <c r="Q41" s="831"/>
      <c r="R41" s="831"/>
      <c r="S41" s="67" t="s">
        <v>143</v>
      </c>
      <c r="T41" s="324"/>
      <c r="U41" s="88"/>
      <c r="V41" s="88"/>
      <c r="W41" s="664">
        <f t="shared" si="2"/>
        <v>0</v>
      </c>
      <c r="X41" s="664"/>
      <c r="Y41" s="664"/>
      <c r="Z41" s="665"/>
      <c r="AB41" s="832">
        <v>0</v>
      </c>
      <c r="AC41" s="833"/>
      <c r="AD41" s="834"/>
      <c r="AF41" s="832">
        <f t="shared" si="0"/>
        <v>0</v>
      </c>
      <c r="AG41" s="833"/>
      <c r="AH41" s="834"/>
      <c r="AK41" s="325"/>
    </row>
    <row r="42" spans="3:37" s="51" customFormat="1" ht="16" customHeight="1" x14ac:dyDescent="0.15">
      <c r="C42" s="828">
        <f t="shared" si="1"/>
        <v>32</v>
      </c>
      <c r="D42" s="829"/>
      <c r="E42" s="830"/>
      <c r="F42" s="830"/>
      <c r="G42" s="830"/>
      <c r="H42" s="830"/>
      <c r="I42" s="830"/>
      <c r="J42" s="830"/>
      <c r="K42" s="830"/>
      <c r="L42" s="830"/>
      <c r="M42" s="830"/>
      <c r="N42" s="58"/>
      <c r="O42" s="58" t="s">
        <v>116</v>
      </c>
      <c r="P42" s="59" t="s">
        <v>117</v>
      </c>
      <c r="Q42" s="831"/>
      <c r="R42" s="831"/>
      <c r="S42" s="67" t="s">
        <v>143</v>
      </c>
      <c r="T42" s="324"/>
      <c r="U42" s="74"/>
      <c r="V42" s="74"/>
      <c r="W42" s="664">
        <f t="shared" si="2"/>
        <v>0</v>
      </c>
      <c r="X42" s="664"/>
      <c r="Y42" s="664"/>
      <c r="Z42" s="665"/>
      <c r="AB42" s="832">
        <v>0</v>
      </c>
      <c r="AC42" s="833"/>
      <c r="AD42" s="834"/>
      <c r="AF42" s="832">
        <f t="shared" si="0"/>
        <v>0</v>
      </c>
      <c r="AG42" s="833"/>
      <c r="AH42" s="834"/>
      <c r="AK42" s="325"/>
    </row>
    <row r="43" spans="3:37" s="51" customFormat="1" ht="16" customHeight="1" x14ac:dyDescent="0.15">
      <c r="C43" s="828">
        <f t="shared" si="1"/>
        <v>33</v>
      </c>
      <c r="D43" s="829"/>
      <c r="E43" s="830"/>
      <c r="F43" s="830"/>
      <c r="G43" s="830"/>
      <c r="H43" s="830"/>
      <c r="I43" s="830"/>
      <c r="J43" s="830"/>
      <c r="K43" s="830"/>
      <c r="L43" s="830"/>
      <c r="M43" s="830"/>
      <c r="N43" s="58"/>
      <c r="O43" s="58" t="s">
        <v>116</v>
      </c>
      <c r="P43" s="59" t="s">
        <v>117</v>
      </c>
      <c r="Q43" s="831"/>
      <c r="R43" s="831"/>
      <c r="S43" s="67" t="s">
        <v>143</v>
      </c>
      <c r="T43" s="324"/>
      <c r="U43" s="74"/>
      <c r="V43" s="74"/>
      <c r="W43" s="664">
        <f t="shared" si="2"/>
        <v>0</v>
      </c>
      <c r="X43" s="664"/>
      <c r="Y43" s="664"/>
      <c r="Z43" s="665"/>
      <c r="AB43" s="832">
        <v>0</v>
      </c>
      <c r="AC43" s="833"/>
      <c r="AD43" s="834"/>
      <c r="AF43" s="832">
        <f t="shared" si="0"/>
        <v>0</v>
      </c>
      <c r="AG43" s="833"/>
      <c r="AH43" s="834"/>
      <c r="AK43" s="325"/>
    </row>
    <row r="44" spans="3:37" s="51" customFormat="1" ht="16" customHeight="1" x14ac:dyDescent="0.15">
      <c r="C44" s="828">
        <f t="shared" si="1"/>
        <v>34</v>
      </c>
      <c r="D44" s="829"/>
      <c r="E44" s="830"/>
      <c r="F44" s="830"/>
      <c r="G44" s="830"/>
      <c r="H44" s="830"/>
      <c r="I44" s="830"/>
      <c r="J44" s="830"/>
      <c r="K44" s="830"/>
      <c r="L44" s="830"/>
      <c r="M44" s="830"/>
      <c r="N44" s="58"/>
      <c r="O44" s="58" t="s">
        <v>116</v>
      </c>
      <c r="P44" s="59" t="s">
        <v>117</v>
      </c>
      <c r="Q44" s="831"/>
      <c r="R44" s="831"/>
      <c r="S44" s="67" t="s">
        <v>143</v>
      </c>
      <c r="T44" s="324"/>
      <c r="U44" s="74"/>
      <c r="V44" s="74"/>
      <c r="W44" s="664">
        <f t="shared" si="2"/>
        <v>0</v>
      </c>
      <c r="X44" s="664"/>
      <c r="Y44" s="664"/>
      <c r="Z44" s="665"/>
      <c r="AB44" s="832">
        <v>0</v>
      </c>
      <c r="AC44" s="833"/>
      <c r="AD44" s="834"/>
      <c r="AF44" s="832">
        <f t="shared" si="0"/>
        <v>0</v>
      </c>
      <c r="AG44" s="833"/>
      <c r="AH44" s="834"/>
      <c r="AK44" s="325"/>
    </row>
    <row r="45" spans="3:37" s="51" customFormat="1" ht="16" customHeight="1" x14ac:dyDescent="0.15">
      <c r="C45" s="828">
        <f t="shared" si="1"/>
        <v>35</v>
      </c>
      <c r="D45" s="829"/>
      <c r="E45" s="830"/>
      <c r="F45" s="830"/>
      <c r="G45" s="830"/>
      <c r="H45" s="830"/>
      <c r="I45" s="830"/>
      <c r="J45" s="830"/>
      <c r="K45" s="830"/>
      <c r="L45" s="830"/>
      <c r="M45" s="830"/>
      <c r="N45" s="58"/>
      <c r="O45" s="58" t="s">
        <v>116</v>
      </c>
      <c r="P45" s="59" t="s">
        <v>117</v>
      </c>
      <c r="Q45" s="831"/>
      <c r="R45" s="831"/>
      <c r="S45" s="67" t="s">
        <v>143</v>
      </c>
      <c r="T45" s="324"/>
      <c r="U45" s="74"/>
      <c r="V45" s="74"/>
      <c r="W45" s="664">
        <f t="shared" si="2"/>
        <v>0</v>
      </c>
      <c r="X45" s="664"/>
      <c r="Y45" s="664"/>
      <c r="Z45" s="665"/>
      <c r="AB45" s="832">
        <v>0</v>
      </c>
      <c r="AC45" s="833"/>
      <c r="AD45" s="834"/>
      <c r="AF45" s="832">
        <f t="shared" si="0"/>
        <v>0</v>
      </c>
      <c r="AG45" s="833"/>
      <c r="AH45" s="834"/>
      <c r="AK45" s="325"/>
    </row>
    <row r="46" spans="3:37" s="51" customFormat="1" ht="16" customHeight="1" x14ac:dyDescent="0.15">
      <c r="C46" s="828">
        <f t="shared" si="1"/>
        <v>36</v>
      </c>
      <c r="D46" s="829"/>
      <c r="E46" s="830"/>
      <c r="F46" s="830"/>
      <c r="G46" s="830"/>
      <c r="H46" s="830"/>
      <c r="I46" s="830"/>
      <c r="J46" s="830"/>
      <c r="K46" s="830"/>
      <c r="L46" s="830"/>
      <c r="M46" s="830"/>
      <c r="N46" s="58"/>
      <c r="O46" s="58" t="s">
        <v>116</v>
      </c>
      <c r="P46" s="59" t="s">
        <v>117</v>
      </c>
      <c r="Q46" s="831"/>
      <c r="R46" s="831"/>
      <c r="S46" s="67" t="s">
        <v>143</v>
      </c>
      <c r="T46" s="324"/>
      <c r="U46" s="74"/>
      <c r="V46" s="74"/>
      <c r="W46" s="664">
        <f t="shared" si="2"/>
        <v>0</v>
      </c>
      <c r="X46" s="664"/>
      <c r="Y46" s="664"/>
      <c r="Z46" s="665"/>
      <c r="AB46" s="832">
        <v>0</v>
      </c>
      <c r="AC46" s="833"/>
      <c r="AD46" s="834"/>
      <c r="AF46" s="832">
        <f t="shared" si="0"/>
        <v>0</v>
      </c>
      <c r="AG46" s="833"/>
      <c r="AH46" s="834"/>
      <c r="AK46" s="325"/>
    </row>
    <row r="47" spans="3:37" s="51" customFormat="1" ht="16" customHeight="1" x14ac:dyDescent="0.15">
      <c r="C47" s="828">
        <f t="shared" si="1"/>
        <v>37</v>
      </c>
      <c r="D47" s="829"/>
      <c r="E47" s="830"/>
      <c r="F47" s="830"/>
      <c r="G47" s="830"/>
      <c r="H47" s="830"/>
      <c r="I47" s="830"/>
      <c r="J47" s="830"/>
      <c r="K47" s="830"/>
      <c r="L47" s="830"/>
      <c r="M47" s="830"/>
      <c r="N47" s="58"/>
      <c r="O47" s="58" t="s">
        <v>116</v>
      </c>
      <c r="P47" s="59" t="s">
        <v>117</v>
      </c>
      <c r="Q47" s="831"/>
      <c r="R47" s="831"/>
      <c r="S47" s="67" t="s">
        <v>143</v>
      </c>
      <c r="T47" s="324"/>
      <c r="U47" s="74"/>
      <c r="V47" s="74"/>
      <c r="W47" s="664">
        <f t="shared" si="2"/>
        <v>0</v>
      </c>
      <c r="X47" s="664"/>
      <c r="Y47" s="664"/>
      <c r="Z47" s="665"/>
      <c r="AB47" s="832">
        <v>0</v>
      </c>
      <c r="AC47" s="833"/>
      <c r="AD47" s="834"/>
      <c r="AF47" s="832">
        <f t="shared" si="0"/>
        <v>0</v>
      </c>
      <c r="AG47" s="833"/>
      <c r="AH47" s="834"/>
      <c r="AK47" s="325"/>
    </row>
    <row r="48" spans="3:37" s="51" customFormat="1" ht="16" customHeight="1" x14ac:dyDescent="0.15">
      <c r="C48" s="828">
        <f t="shared" si="1"/>
        <v>38</v>
      </c>
      <c r="D48" s="829"/>
      <c r="E48" s="830"/>
      <c r="F48" s="830"/>
      <c r="G48" s="830"/>
      <c r="H48" s="830"/>
      <c r="I48" s="830"/>
      <c r="J48" s="830"/>
      <c r="K48" s="830"/>
      <c r="L48" s="830"/>
      <c r="M48" s="830"/>
      <c r="N48" s="58"/>
      <c r="O48" s="58" t="s">
        <v>116</v>
      </c>
      <c r="P48" s="59" t="s">
        <v>117</v>
      </c>
      <c r="Q48" s="831"/>
      <c r="R48" s="831"/>
      <c r="S48" s="67" t="s">
        <v>143</v>
      </c>
      <c r="T48" s="324"/>
      <c r="U48" s="74"/>
      <c r="V48" s="74"/>
      <c r="W48" s="664">
        <f t="shared" si="2"/>
        <v>0</v>
      </c>
      <c r="X48" s="664"/>
      <c r="Y48" s="664"/>
      <c r="Z48" s="665"/>
      <c r="AB48" s="832">
        <v>0</v>
      </c>
      <c r="AC48" s="833"/>
      <c r="AD48" s="834"/>
      <c r="AF48" s="832">
        <f t="shared" si="0"/>
        <v>0</v>
      </c>
      <c r="AG48" s="833"/>
      <c r="AH48" s="834"/>
      <c r="AK48" s="325"/>
    </row>
    <row r="49" spans="3:38" s="51" customFormat="1" ht="16" customHeight="1" x14ac:dyDescent="0.15">
      <c r="C49" s="828">
        <f t="shared" si="1"/>
        <v>39</v>
      </c>
      <c r="D49" s="829"/>
      <c r="E49" s="830"/>
      <c r="F49" s="830"/>
      <c r="G49" s="830"/>
      <c r="H49" s="830"/>
      <c r="I49" s="830"/>
      <c r="J49" s="830"/>
      <c r="K49" s="830"/>
      <c r="L49" s="830"/>
      <c r="M49" s="830"/>
      <c r="N49" s="58"/>
      <c r="O49" s="58" t="s">
        <v>116</v>
      </c>
      <c r="P49" s="59" t="s">
        <v>117</v>
      </c>
      <c r="Q49" s="831"/>
      <c r="R49" s="831"/>
      <c r="S49" s="67" t="s">
        <v>143</v>
      </c>
      <c r="T49" s="324"/>
      <c r="U49" s="74"/>
      <c r="V49" s="74"/>
      <c r="W49" s="664">
        <f t="shared" si="2"/>
        <v>0</v>
      </c>
      <c r="X49" s="664"/>
      <c r="Y49" s="664"/>
      <c r="Z49" s="665"/>
      <c r="AB49" s="832">
        <v>0</v>
      </c>
      <c r="AC49" s="833"/>
      <c r="AD49" s="834"/>
      <c r="AF49" s="832">
        <f t="shared" si="0"/>
        <v>0</v>
      </c>
      <c r="AG49" s="833"/>
      <c r="AH49" s="834"/>
      <c r="AK49" s="325"/>
    </row>
    <row r="50" spans="3:38" s="51" customFormat="1" ht="16" customHeight="1" x14ac:dyDescent="0.15">
      <c r="C50" s="828">
        <f t="shared" si="1"/>
        <v>40</v>
      </c>
      <c r="D50" s="829"/>
      <c r="E50" s="830"/>
      <c r="F50" s="830"/>
      <c r="G50" s="830"/>
      <c r="H50" s="830"/>
      <c r="I50" s="830"/>
      <c r="J50" s="830"/>
      <c r="K50" s="830"/>
      <c r="L50" s="830"/>
      <c r="M50" s="830"/>
      <c r="N50" s="58"/>
      <c r="O50" s="58" t="s">
        <v>116</v>
      </c>
      <c r="P50" s="59" t="s">
        <v>117</v>
      </c>
      <c r="Q50" s="831"/>
      <c r="R50" s="831"/>
      <c r="S50" s="67" t="s">
        <v>143</v>
      </c>
      <c r="T50" s="324"/>
      <c r="U50" s="74"/>
      <c r="V50" s="74"/>
      <c r="W50" s="664">
        <f t="shared" si="2"/>
        <v>0</v>
      </c>
      <c r="X50" s="664"/>
      <c r="Y50" s="664"/>
      <c r="Z50" s="665"/>
      <c r="AB50" s="832">
        <v>0</v>
      </c>
      <c r="AC50" s="833"/>
      <c r="AD50" s="834"/>
      <c r="AF50" s="832">
        <f t="shared" si="0"/>
        <v>0</v>
      </c>
      <c r="AG50" s="833"/>
      <c r="AH50" s="834"/>
      <c r="AK50" s="325"/>
    </row>
    <row r="51" spans="3:38" s="51" customFormat="1" ht="16" customHeight="1" x14ac:dyDescent="0.15">
      <c r="C51" s="828">
        <f t="shared" si="1"/>
        <v>41</v>
      </c>
      <c r="D51" s="829"/>
      <c r="E51" s="830"/>
      <c r="F51" s="830"/>
      <c r="G51" s="830"/>
      <c r="H51" s="830"/>
      <c r="I51" s="830"/>
      <c r="J51" s="830"/>
      <c r="K51" s="830"/>
      <c r="L51" s="830"/>
      <c r="M51" s="830"/>
      <c r="N51" s="58"/>
      <c r="O51" s="58" t="s">
        <v>116</v>
      </c>
      <c r="P51" s="59" t="s">
        <v>117</v>
      </c>
      <c r="Q51" s="831"/>
      <c r="R51" s="831"/>
      <c r="S51" s="67" t="s">
        <v>143</v>
      </c>
      <c r="T51" s="324"/>
      <c r="U51" s="74"/>
      <c r="V51" s="74"/>
      <c r="W51" s="664">
        <f t="shared" si="2"/>
        <v>0</v>
      </c>
      <c r="X51" s="664"/>
      <c r="Y51" s="664"/>
      <c r="Z51" s="665"/>
      <c r="AB51" s="832">
        <v>0</v>
      </c>
      <c r="AC51" s="833"/>
      <c r="AD51" s="834"/>
      <c r="AF51" s="832">
        <f t="shared" si="0"/>
        <v>0</v>
      </c>
      <c r="AG51" s="833"/>
      <c r="AH51" s="834"/>
      <c r="AK51" s="325"/>
    </row>
    <row r="52" spans="3:38" s="51" customFormat="1" ht="16" customHeight="1" x14ac:dyDescent="0.15">
      <c r="C52" s="828">
        <f t="shared" si="1"/>
        <v>42</v>
      </c>
      <c r="D52" s="829"/>
      <c r="E52" s="830"/>
      <c r="F52" s="830"/>
      <c r="G52" s="830"/>
      <c r="H52" s="830"/>
      <c r="I52" s="830"/>
      <c r="J52" s="830"/>
      <c r="K52" s="830"/>
      <c r="L52" s="830"/>
      <c r="M52" s="830"/>
      <c r="N52" s="58"/>
      <c r="O52" s="58" t="s">
        <v>116</v>
      </c>
      <c r="P52" s="59" t="s">
        <v>117</v>
      </c>
      <c r="Q52" s="831"/>
      <c r="R52" s="831"/>
      <c r="S52" s="67" t="s">
        <v>143</v>
      </c>
      <c r="T52" s="324"/>
      <c r="U52" s="74"/>
      <c r="V52" s="74"/>
      <c r="W52" s="664">
        <f t="shared" si="2"/>
        <v>0</v>
      </c>
      <c r="X52" s="664"/>
      <c r="Y52" s="664"/>
      <c r="Z52" s="665"/>
      <c r="AB52" s="832">
        <v>0</v>
      </c>
      <c r="AC52" s="833"/>
      <c r="AD52" s="834"/>
      <c r="AF52" s="832">
        <f t="shared" si="0"/>
        <v>0</v>
      </c>
      <c r="AG52" s="833"/>
      <c r="AH52" s="834"/>
      <c r="AK52" s="325"/>
    </row>
    <row r="53" spans="3:38" s="51" customFormat="1" ht="16" customHeight="1" x14ac:dyDescent="0.15">
      <c r="C53" s="828">
        <f t="shared" si="1"/>
        <v>43</v>
      </c>
      <c r="D53" s="829"/>
      <c r="E53" s="853"/>
      <c r="F53" s="853"/>
      <c r="G53" s="853"/>
      <c r="H53" s="853"/>
      <c r="I53" s="853"/>
      <c r="J53" s="853"/>
      <c r="K53" s="853"/>
      <c r="L53" s="853"/>
      <c r="M53" s="853"/>
      <c r="N53" s="326"/>
      <c r="O53" s="58" t="s">
        <v>116</v>
      </c>
      <c r="P53" s="49" t="s">
        <v>117</v>
      </c>
      <c r="Q53" s="852"/>
      <c r="R53" s="852"/>
      <c r="S53" s="50" t="s">
        <v>143</v>
      </c>
      <c r="T53" s="327"/>
      <c r="U53" s="89"/>
      <c r="V53" s="89"/>
      <c r="W53" s="664">
        <f t="shared" si="2"/>
        <v>0</v>
      </c>
      <c r="X53" s="664"/>
      <c r="Y53" s="664"/>
      <c r="Z53" s="665"/>
      <c r="AB53" s="832">
        <v>0</v>
      </c>
      <c r="AC53" s="833"/>
      <c r="AD53" s="834"/>
      <c r="AF53" s="832">
        <f t="shared" si="0"/>
        <v>0</v>
      </c>
      <c r="AG53" s="833"/>
      <c r="AH53" s="834"/>
    </row>
    <row r="54" spans="3:38" s="51" customFormat="1" ht="16" customHeight="1" x14ac:dyDescent="0.15">
      <c r="C54" s="828">
        <f t="shared" si="1"/>
        <v>44</v>
      </c>
      <c r="D54" s="829"/>
      <c r="E54" s="851"/>
      <c r="F54" s="851"/>
      <c r="G54" s="851"/>
      <c r="H54" s="851"/>
      <c r="I54" s="851"/>
      <c r="J54" s="851"/>
      <c r="K54" s="851"/>
      <c r="L54" s="851"/>
      <c r="M54" s="851"/>
      <c r="N54" s="326"/>
      <c r="O54" s="58" t="s">
        <v>116</v>
      </c>
      <c r="P54" s="49" t="s">
        <v>117</v>
      </c>
      <c r="Q54" s="852"/>
      <c r="R54" s="852"/>
      <c r="S54" s="50" t="s">
        <v>143</v>
      </c>
      <c r="T54" s="327"/>
      <c r="U54" s="89"/>
      <c r="V54" s="89"/>
      <c r="W54" s="664">
        <f t="shared" si="2"/>
        <v>0</v>
      </c>
      <c r="X54" s="664"/>
      <c r="Y54" s="664"/>
      <c r="Z54" s="665"/>
      <c r="AB54" s="832">
        <v>0</v>
      </c>
      <c r="AC54" s="833"/>
      <c r="AD54" s="834"/>
      <c r="AF54" s="832">
        <f t="shared" si="0"/>
        <v>0</v>
      </c>
      <c r="AG54" s="833"/>
      <c r="AH54" s="834"/>
    </row>
    <row r="55" spans="3:38" s="51" customFormat="1" ht="16" customHeight="1" x14ac:dyDescent="0.15">
      <c r="C55" s="828">
        <f t="shared" si="1"/>
        <v>45</v>
      </c>
      <c r="D55" s="829"/>
      <c r="E55" s="851"/>
      <c r="F55" s="851"/>
      <c r="G55" s="851"/>
      <c r="H55" s="851"/>
      <c r="I55" s="851"/>
      <c r="J55" s="851"/>
      <c r="K55" s="851"/>
      <c r="L55" s="851"/>
      <c r="M55" s="851"/>
      <c r="N55" s="326"/>
      <c r="O55" s="58" t="s">
        <v>116</v>
      </c>
      <c r="P55" s="49" t="s">
        <v>117</v>
      </c>
      <c r="Q55" s="852"/>
      <c r="R55" s="852"/>
      <c r="S55" s="50" t="s">
        <v>143</v>
      </c>
      <c r="T55" s="327"/>
      <c r="U55" s="89"/>
      <c r="V55" s="89"/>
      <c r="W55" s="664">
        <f t="shared" si="2"/>
        <v>0</v>
      </c>
      <c r="X55" s="664"/>
      <c r="Y55" s="664"/>
      <c r="Z55" s="665"/>
      <c r="AB55" s="832">
        <v>0</v>
      </c>
      <c r="AC55" s="833"/>
      <c r="AD55" s="834"/>
      <c r="AF55" s="832">
        <f t="shared" si="0"/>
        <v>0</v>
      </c>
      <c r="AG55" s="833"/>
      <c r="AH55" s="834"/>
      <c r="AK55" s="291"/>
    </row>
    <row r="56" spans="3:38" s="51" customFormat="1" ht="16" customHeight="1" x14ac:dyDescent="0.15">
      <c r="C56" s="828">
        <f t="shared" si="1"/>
        <v>46</v>
      </c>
      <c r="D56" s="829"/>
      <c r="E56" s="851"/>
      <c r="F56" s="851"/>
      <c r="G56" s="851"/>
      <c r="H56" s="851"/>
      <c r="I56" s="851"/>
      <c r="J56" s="851"/>
      <c r="K56" s="851"/>
      <c r="L56" s="851"/>
      <c r="M56" s="851"/>
      <c r="N56" s="326"/>
      <c r="O56" s="58" t="s">
        <v>116</v>
      </c>
      <c r="P56" s="49" t="s">
        <v>117</v>
      </c>
      <c r="Q56" s="852"/>
      <c r="R56" s="852"/>
      <c r="S56" s="50" t="s">
        <v>143</v>
      </c>
      <c r="T56" s="327"/>
      <c r="U56" s="89"/>
      <c r="V56" s="89"/>
      <c r="W56" s="664">
        <f t="shared" si="2"/>
        <v>0</v>
      </c>
      <c r="X56" s="664"/>
      <c r="Y56" s="664"/>
      <c r="Z56" s="665"/>
      <c r="AB56" s="832">
        <v>0</v>
      </c>
      <c r="AC56" s="833"/>
      <c r="AD56" s="834"/>
      <c r="AF56" s="832">
        <f t="shared" si="0"/>
        <v>0</v>
      </c>
      <c r="AG56" s="833"/>
      <c r="AH56" s="834"/>
      <c r="AK56" s="291"/>
    </row>
    <row r="57" spans="3:38" s="51" customFormat="1" ht="16" customHeight="1" x14ac:dyDescent="0.15">
      <c r="C57" s="828">
        <f t="shared" si="1"/>
        <v>47</v>
      </c>
      <c r="D57" s="829"/>
      <c r="E57" s="851"/>
      <c r="F57" s="851"/>
      <c r="G57" s="851"/>
      <c r="H57" s="851"/>
      <c r="I57" s="851"/>
      <c r="J57" s="851"/>
      <c r="K57" s="851"/>
      <c r="L57" s="851"/>
      <c r="M57" s="851"/>
      <c r="N57" s="326"/>
      <c r="O57" s="58" t="s">
        <v>116</v>
      </c>
      <c r="P57" s="49" t="s">
        <v>117</v>
      </c>
      <c r="Q57" s="852"/>
      <c r="R57" s="852"/>
      <c r="S57" s="50" t="s">
        <v>143</v>
      </c>
      <c r="T57" s="327"/>
      <c r="U57" s="89"/>
      <c r="V57" s="89"/>
      <c r="W57" s="664">
        <f t="shared" si="2"/>
        <v>0</v>
      </c>
      <c r="X57" s="664"/>
      <c r="Y57" s="664"/>
      <c r="Z57" s="665"/>
      <c r="AB57" s="832">
        <v>0</v>
      </c>
      <c r="AC57" s="833"/>
      <c r="AD57" s="834"/>
      <c r="AF57" s="832">
        <f t="shared" si="0"/>
        <v>0</v>
      </c>
      <c r="AG57" s="833"/>
      <c r="AH57" s="834"/>
      <c r="AK57" s="291"/>
    </row>
    <row r="58" spans="3:38" s="51" customFormat="1" ht="16" customHeight="1" x14ac:dyDescent="0.15">
      <c r="C58" s="828">
        <f t="shared" si="1"/>
        <v>48</v>
      </c>
      <c r="D58" s="829"/>
      <c r="E58" s="851"/>
      <c r="F58" s="851"/>
      <c r="G58" s="851"/>
      <c r="H58" s="851"/>
      <c r="I58" s="851"/>
      <c r="J58" s="851"/>
      <c r="K58" s="851"/>
      <c r="L58" s="851"/>
      <c r="M58" s="851"/>
      <c r="N58" s="326"/>
      <c r="O58" s="58" t="s">
        <v>116</v>
      </c>
      <c r="P58" s="49" t="s">
        <v>117</v>
      </c>
      <c r="Q58" s="852"/>
      <c r="R58" s="852"/>
      <c r="S58" s="50" t="s">
        <v>143</v>
      </c>
      <c r="T58" s="327"/>
      <c r="U58" s="89"/>
      <c r="V58" s="89"/>
      <c r="W58" s="664">
        <f t="shared" si="2"/>
        <v>0</v>
      </c>
      <c r="X58" s="664"/>
      <c r="Y58" s="664"/>
      <c r="Z58" s="665"/>
      <c r="AB58" s="832">
        <v>0</v>
      </c>
      <c r="AC58" s="833"/>
      <c r="AD58" s="834"/>
      <c r="AF58" s="832">
        <f t="shared" si="0"/>
        <v>0</v>
      </c>
      <c r="AG58" s="833"/>
      <c r="AH58" s="834"/>
      <c r="AK58" s="291"/>
    </row>
    <row r="59" spans="3:38" s="51" customFormat="1" ht="16" customHeight="1" x14ac:dyDescent="0.15">
      <c r="C59" s="828">
        <f t="shared" si="1"/>
        <v>49</v>
      </c>
      <c r="D59" s="829"/>
      <c r="E59" s="851"/>
      <c r="F59" s="851"/>
      <c r="G59" s="851"/>
      <c r="H59" s="851"/>
      <c r="I59" s="851"/>
      <c r="J59" s="851"/>
      <c r="K59" s="851"/>
      <c r="L59" s="851"/>
      <c r="M59" s="851"/>
      <c r="N59" s="326"/>
      <c r="O59" s="58" t="s">
        <v>116</v>
      </c>
      <c r="P59" s="49" t="s">
        <v>117</v>
      </c>
      <c r="Q59" s="852"/>
      <c r="R59" s="852"/>
      <c r="S59" s="50" t="s">
        <v>143</v>
      </c>
      <c r="T59" s="327"/>
      <c r="U59" s="89"/>
      <c r="V59" s="89"/>
      <c r="W59" s="664">
        <f t="shared" si="2"/>
        <v>0</v>
      </c>
      <c r="X59" s="664"/>
      <c r="Y59" s="664"/>
      <c r="Z59" s="665"/>
      <c r="AB59" s="832">
        <v>0</v>
      </c>
      <c r="AC59" s="833"/>
      <c r="AD59" s="834"/>
      <c r="AF59" s="832">
        <f t="shared" si="0"/>
        <v>0</v>
      </c>
      <c r="AG59" s="833"/>
      <c r="AH59" s="834"/>
      <c r="AK59" s="291"/>
      <c r="AL59" s="328"/>
    </row>
    <row r="60" spans="3:38" s="51" customFormat="1" ht="16" customHeight="1" x14ac:dyDescent="0.15">
      <c r="C60" s="828">
        <f t="shared" si="1"/>
        <v>50</v>
      </c>
      <c r="D60" s="829"/>
      <c r="E60" s="830"/>
      <c r="F60" s="830"/>
      <c r="G60" s="830"/>
      <c r="H60" s="830"/>
      <c r="I60" s="830"/>
      <c r="J60" s="830"/>
      <c r="K60" s="830"/>
      <c r="L60" s="830"/>
      <c r="M60" s="830"/>
      <c r="N60" s="58"/>
      <c r="O60" s="58" t="s">
        <v>116</v>
      </c>
      <c r="P60" s="59" t="s">
        <v>117</v>
      </c>
      <c r="Q60" s="831"/>
      <c r="R60" s="831"/>
      <c r="S60" s="67" t="s">
        <v>143</v>
      </c>
      <c r="T60" s="324"/>
      <c r="U60" s="88"/>
      <c r="V60" s="88"/>
      <c r="W60" s="664">
        <f>N60*Q60*(IF(ISNUMBER(T60),T60,IF(ISNUMBER(N60),1,0)))</f>
        <v>0</v>
      </c>
      <c r="X60" s="664"/>
      <c r="Y60" s="664"/>
      <c r="Z60" s="665"/>
      <c r="AB60" s="832">
        <v>0</v>
      </c>
      <c r="AC60" s="833"/>
      <c r="AD60" s="834"/>
      <c r="AF60" s="832">
        <f t="shared" si="0"/>
        <v>0</v>
      </c>
      <c r="AG60" s="833"/>
      <c r="AH60" s="834"/>
      <c r="AK60" s="325"/>
    </row>
    <row r="61" spans="3:38" s="51" customFormat="1" ht="16" customHeight="1" x14ac:dyDescent="0.15">
      <c r="C61" s="828">
        <f t="shared" si="1"/>
        <v>51</v>
      </c>
      <c r="D61" s="829"/>
      <c r="E61" s="830"/>
      <c r="F61" s="830"/>
      <c r="G61" s="830"/>
      <c r="H61" s="830"/>
      <c r="I61" s="830"/>
      <c r="J61" s="830"/>
      <c r="K61" s="830"/>
      <c r="L61" s="830"/>
      <c r="M61" s="830"/>
      <c r="N61" s="58"/>
      <c r="O61" s="58" t="s">
        <v>116</v>
      </c>
      <c r="P61" s="59" t="s">
        <v>117</v>
      </c>
      <c r="Q61" s="831"/>
      <c r="R61" s="831"/>
      <c r="S61" s="67" t="s">
        <v>143</v>
      </c>
      <c r="T61" s="324"/>
      <c r="U61" s="88"/>
      <c r="V61" s="88"/>
      <c r="W61" s="664">
        <f>N61*Q61*(IF(ISNUMBER(T61),T61,IF(ISNUMBER(N61),1,0)))</f>
        <v>0</v>
      </c>
      <c r="X61" s="664"/>
      <c r="Y61" s="664"/>
      <c r="Z61" s="665"/>
      <c r="AB61" s="832">
        <v>0</v>
      </c>
      <c r="AC61" s="833"/>
      <c r="AD61" s="834"/>
      <c r="AF61" s="832">
        <f t="shared" si="0"/>
        <v>0</v>
      </c>
      <c r="AG61" s="833"/>
      <c r="AH61" s="834"/>
      <c r="AK61" s="325"/>
    </row>
    <row r="62" spans="3:38" s="51" customFormat="1" ht="16" customHeight="1" x14ac:dyDescent="0.15">
      <c r="C62" s="828">
        <f t="shared" si="1"/>
        <v>52</v>
      </c>
      <c r="D62" s="829"/>
      <c r="E62" s="830"/>
      <c r="F62" s="830"/>
      <c r="G62" s="830"/>
      <c r="H62" s="830"/>
      <c r="I62" s="830"/>
      <c r="J62" s="830"/>
      <c r="K62" s="830"/>
      <c r="L62" s="830"/>
      <c r="M62" s="830"/>
      <c r="N62" s="58"/>
      <c r="O62" s="58" t="s">
        <v>116</v>
      </c>
      <c r="P62" s="59" t="s">
        <v>117</v>
      </c>
      <c r="Q62" s="831"/>
      <c r="R62" s="831"/>
      <c r="S62" s="67" t="s">
        <v>143</v>
      </c>
      <c r="T62" s="324"/>
      <c r="U62" s="88"/>
      <c r="V62" s="88"/>
      <c r="W62" s="664">
        <f>N62*Q62*(IF(ISNUMBER(T62),T62,IF(ISNUMBER(N62),1,0)))</f>
        <v>0</v>
      </c>
      <c r="X62" s="664"/>
      <c r="Y62" s="664"/>
      <c r="Z62" s="665"/>
      <c r="AB62" s="832">
        <v>0</v>
      </c>
      <c r="AC62" s="833"/>
      <c r="AD62" s="834"/>
      <c r="AF62" s="832">
        <f t="shared" si="0"/>
        <v>0</v>
      </c>
      <c r="AG62" s="833"/>
      <c r="AH62" s="834"/>
      <c r="AK62" s="325"/>
    </row>
    <row r="63" spans="3:38" s="51" customFormat="1" ht="16" customHeight="1" x14ac:dyDescent="0.15">
      <c r="C63" s="828">
        <f t="shared" si="1"/>
        <v>53</v>
      </c>
      <c r="D63" s="829"/>
      <c r="E63" s="830"/>
      <c r="F63" s="830"/>
      <c r="G63" s="830"/>
      <c r="H63" s="830"/>
      <c r="I63" s="830"/>
      <c r="J63" s="830"/>
      <c r="K63" s="830"/>
      <c r="L63" s="830"/>
      <c r="M63" s="830"/>
      <c r="N63" s="58"/>
      <c r="O63" s="58" t="s">
        <v>116</v>
      </c>
      <c r="P63" s="59" t="s">
        <v>117</v>
      </c>
      <c r="Q63" s="831"/>
      <c r="R63" s="831"/>
      <c r="S63" s="67" t="s">
        <v>143</v>
      </c>
      <c r="T63" s="324"/>
      <c r="U63" s="88"/>
      <c r="V63" s="88"/>
      <c r="W63" s="664">
        <f>N63*Q63*(IF(ISNUMBER(T63),T63,IF(ISNUMBER(N63),1,0)))</f>
        <v>0</v>
      </c>
      <c r="X63" s="664"/>
      <c r="Y63" s="664"/>
      <c r="Z63" s="665"/>
      <c r="AB63" s="832">
        <v>0</v>
      </c>
      <c r="AC63" s="833"/>
      <c r="AD63" s="834"/>
      <c r="AF63" s="832">
        <f t="shared" si="0"/>
        <v>0</v>
      </c>
      <c r="AG63" s="833"/>
      <c r="AH63" s="834"/>
      <c r="AK63" s="325"/>
    </row>
    <row r="64" spans="3:38" s="51" customFormat="1" ht="16" customHeight="1" x14ac:dyDescent="0.15">
      <c r="C64" s="828">
        <f t="shared" si="1"/>
        <v>54</v>
      </c>
      <c r="D64" s="829"/>
      <c r="E64" s="830"/>
      <c r="F64" s="830"/>
      <c r="G64" s="830"/>
      <c r="H64" s="830"/>
      <c r="I64" s="830"/>
      <c r="J64" s="830"/>
      <c r="K64" s="830"/>
      <c r="L64" s="830"/>
      <c r="M64" s="830"/>
      <c r="N64" s="58"/>
      <c r="O64" s="58" t="s">
        <v>116</v>
      </c>
      <c r="P64" s="59" t="s">
        <v>117</v>
      </c>
      <c r="Q64" s="831"/>
      <c r="R64" s="831"/>
      <c r="S64" s="67" t="s">
        <v>143</v>
      </c>
      <c r="T64" s="324"/>
      <c r="U64" s="88"/>
      <c r="V64" s="88"/>
      <c r="W64" s="664">
        <f t="shared" ref="W64:W69" si="3">N64*Q64*(IF(ISNUMBER(T64),T64,IF(ISNUMBER(N64),1,0)))</f>
        <v>0</v>
      </c>
      <c r="X64" s="664"/>
      <c r="Y64" s="664"/>
      <c r="Z64" s="665"/>
      <c r="AB64" s="832">
        <v>0</v>
      </c>
      <c r="AC64" s="833"/>
      <c r="AD64" s="834"/>
      <c r="AF64" s="832">
        <f t="shared" si="0"/>
        <v>0</v>
      </c>
      <c r="AG64" s="833"/>
      <c r="AH64" s="834"/>
      <c r="AK64" s="291"/>
    </row>
    <row r="65" spans="3:49" s="51" customFormat="1" ht="16" customHeight="1" x14ac:dyDescent="0.15">
      <c r="C65" s="828">
        <f t="shared" si="1"/>
        <v>55</v>
      </c>
      <c r="D65" s="829"/>
      <c r="E65" s="830"/>
      <c r="F65" s="830"/>
      <c r="G65" s="830"/>
      <c r="H65" s="830"/>
      <c r="I65" s="830"/>
      <c r="J65" s="830"/>
      <c r="K65" s="830"/>
      <c r="L65" s="830"/>
      <c r="M65" s="830"/>
      <c r="N65" s="58"/>
      <c r="O65" s="58" t="s">
        <v>116</v>
      </c>
      <c r="P65" s="59" t="s">
        <v>117</v>
      </c>
      <c r="Q65" s="831"/>
      <c r="R65" s="831"/>
      <c r="S65" s="67" t="s">
        <v>143</v>
      </c>
      <c r="T65" s="324"/>
      <c r="U65" s="88"/>
      <c r="V65" s="88"/>
      <c r="W65" s="664">
        <f t="shared" si="3"/>
        <v>0</v>
      </c>
      <c r="X65" s="664"/>
      <c r="Y65" s="664"/>
      <c r="Z65" s="665"/>
      <c r="AB65" s="832">
        <v>0</v>
      </c>
      <c r="AC65" s="833"/>
      <c r="AD65" s="834"/>
      <c r="AF65" s="832">
        <f t="shared" si="0"/>
        <v>0</v>
      </c>
      <c r="AG65" s="833"/>
      <c r="AH65" s="834"/>
      <c r="AK65" s="291"/>
    </row>
    <row r="66" spans="3:49" s="51" customFormat="1" ht="16" customHeight="1" x14ac:dyDescent="0.15">
      <c r="C66" s="828">
        <f t="shared" si="1"/>
        <v>56</v>
      </c>
      <c r="D66" s="829"/>
      <c r="E66" s="830"/>
      <c r="F66" s="830"/>
      <c r="G66" s="830"/>
      <c r="H66" s="830"/>
      <c r="I66" s="830"/>
      <c r="J66" s="830"/>
      <c r="K66" s="830"/>
      <c r="L66" s="830"/>
      <c r="M66" s="830"/>
      <c r="N66" s="58"/>
      <c r="O66" s="58" t="s">
        <v>116</v>
      </c>
      <c r="P66" s="59" t="s">
        <v>117</v>
      </c>
      <c r="Q66" s="831"/>
      <c r="R66" s="831"/>
      <c r="S66" s="67" t="s">
        <v>143</v>
      </c>
      <c r="T66" s="324"/>
      <c r="U66" s="88"/>
      <c r="V66" s="88"/>
      <c r="W66" s="664">
        <f t="shared" si="3"/>
        <v>0</v>
      </c>
      <c r="X66" s="664"/>
      <c r="Y66" s="664"/>
      <c r="Z66" s="665"/>
      <c r="AB66" s="832">
        <v>0</v>
      </c>
      <c r="AC66" s="833"/>
      <c r="AD66" s="834"/>
      <c r="AF66" s="832">
        <f t="shared" si="0"/>
        <v>0</v>
      </c>
      <c r="AG66" s="833"/>
      <c r="AH66" s="834"/>
      <c r="AK66" s="291"/>
    </row>
    <row r="67" spans="3:49" s="51" customFormat="1" ht="16" customHeight="1" x14ac:dyDescent="0.15">
      <c r="C67" s="828">
        <f t="shared" si="1"/>
        <v>57</v>
      </c>
      <c r="D67" s="829"/>
      <c r="E67" s="830"/>
      <c r="F67" s="830"/>
      <c r="G67" s="830"/>
      <c r="H67" s="830"/>
      <c r="I67" s="830"/>
      <c r="J67" s="830"/>
      <c r="K67" s="830"/>
      <c r="L67" s="830"/>
      <c r="M67" s="830"/>
      <c r="N67" s="58"/>
      <c r="O67" s="58" t="s">
        <v>116</v>
      </c>
      <c r="P67" s="59" t="s">
        <v>117</v>
      </c>
      <c r="Q67" s="831"/>
      <c r="R67" s="831"/>
      <c r="S67" s="67" t="s">
        <v>143</v>
      </c>
      <c r="T67" s="324"/>
      <c r="U67" s="88"/>
      <c r="V67" s="88"/>
      <c r="W67" s="664">
        <f t="shared" si="3"/>
        <v>0</v>
      </c>
      <c r="X67" s="664"/>
      <c r="Y67" s="664"/>
      <c r="Z67" s="665"/>
      <c r="AB67" s="832">
        <v>0</v>
      </c>
      <c r="AC67" s="833"/>
      <c r="AD67" s="834"/>
      <c r="AF67" s="832">
        <f t="shared" si="0"/>
        <v>0</v>
      </c>
      <c r="AG67" s="833"/>
      <c r="AH67" s="834"/>
    </row>
    <row r="68" spans="3:49" s="51" customFormat="1" ht="16" customHeight="1" x14ac:dyDescent="0.15">
      <c r="C68" s="828">
        <f t="shared" si="1"/>
        <v>58</v>
      </c>
      <c r="D68" s="829"/>
      <c r="E68" s="830"/>
      <c r="F68" s="830"/>
      <c r="G68" s="830"/>
      <c r="H68" s="830"/>
      <c r="I68" s="830"/>
      <c r="J68" s="830"/>
      <c r="K68" s="830"/>
      <c r="L68" s="830"/>
      <c r="M68" s="830"/>
      <c r="N68" s="58"/>
      <c r="O68" s="58" t="s">
        <v>116</v>
      </c>
      <c r="P68" s="59" t="s">
        <v>117</v>
      </c>
      <c r="Q68" s="831"/>
      <c r="R68" s="831"/>
      <c r="S68" s="67" t="s">
        <v>143</v>
      </c>
      <c r="T68" s="324"/>
      <c r="U68" s="88"/>
      <c r="V68" s="88"/>
      <c r="W68" s="664">
        <f t="shared" si="3"/>
        <v>0</v>
      </c>
      <c r="X68" s="664"/>
      <c r="Y68" s="664"/>
      <c r="Z68" s="665"/>
      <c r="AB68" s="832">
        <v>0</v>
      </c>
      <c r="AC68" s="833"/>
      <c r="AD68" s="834"/>
      <c r="AF68" s="832">
        <f t="shared" si="0"/>
        <v>0</v>
      </c>
      <c r="AG68" s="833"/>
      <c r="AH68" s="834"/>
      <c r="AK68" s="291"/>
    </row>
    <row r="69" spans="3:49" s="51" customFormat="1" ht="16" customHeight="1" x14ac:dyDescent="0.15">
      <c r="C69" s="828">
        <f t="shared" si="1"/>
        <v>59</v>
      </c>
      <c r="D69" s="829"/>
      <c r="E69" s="830"/>
      <c r="F69" s="830"/>
      <c r="G69" s="830"/>
      <c r="H69" s="830"/>
      <c r="I69" s="830"/>
      <c r="J69" s="830"/>
      <c r="K69" s="830"/>
      <c r="L69" s="830"/>
      <c r="M69" s="830"/>
      <c r="N69" s="58"/>
      <c r="O69" s="58" t="s">
        <v>116</v>
      </c>
      <c r="P69" s="59" t="s">
        <v>117</v>
      </c>
      <c r="Q69" s="831"/>
      <c r="R69" s="831"/>
      <c r="S69" s="67" t="s">
        <v>143</v>
      </c>
      <c r="T69" s="324"/>
      <c r="U69" s="88"/>
      <c r="V69" s="88"/>
      <c r="W69" s="664">
        <f t="shared" si="3"/>
        <v>0</v>
      </c>
      <c r="X69" s="664"/>
      <c r="Y69" s="664"/>
      <c r="Z69" s="665"/>
      <c r="AB69" s="832">
        <v>0</v>
      </c>
      <c r="AC69" s="833"/>
      <c r="AD69" s="834"/>
      <c r="AF69" s="832">
        <f t="shared" si="0"/>
        <v>0</v>
      </c>
      <c r="AG69" s="833"/>
      <c r="AH69" s="834"/>
      <c r="AK69" s="291"/>
    </row>
    <row r="70" spans="3:49" s="322" customFormat="1" ht="16" customHeight="1" x14ac:dyDescent="0.2">
      <c r="E70" s="391"/>
      <c r="F70" s="391"/>
      <c r="G70" s="391"/>
      <c r="H70" s="391"/>
      <c r="I70" s="391"/>
      <c r="J70" s="391"/>
      <c r="K70" s="391"/>
      <c r="L70" s="391"/>
      <c r="M70" s="391"/>
      <c r="N70" s="392"/>
      <c r="O70" s="824" t="str">
        <f>"Sub Total "&amp;D8</f>
        <v>Sub Total Blank Expenses</v>
      </c>
      <c r="P70" s="824"/>
      <c r="Q70" s="824"/>
      <c r="R70" s="824"/>
      <c r="S70" s="824"/>
      <c r="T70" s="824"/>
      <c r="U70" s="824"/>
      <c r="V70" s="825"/>
      <c r="W70" s="859">
        <f>SUM(W10:Z63)</f>
        <v>0</v>
      </c>
      <c r="X70" s="860"/>
      <c r="Y70" s="860"/>
      <c r="Z70" s="861"/>
      <c r="AB70" s="862">
        <f>SUM(AB10:AD69)</f>
        <v>0</v>
      </c>
      <c r="AC70" s="863"/>
      <c r="AD70" s="864"/>
      <c r="AF70" s="838">
        <f t="shared" si="0"/>
        <v>0</v>
      </c>
      <c r="AG70" s="839"/>
      <c r="AH70" s="840"/>
      <c r="AK70" s="329"/>
    </row>
    <row r="71" spans="3:49" s="322" customFormat="1" ht="16" customHeight="1" x14ac:dyDescent="0.2">
      <c r="E71" s="391"/>
      <c r="F71" s="391"/>
      <c r="G71" s="391"/>
      <c r="H71" s="391"/>
      <c r="I71" s="391"/>
      <c r="J71" s="391"/>
      <c r="K71" s="391"/>
      <c r="L71" s="391"/>
      <c r="M71" s="391"/>
      <c r="N71" s="392"/>
      <c r="O71" s="826" t="str">
        <f>"Handling "&amp;D8</f>
        <v>Handling Blank Expenses</v>
      </c>
      <c r="P71" s="826"/>
      <c r="Q71" s="826"/>
      <c r="R71" s="826"/>
      <c r="S71" s="826"/>
      <c r="T71" s="826"/>
      <c r="U71" s="826"/>
      <c r="V71" s="827"/>
      <c r="W71" s="859">
        <f>W70*AR71</f>
        <v>0</v>
      </c>
      <c r="X71" s="860"/>
      <c r="Y71" s="860"/>
      <c r="Z71" s="861"/>
      <c r="AB71" s="862">
        <f>W71</f>
        <v>0</v>
      </c>
      <c r="AC71" s="863"/>
      <c r="AD71" s="864"/>
      <c r="AF71" s="838">
        <f t="shared" si="0"/>
        <v>0</v>
      </c>
      <c r="AG71" s="839"/>
      <c r="AH71" s="840"/>
      <c r="AJ71" s="854" t="str">
        <f>"Handling  "&amp;D8</f>
        <v>Handling  Blank Expenses</v>
      </c>
      <c r="AK71" s="855"/>
      <c r="AL71" s="855"/>
      <c r="AM71" s="855"/>
      <c r="AN71" s="855"/>
      <c r="AO71" s="855"/>
      <c r="AP71" s="855"/>
      <c r="AQ71" s="856"/>
      <c r="AR71" s="857">
        <v>0</v>
      </c>
      <c r="AS71" s="858"/>
    </row>
    <row r="72" spans="3:49" s="322" customFormat="1" ht="16" customHeight="1" x14ac:dyDescent="0.2">
      <c r="O72" s="656" t="str">
        <f>"Total "&amp;D8</f>
        <v>Total Blank Expenses</v>
      </c>
      <c r="P72" s="656"/>
      <c r="Q72" s="656"/>
      <c r="R72" s="656"/>
      <c r="S72" s="656"/>
      <c r="T72" s="656"/>
      <c r="U72" s="656"/>
      <c r="V72" s="657"/>
      <c r="W72" s="841">
        <f>SUM(W70:Z71)</f>
        <v>0</v>
      </c>
      <c r="X72" s="842"/>
      <c r="Y72" s="842"/>
      <c r="Z72" s="843"/>
      <c r="AB72" s="835">
        <f>SUM(AB70:AD71)</f>
        <v>0</v>
      </c>
      <c r="AC72" s="836"/>
      <c r="AD72" s="837"/>
      <c r="AF72" s="838">
        <f t="shared" si="0"/>
        <v>0</v>
      </c>
      <c r="AG72" s="839"/>
      <c r="AH72" s="840"/>
    </row>
    <row r="73" spans="3:49" customFormat="1" ht="16" customHeight="1" x14ac:dyDescent="0.2">
      <c r="U73" s="45"/>
      <c r="V73" s="45"/>
      <c r="AK73" s="36"/>
      <c r="AT73" s="7"/>
      <c r="AU73" s="7"/>
      <c r="AV73" s="7"/>
      <c r="AW73" s="7"/>
    </row>
    <row r="74" spans="3:49" customFormat="1" ht="16" customHeight="1" x14ac:dyDescent="0.2">
      <c r="U74" s="44"/>
      <c r="V74" s="44"/>
      <c r="W74" s="7"/>
      <c r="X74" s="7"/>
      <c r="Y74" s="7"/>
      <c r="Z74" s="7"/>
      <c r="AA74" s="7"/>
      <c r="AB74" s="7"/>
      <c r="AF74" s="7"/>
      <c r="AK74" s="36"/>
      <c r="AT74" s="7"/>
      <c r="AU74" s="7"/>
      <c r="AV74" s="7"/>
      <c r="AW74" s="7"/>
    </row>
    <row r="75" spans="3:49" customFormat="1" ht="16.25" customHeight="1" x14ac:dyDescent="0.2">
      <c r="U75" s="44"/>
      <c r="V75" s="44"/>
      <c r="W75" s="7"/>
      <c r="X75" s="7"/>
      <c r="Y75" s="7"/>
      <c r="Z75" s="7"/>
      <c r="AA75" s="7"/>
      <c r="AB75" s="7"/>
      <c r="AF75" s="7"/>
      <c r="AK75" s="36"/>
      <c r="AV75" s="7"/>
      <c r="AW75" s="7"/>
    </row>
    <row r="76" spans="3:49" customFormat="1" ht="16.25" customHeight="1" x14ac:dyDescent="0.2">
      <c r="U76" s="44"/>
      <c r="V76" s="44"/>
      <c r="W76" s="7"/>
      <c r="X76" s="7"/>
      <c r="Y76" s="7"/>
      <c r="Z76" s="7"/>
      <c r="AA76" s="7"/>
      <c r="AB76" s="7"/>
      <c r="AF76" s="7"/>
      <c r="AK76" s="36"/>
    </row>
    <row r="77" spans="3:49" customFormat="1" ht="16.25" customHeight="1" x14ac:dyDescent="0.2">
      <c r="U77" s="44"/>
      <c r="V77" s="44"/>
      <c r="W77" s="7"/>
      <c r="X77" s="7"/>
      <c r="Y77" s="7"/>
      <c r="Z77" s="7"/>
      <c r="AA77" s="7"/>
      <c r="AB77" s="7"/>
      <c r="AF77" s="7"/>
      <c r="AK77" s="36"/>
    </row>
    <row r="78" spans="3:49" customFormat="1" ht="16.25" customHeight="1" x14ac:dyDescent="0.2">
      <c r="U78" s="44"/>
      <c r="V78" s="44"/>
      <c r="W78" s="7"/>
      <c r="X78" s="7"/>
      <c r="Y78" s="7"/>
      <c r="Z78" s="7"/>
      <c r="AA78" s="7"/>
      <c r="AB78" s="7"/>
      <c r="AF78" s="7"/>
      <c r="AK78" s="36"/>
    </row>
    <row r="79" spans="3:49" customFormat="1" ht="16.25" customHeight="1" x14ac:dyDescent="0.2">
      <c r="U79" s="45"/>
      <c r="V79" s="45"/>
      <c r="AK79" s="36"/>
    </row>
    <row r="80" spans="3:49" customFormat="1" ht="16.25" customHeight="1" x14ac:dyDescent="0.2">
      <c r="U80" s="45"/>
      <c r="V80" s="45"/>
      <c r="AK80" s="36"/>
    </row>
    <row r="81" spans="21:37" customFormat="1" ht="16.25" customHeight="1" x14ac:dyDescent="0.2">
      <c r="U81" s="45"/>
      <c r="V81" s="45"/>
      <c r="AK81" s="36"/>
    </row>
    <row r="82" spans="21:37" customFormat="1" ht="16.25" customHeight="1" x14ac:dyDescent="0.2">
      <c r="U82" s="45"/>
      <c r="V82" s="45"/>
      <c r="AK82" s="36"/>
    </row>
    <row r="83" spans="21:37" customFormat="1" ht="16.25" customHeight="1" x14ac:dyDescent="0.2">
      <c r="U83" s="45"/>
      <c r="V83" s="45"/>
      <c r="AK83" s="36"/>
    </row>
    <row r="84" spans="21:37" customFormat="1" ht="16.25" customHeight="1" x14ac:dyDescent="0.2">
      <c r="U84" s="45"/>
      <c r="V84" s="45"/>
      <c r="AK84" s="36"/>
    </row>
    <row r="85" spans="21:37" customFormat="1" ht="16.25" customHeight="1" x14ac:dyDescent="0.2">
      <c r="U85" s="45"/>
      <c r="V85" s="45"/>
      <c r="AK85" s="36"/>
    </row>
    <row r="86" spans="21:37" customFormat="1" ht="16.25" customHeight="1" x14ac:dyDescent="0.2">
      <c r="U86" s="45"/>
      <c r="V86" s="45"/>
      <c r="AK86" s="36"/>
    </row>
    <row r="87" spans="21:37" customFormat="1" ht="16.25" customHeight="1" x14ac:dyDescent="0.2">
      <c r="U87" s="45"/>
      <c r="V87" s="45"/>
      <c r="AK87" s="36"/>
    </row>
    <row r="88" spans="21:37" customFormat="1" ht="16" x14ac:dyDescent="0.2">
      <c r="U88" s="45"/>
      <c r="V88" s="45"/>
      <c r="AK88" s="36"/>
    </row>
    <row r="89" spans="21:37" customFormat="1" ht="16" x14ac:dyDescent="0.2">
      <c r="U89" s="45"/>
      <c r="V89" s="45"/>
      <c r="AK89" s="36"/>
    </row>
    <row r="90" spans="21:37" customFormat="1" ht="16" x14ac:dyDescent="0.2">
      <c r="U90" s="45"/>
      <c r="V90" s="45"/>
      <c r="AK90" s="36"/>
    </row>
    <row r="91" spans="21:37" customFormat="1" ht="16" x14ac:dyDescent="0.2">
      <c r="U91" s="45"/>
      <c r="V91" s="45"/>
      <c r="AK91" s="36"/>
    </row>
    <row r="92" spans="21:37" customFormat="1" ht="16" x14ac:dyDescent="0.2">
      <c r="U92" s="45"/>
      <c r="V92" s="45"/>
      <c r="AK92" s="36"/>
    </row>
    <row r="93" spans="21:37" customFormat="1" ht="16" x14ac:dyDescent="0.2">
      <c r="U93" s="45"/>
      <c r="V93" s="45"/>
      <c r="AK93" s="36"/>
    </row>
    <row r="94" spans="21:37" customFormat="1" ht="16" x14ac:dyDescent="0.2">
      <c r="U94" s="45"/>
      <c r="V94" s="45"/>
      <c r="AK94" s="36"/>
    </row>
    <row r="95" spans="21:37" customFormat="1" ht="16" x14ac:dyDescent="0.2">
      <c r="U95" s="45"/>
      <c r="V95" s="45"/>
      <c r="AK95" s="36"/>
    </row>
    <row r="96" spans="21:37" customFormat="1" ht="16" x14ac:dyDescent="0.2">
      <c r="U96" s="45"/>
      <c r="V96" s="45"/>
      <c r="AK96" s="36"/>
    </row>
    <row r="97" spans="21:37" customFormat="1" ht="16" x14ac:dyDescent="0.2">
      <c r="U97" s="45"/>
      <c r="V97" s="45"/>
      <c r="AK97" s="36"/>
    </row>
    <row r="98" spans="21:37" customFormat="1" ht="16" x14ac:dyDescent="0.2">
      <c r="U98" s="45"/>
      <c r="V98" s="45"/>
      <c r="AK98" s="36"/>
    </row>
    <row r="99" spans="21:37" customFormat="1" ht="16" x14ac:dyDescent="0.2">
      <c r="U99" s="45"/>
      <c r="V99" s="45"/>
      <c r="AK99" s="36"/>
    </row>
  </sheetData>
  <sheetProtection selectLockedCells="1"/>
  <mergeCells count="382">
    <mergeCell ref="AJ71:AQ71"/>
    <mergeCell ref="AR71:AS71"/>
    <mergeCell ref="W72:Z72"/>
    <mergeCell ref="AB72:AD72"/>
    <mergeCell ref="AF72:AH72"/>
    <mergeCell ref="O70:V70"/>
    <mergeCell ref="O71:V71"/>
    <mergeCell ref="O72:V72"/>
    <mergeCell ref="W70:Z70"/>
    <mergeCell ref="AB70:AD70"/>
    <mergeCell ref="AF70:AH70"/>
    <mergeCell ref="W71:Z71"/>
    <mergeCell ref="AB71:AD71"/>
    <mergeCell ref="AF71:AH71"/>
    <mergeCell ref="C69:D69"/>
    <mergeCell ref="E69:M69"/>
    <mergeCell ref="Q69:R69"/>
    <mergeCell ref="W69:Z69"/>
    <mergeCell ref="AB69:AD69"/>
    <mergeCell ref="AF69:AH69"/>
    <mergeCell ref="C68:D68"/>
    <mergeCell ref="E68:M68"/>
    <mergeCell ref="Q68:R68"/>
    <mergeCell ref="W68:Z68"/>
    <mergeCell ref="AB68:AD68"/>
    <mergeCell ref="AF68:AH68"/>
    <mergeCell ref="C67:D67"/>
    <mergeCell ref="E67:M67"/>
    <mergeCell ref="Q67:R67"/>
    <mergeCell ref="W67:Z67"/>
    <mergeCell ref="AB67:AD67"/>
    <mergeCell ref="AF67:AH67"/>
    <mergeCell ref="C66:D66"/>
    <mergeCell ref="E66:M66"/>
    <mergeCell ref="Q66:R66"/>
    <mergeCell ref="W66:Z66"/>
    <mergeCell ref="AB66:AD66"/>
    <mergeCell ref="AF66:AH66"/>
    <mergeCell ref="C65:D65"/>
    <mergeCell ref="E65:M65"/>
    <mergeCell ref="Q65:R65"/>
    <mergeCell ref="W65:Z65"/>
    <mergeCell ref="AB65:AD65"/>
    <mergeCell ref="AF65:AH65"/>
    <mergeCell ref="C64:D64"/>
    <mergeCell ref="E64:M64"/>
    <mergeCell ref="Q64:R64"/>
    <mergeCell ref="W64:Z64"/>
    <mergeCell ref="AB64:AD64"/>
    <mergeCell ref="AF64:AH64"/>
    <mergeCell ref="C63:D63"/>
    <mergeCell ref="E63:M63"/>
    <mergeCell ref="Q63:R63"/>
    <mergeCell ref="W63:Z63"/>
    <mergeCell ref="AB63:AD63"/>
    <mergeCell ref="AF63:AH63"/>
    <mergeCell ref="C62:D62"/>
    <mergeCell ref="E62:M62"/>
    <mergeCell ref="Q62:R62"/>
    <mergeCell ref="W62:Z62"/>
    <mergeCell ref="AB62:AD62"/>
    <mergeCell ref="AF62:AH62"/>
    <mergeCell ref="C61:D61"/>
    <mergeCell ref="E61:M61"/>
    <mergeCell ref="Q61:R61"/>
    <mergeCell ref="W61:Z61"/>
    <mergeCell ref="AB61:AD61"/>
    <mergeCell ref="AF61:AH61"/>
    <mergeCell ref="C60:D60"/>
    <mergeCell ref="E60:M60"/>
    <mergeCell ref="Q60:R60"/>
    <mergeCell ref="W60:Z60"/>
    <mergeCell ref="AB60:AD60"/>
    <mergeCell ref="AF60:AH60"/>
    <mergeCell ref="C59:D59"/>
    <mergeCell ref="E59:M59"/>
    <mergeCell ref="Q59:R59"/>
    <mergeCell ref="W59:Z59"/>
    <mergeCell ref="AB59:AD59"/>
    <mergeCell ref="AF59:AH59"/>
    <mergeCell ref="C58:D58"/>
    <mergeCell ref="E58:M58"/>
    <mergeCell ref="Q58:R58"/>
    <mergeCell ref="W58:Z58"/>
    <mergeCell ref="AB58:AD58"/>
    <mergeCell ref="AF58:AH58"/>
    <mergeCell ref="C57:D57"/>
    <mergeCell ref="E57:M57"/>
    <mergeCell ref="Q57:R57"/>
    <mergeCell ref="W57:Z57"/>
    <mergeCell ref="AB57:AD57"/>
    <mergeCell ref="AF57:AH57"/>
    <mergeCell ref="C56:D56"/>
    <mergeCell ref="E56:M56"/>
    <mergeCell ref="Q56:R56"/>
    <mergeCell ref="W56:Z56"/>
    <mergeCell ref="AB56:AD56"/>
    <mergeCell ref="AF56:AH56"/>
    <mergeCell ref="C55:D55"/>
    <mergeCell ref="E55:M55"/>
    <mergeCell ref="Q55:R55"/>
    <mergeCell ref="W55:Z55"/>
    <mergeCell ref="AB55:AD55"/>
    <mergeCell ref="AF55:AH55"/>
    <mergeCell ref="C54:D54"/>
    <mergeCell ref="E54:M54"/>
    <mergeCell ref="Q54:R54"/>
    <mergeCell ref="W54:Z54"/>
    <mergeCell ref="AB54:AD54"/>
    <mergeCell ref="AF54:AH54"/>
    <mergeCell ref="C53:D53"/>
    <mergeCell ref="E53:M53"/>
    <mergeCell ref="Q53:R53"/>
    <mergeCell ref="W53:Z53"/>
    <mergeCell ref="AB53:AD53"/>
    <mergeCell ref="AF53:AH53"/>
    <mergeCell ref="C52:D52"/>
    <mergeCell ref="E52:M52"/>
    <mergeCell ref="Q52:R52"/>
    <mergeCell ref="W52:Z52"/>
    <mergeCell ref="AB52:AD52"/>
    <mergeCell ref="AF52:AH52"/>
    <mergeCell ref="C51:D51"/>
    <mergeCell ref="E51:M51"/>
    <mergeCell ref="Q51:R51"/>
    <mergeCell ref="W51:Z51"/>
    <mergeCell ref="AB51:AD51"/>
    <mergeCell ref="AF51:AH51"/>
    <mergeCell ref="C50:D50"/>
    <mergeCell ref="E50:M50"/>
    <mergeCell ref="Q50:R50"/>
    <mergeCell ref="W50:Z50"/>
    <mergeCell ref="AB50:AD50"/>
    <mergeCell ref="AF50:AH50"/>
    <mergeCell ref="C49:D49"/>
    <mergeCell ref="E49:M49"/>
    <mergeCell ref="Q49:R49"/>
    <mergeCell ref="W49:Z49"/>
    <mergeCell ref="AB49:AD49"/>
    <mergeCell ref="AF49:AH49"/>
    <mergeCell ref="C48:D48"/>
    <mergeCell ref="E48:M48"/>
    <mergeCell ref="Q48:R48"/>
    <mergeCell ref="W48:Z48"/>
    <mergeCell ref="AB48:AD48"/>
    <mergeCell ref="AF48:AH48"/>
    <mergeCell ref="C47:D47"/>
    <mergeCell ref="E47:M47"/>
    <mergeCell ref="Q47:R47"/>
    <mergeCell ref="W47:Z47"/>
    <mergeCell ref="AB47:AD47"/>
    <mergeCell ref="AF47:AH47"/>
    <mergeCell ref="C46:D46"/>
    <mergeCell ref="E46:M46"/>
    <mergeCell ref="Q46:R46"/>
    <mergeCell ref="W46:Z46"/>
    <mergeCell ref="AB46:AD46"/>
    <mergeCell ref="AF46:AH46"/>
    <mergeCell ref="C45:D45"/>
    <mergeCell ref="E45:M45"/>
    <mergeCell ref="Q45:R45"/>
    <mergeCell ref="W45:Z45"/>
    <mergeCell ref="AB45:AD45"/>
    <mergeCell ref="AF45:AH45"/>
    <mergeCell ref="C44:D44"/>
    <mergeCell ref="E44:M44"/>
    <mergeCell ref="Q44:R44"/>
    <mergeCell ref="W44:Z44"/>
    <mergeCell ref="AB44:AD44"/>
    <mergeCell ref="AF44:AH44"/>
    <mergeCell ref="C43:D43"/>
    <mergeCell ref="E43:M43"/>
    <mergeCell ref="Q43:R43"/>
    <mergeCell ref="W43:Z43"/>
    <mergeCell ref="AB43:AD43"/>
    <mergeCell ref="AF43:AH43"/>
    <mergeCell ref="C42:D42"/>
    <mergeCell ref="E42:M42"/>
    <mergeCell ref="Q42:R42"/>
    <mergeCell ref="W42:Z42"/>
    <mergeCell ref="AB42:AD42"/>
    <mergeCell ref="AF42:AH42"/>
    <mergeCell ref="C41:D41"/>
    <mergeCell ref="E41:M41"/>
    <mergeCell ref="Q41:R41"/>
    <mergeCell ref="W41:Z41"/>
    <mergeCell ref="AB41:AD41"/>
    <mergeCell ref="AF41:AH41"/>
    <mergeCell ref="C40:D40"/>
    <mergeCell ref="E40:M40"/>
    <mergeCell ref="Q40:R40"/>
    <mergeCell ref="W40:Z40"/>
    <mergeCell ref="AB40:AD40"/>
    <mergeCell ref="AF40:AH40"/>
    <mergeCell ref="C39:D39"/>
    <mergeCell ref="E39:M39"/>
    <mergeCell ref="Q39:R39"/>
    <mergeCell ref="W39:Z39"/>
    <mergeCell ref="AB39:AD39"/>
    <mergeCell ref="AF39:AH39"/>
    <mergeCell ref="C38:D38"/>
    <mergeCell ref="E38:M38"/>
    <mergeCell ref="Q38:R38"/>
    <mergeCell ref="W38:Z38"/>
    <mergeCell ref="AB38:AD38"/>
    <mergeCell ref="AF38:AH38"/>
    <mergeCell ref="C37:D37"/>
    <mergeCell ref="E37:M37"/>
    <mergeCell ref="Q37:R37"/>
    <mergeCell ref="W37:Z37"/>
    <mergeCell ref="AB37:AD37"/>
    <mergeCell ref="AF37:AH37"/>
    <mergeCell ref="C36:D36"/>
    <mergeCell ref="E36:M36"/>
    <mergeCell ref="Q36:R36"/>
    <mergeCell ref="W36:Z36"/>
    <mergeCell ref="AB36:AD36"/>
    <mergeCell ref="AF36:AH36"/>
    <mergeCell ref="C35:D35"/>
    <mergeCell ref="E35:M35"/>
    <mergeCell ref="Q35:R35"/>
    <mergeCell ref="W35:Z35"/>
    <mergeCell ref="AB35:AD35"/>
    <mergeCell ref="AF35:AH35"/>
    <mergeCell ref="C34:D34"/>
    <mergeCell ref="E34:M34"/>
    <mergeCell ref="Q34:R34"/>
    <mergeCell ref="W34:Z34"/>
    <mergeCell ref="AB34:AD34"/>
    <mergeCell ref="AF34:AH34"/>
    <mergeCell ref="C33:D33"/>
    <mergeCell ref="E33:M33"/>
    <mergeCell ref="Q33:R33"/>
    <mergeCell ref="W33:Z33"/>
    <mergeCell ref="AB33:AD33"/>
    <mergeCell ref="AF33:AH33"/>
    <mergeCell ref="C32:D32"/>
    <mergeCell ref="E32:M32"/>
    <mergeCell ref="Q32:R32"/>
    <mergeCell ref="W32:Z32"/>
    <mergeCell ref="AB32:AD32"/>
    <mergeCell ref="AF32:AH32"/>
    <mergeCell ref="C31:D31"/>
    <mergeCell ref="E31:M31"/>
    <mergeCell ref="Q31:R31"/>
    <mergeCell ref="W31:Z31"/>
    <mergeCell ref="AB31:AD31"/>
    <mergeCell ref="AF31:AH31"/>
    <mergeCell ref="C30:D30"/>
    <mergeCell ref="E30:M30"/>
    <mergeCell ref="Q30:R30"/>
    <mergeCell ref="W30:Z30"/>
    <mergeCell ref="AB30:AD30"/>
    <mergeCell ref="AF30:AH30"/>
    <mergeCell ref="C29:D29"/>
    <mergeCell ref="E29:M29"/>
    <mergeCell ref="Q29:R29"/>
    <mergeCell ref="W29:Z29"/>
    <mergeCell ref="AB29:AD29"/>
    <mergeCell ref="AF29:AH29"/>
    <mergeCell ref="C28:D28"/>
    <mergeCell ref="E28:M28"/>
    <mergeCell ref="Q28:R28"/>
    <mergeCell ref="W28:Z28"/>
    <mergeCell ref="AB28:AD28"/>
    <mergeCell ref="AF28:AH28"/>
    <mergeCell ref="C27:D27"/>
    <mergeCell ref="E27:M27"/>
    <mergeCell ref="Q27:R27"/>
    <mergeCell ref="W27:Z27"/>
    <mergeCell ref="AB27:AD27"/>
    <mergeCell ref="AF27:AH27"/>
    <mergeCell ref="C26:D26"/>
    <mergeCell ref="E26:M26"/>
    <mergeCell ref="Q26:R26"/>
    <mergeCell ref="W26:Z26"/>
    <mergeCell ref="AB26:AD26"/>
    <mergeCell ref="AF26:AH26"/>
    <mergeCell ref="C25:D25"/>
    <mergeCell ref="E25:M25"/>
    <mergeCell ref="Q25:R25"/>
    <mergeCell ref="W25:Z25"/>
    <mergeCell ref="AB25:AD25"/>
    <mergeCell ref="AF25:AH25"/>
    <mergeCell ref="C24:D24"/>
    <mergeCell ref="E24:M24"/>
    <mergeCell ref="Q24:R24"/>
    <mergeCell ref="W24:Z24"/>
    <mergeCell ref="AB24:AD24"/>
    <mergeCell ref="AF24:AH24"/>
    <mergeCell ref="C23:D23"/>
    <mergeCell ref="E23:M23"/>
    <mergeCell ref="Q23:R23"/>
    <mergeCell ref="W23:Z23"/>
    <mergeCell ref="AB23:AD23"/>
    <mergeCell ref="AF23:AH23"/>
    <mergeCell ref="C22:D22"/>
    <mergeCell ref="E22:M22"/>
    <mergeCell ref="Q22:R22"/>
    <mergeCell ref="W22:Z22"/>
    <mergeCell ref="AB22:AD22"/>
    <mergeCell ref="AF22:AH22"/>
    <mergeCell ref="C21:D21"/>
    <mergeCell ref="E21:M21"/>
    <mergeCell ref="Q21:R21"/>
    <mergeCell ref="W21:Z21"/>
    <mergeCell ref="AB21:AD21"/>
    <mergeCell ref="AF21:AH21"/>
    <mergeCell ref="C20:D20"/>
    <mergeCell ref="E20:M20"/>
    <mergeCell ref="Q20:R20"/>
    <mergeCell ref="W20:Z20"/>
    <mergeCell ref="AB20:AD20"/>
    <mergeCell ref="AF20:AH20"/>
    <mergeCell ref="C19:D19"/>
    <mergeCell ref="E19:M19"/>
    <mergeCell ref="Q19:R19"/>
    <mergeCell ref="W19:Z19"/>
    <mergeCell ref="AB19:AD19"/>
    <mergeCell ref="AF19:AH19"/>
    <mergeCell ref="C18:D18"/>
    <mergeCell ref="E18:M18"/>
    <mergeCell ref="Q18:R18"/>
    <mergeCell ref="W18:Z18"/>
    <mergeCell ref="AB18:AD18"/>
    <mergeCell ref="AF18:AH18"/>
    <mergeCell ref="C17:D17"/>
    <mergeCell ref="E17:M17"/>
    <mergeCell ref="Q17:R17"/>
    <mergeCell ref="W17:Z17"/>
    <mergeCell ref="AB17:AD17"/>
    <mergeCell ref="AF17:AH17"/>
    <mergeCell ref="C16:D16"/>
    <mergeCell ref="E16:M16"/>
    <mergeCell ref="Q16:R16"/>
    <mergeCell ref="W16:Z16"/>
    <mergeCell ref="AB16:AD16"/>
    <mergeCell ref="AF16:AH16"/>
    <mergeCell ref="C15:D15"/>
    <mergeCell ref="E15:M15"/>
    <mergeCell ref="Q15:R15"/>
    <mergeCell ref="W15:Z15"/>
    <mergeCell ref="AB15:AD15"/>
    <mergeCell ref="AF15:AH15"/>
    <mergeCell ref="C14:D14"/>
    <mergeCell ref="E14:M14"/>
    <mergeCell ref="Q14:R14"/>
    <mergeCell ref="W14:Z14"/>
    <mergeCell ref="AB14:AD14"/>
    <mergeCell ref="AF14:AH14"/>
    <mergeCell ref="C13:D13"/>
    <mergeCell ref="E13:M13"/>
    <mergeCell ref="Q13:R13"/>
    <mergeCell ref="W13:Z13"/>
    <mergeCell ref="AB13:AD13"/>
    <mergeCell ref="AF13:AH13"/>
    <mergeCell ref="C12:D12"/>
    <mergeCell ref="E12:M12"/>
    <mergeCell ref="Q12:R12"/>
    <mergeCell ref="W12:Z12"/>
    <mergeCell ref="AB12:AD12"/>
    <mergeCell ref="AF12:AH12"/>
    <mergeCell ref="W8:Z8"/>
    <mergeCell ref="AB8:AD8"/>
    <mergeCell ref="AF8:AH8"/>
    <mergeCell ref="N9:O9"/>
    <mergeCell ref="Q9:R9"/>
    <mergeCell ref="X9:Z9"/>
    <mergeCell ref="AB9:AD9"/>
    <mergeCell ref="AF9:AH9"/>
    <mergeCell ref="C11:D11"/>
    <mergeCell ref="E11:M11"/>
    <mergeCell ref="Q11:R11"/>
    <mergeCell ref="W11:Z11"/>
    <mergeCell ref="AB11:AD11"/>
    <mergeCell ref="AF11:AH11"/>
    <mergeCell ref="C10:D10"/>
    <mergeCell ref="E10:M10"/>
    <mergeCell ref="Q10:R10"/>
    <mergeCell ref="W10:Z10"/>
    <mergeCell ref="AB10:AD10"/>
    <mergeCell ref="AF10:AH10"/>
  </mergeCells>
  <pageMargins left="0.7" right="0.7" top="0.75" bottom="0.75" header="0.3" footer="0.3"/>
  <pageSetup scale="69" orientation="portrait" r:id="rId1"/>
  <legacyDrawingHF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28</vt:i4>
      </vt:variant>
      <vt:variant>
        <vt:lpstr>Named Ranges</vt:lpstr>
      </vt:variant>
      <vt:variant>
        <vt:i4>284</vt:i4>
      </vt:variant>
    </vt:vector>
  </HeadingPairs>
  <TitlesOfParts>
    <vt:vector size="312" baseType="lpstr">
      <vt:lpstr>Cover</vt:lpstr>
      <vt:lpstr>Bid Notes</vt:lpstr>
      <vt:lpstr>A</vt:lpstr>
      <vt:lpstr>B</vt:lpstr>
      <vt:lpstr>CDE</vt:lpstr>
      <vt:lpstr>FGH</vt:lpstr>
      <vt:lpstr>IJKL</vt:lpstr>
      <vt:lpstr>MN</vt:lpstr>
      <vt:lpstr>O</vt:lpstr>
      <vt:lpstr>P1. Breakout Expenses</vt:lpstr>
      <vt:lpstr>P2. Breakout Labor</vt:lpstr>
      <vt:lpstr>P3. Breakout Talent</vt:lpstr>
      <vt:lpstr>P4. Breakout Blank</vt:lpstr>
      <vt:lpstr>Q</vt:lpstr>
      <vt:lpstr>R</vt:lpstr>
      <vt:lpstr>S</vt:lpstr>
      <vt:lpstr>T</vt:lpstr>
      <vt:lpstr>VW</vt:lpstr>
      <vt:lpstr>X</vt:lpstr>
      <vt:lpstr>FAQ</vt:lpstr>
      <vt:lpstr>Sheet1</vt:lpstr>
      <vt:lpstr>XTemplate</vt:lpstr>
      <vt:lpstr>P_Template</vt:lpstr>
      <vt:lpstr>Labor_Template</vt:lpstr>
      <vt:lpstr>Talent_Template</vt:lpstr>
      <vt:lpstr>Blank_Template</vt:lpstr>
      <vt:lpstr>AICP</vt:lpstr>
      <vt:lpstr>Expenses_Template</vt:lpstr>
      <vt:lpstr>Actual_10000</vt:lpstr>
      <vt:lpstr>Actual_10001</vt:lpstr>
      <vt:lpstr>Actual_10002</vt:lpstr>
      <vt:lpstr>Actual_10003</vt:lpstr>
      <vt:lpstr>Actual_10004</vt:lpstr>
      <vt:lpstr>Actual_10005</vt:lpstr>
      <vt:lpstr>Actual_10006</vt:lpstr>
      <vt:lpstr>Actual_10007</vt:lpstr>
      <vt:lpstr>Actual_A</vt:lpstr>
      <vt:lpstr>Actual_B</vt:lpstr>
      <vt:lpstr>Actual_C</vt:lpstr>
      <vt:lpstr>Actual_D</vt:lpstr>
      <vt:lpstr>Actual_E</vt:lpstr>
      <vt:lpstr>Actual_F</vt:lpstr>
      <vt:lpstr>Actual_G</vt:lpstr>
      <vt:lpstr>Actual_H</vt:lpstr>
      <vt:lpstr>Actual_I</vt:lpstr>
      <vt:lpstr>Actual_J</vt:lpstr>
      <vt:lpstr>Actual_K</vt:lpstr>
      <vt:lpstr>Actual_L</vt:lpstr>
      <vt:lpstr>Actual_M</vt:lpstr>
      <vt:lpstr>Actual_N</vt:lpstr>
      <vt:lpstr>Actual_O</vt:lpstr>
      <vt:lpstr>Blank_Template!Actual_P</vt:lpstr>
      <vt:lpstr>Expenses_Template!Actual_P</vt:lpstr>
      <vt:lpstr>Labor_Template!Actual_P</vt:lpstr>
      <vt:lpstr>P_Template!Actual_P</vt:lpstr>
      <vt:lpstr>'P1. Breakout Expenses'!Actual_P</vt:lpstr>
      <vt:lpstr>'P2. Breakout Labor'!Actual_P</vt:lpstr>
      <vt:lpstr>'P3. Breakout Talent'!Actual_P</vt:lpstr>
      <vt:lpstr>'P4. Breakout Blank'!Actual_P</vt:lpstr>
      <vt:lpstr>Talent_Template!Actual_P</vt:lpstr>
      <vt:lpstr>Actual_Q</vt:lpstr>
      <vt:lpstr>Actual_R</vt:lpstr>
      <vt:lpstr>Actual_S</vt:lpstr>
      <vt:lpstr>Actual_T</vt:lpstr>
      <vt:lpstr>Actual_V</vt:lpstr>
      <vt:lpstr>Actual_W</vt:lpstr>
      <vt:lpstr>Actual_X</vt:lpstr>
      <vt:lpstr>AddSec</vt:lpstr>
      <vt:lpstr>AtoKLine</vt:lpstr>
      <vt:lpstr>ClearTop</vt:lpstr>
      <vt:lpstr>ClearVals</vt:lpstr>
      <vt:lpstr>EndTopProdSummary</vt:lpstr>
      <vt:lpstr>FAQTable</vt:lpstr>
      <vt:lpstr>FringeRate_A</vt:lpstr>
      <vt:lpstr>FringeRate_B</vt:lpstr>
      <vt:lpstr>FringeRate_G</vt:lpstr>
      <vt:lpstr>FringeRate_M</vt:lpstr>
      <vt:lpstr>Global_Fringe</vt:lpstr>
      <vt:lpstr>Global_Handling</vt:lpstr>
      <vt:lpstr>Global_Markup</vt:lpstr>
      <vt:lpstr>Global_Tax</vt:lpstr>
      <vt:lpstr>GrandTotal</vt:lpstr>
      <vt:lpstr>GrandTotalRow</vt:lpstr>
      <vt:lpstr>HandleM</vt:lpstr>
      <vt:lpstr>HandleN</vt:lpstr>
      <vt:lpstr>Handling_O</vt:lpstr>
      <vt:lpstr>HeaderCopy</vt:lpstr>
      <vt:lpstr>HoldLastSection</vt:lpstr>
      <vt:lpstr>HourlyState_A</vt:lpstr>
      <vt:lpstr>HourlyState_B</vt:lpstr>
      <vt:lpstr>HourlyState_G</vt:lpstr>
      <vt:lpstr>HourlyState_M</vt:lpstr>
      <vt:lpstr>KillP</vt:lpstr>
      <vt:lpstr>Lead</vt:lpstr>
      <vt:lpstr>LilySections</vt:lpstr>
      <vt:lpstr>MAgencyFees</vt:lpstr>
      <vt:lpstr>Mark_QMU</vt:lpstr>
      <vt:lpstr>Mark_QTX</vt:lpstr>
      <vt:lpstr>Mark_RMU</vt:lpstr>
      <vt:lpstr>Mark_RTX</vt:lpstr>
      <vt:lpstr>Mark_SMU</vt:lpstr>
      <vt:lpstr>Mark_STX</vt:lpstr>
      <vt:lpstr>Mark_TMU</vt:lpstr>
      <vt:lpstr>Mark_TTX</vt:lpstr>
      <vt:lpstr>Mark_VMU</vt:lpstr>
      <vt:lpstr>Mark_VTX</vt:lpstr>
      <vt:lpstr>Markup_M</vt:lpstr>
      <vt:lpstr>Markup_N</vt:lpstr>
      <vt:lpstr>Markup_Q</vt:lpstr>
      <vt:lpstr>Markup_R</vt:lpstr>
      <vt:lpstr>Markup_S</vt:lpstr>
      <vt:lpstr>Markup_T</vt:lpstr>
      <vt:lpstr>Markup_V</vt:lpstr>
      <vt:lpstr>MPayroll</vt:lpstr>
      <vt:lpstr>NewP</vt:lpstr>
      <vt:lpstr>OBottom</vt:lpstr>
      <vt:lpstr>OTop</vt:lpstr>
      <vt:lpstr>Blank_Template!P_LINE1</vt:lpstr>
      <vt:lpstr>Expenses_Template!P_LINE1</vt:lpstr>
      <vt:lpstr>Labor_Template!P_LINE1</vt:lpstr>
      <vt:lpstr>'P2. Breakout Labor'!P_LINE1</vt:lpstr>
      <vt:lpstr>'P3. Breakout Talent'!P_LINE1</vt:lpstr>
      <vt:lpstr>'P4. Breakout Blank'!P_LINE1</vt:lpstr>
      <vt:lpstr>Talent_Template!P_LINE1</vt:lpstr>
      <vt:lpstr>Blank_Template!P_NUM</vt:lpstr>
      <vt:lpstr>Expenses_Template!P_NUM</vt:lpstr>
      <vt:lpstr>Labor_Template!P_NUM</vt:lpstr>
      <vt:lpstr>P_Template!P_NUM</vt:lpstr>
      <vt:lpstr>'P1. Breakout Expenses'!P_NUM</vt:lpstr>
      <vt:lpstr>'P2. Breakout Labor'!P_NUM</vt:lpstr>
      <vt:lpstr>'P3. Breakout Talent'!P_NUM</vt:lpstr>
      <vt:lpstr>'P4. Breakout Blank'!P_NUM</vt:lpstr>
      <vt:lpstr>Talent_Template!P_NUM</vt:lpstr>
      <vt:lpstr>Blank_Template!P_TITLE</vt:lpstr>
      <vt:lpstr>Expenses_Template!P_TITLE</vt:lpstr>
      <vt:lpstr>Labor_Template!P_TITLE</vt:lpstr>
      <vt:lpstr>P_Template!P_TITLE</vt:lpstr>
      <vt:lpstr>'P1. Breakout Expenses'!P_TITLE</vt:lpstr>
      <vt:lpstr>'P2. Breakout Labor'!P_TITLE</vt:lpstr>
      <vt:lpstr>'P3. Breakout Talent'!P_TITLE</vt:lpstr>
      <vt:lpstr>'P4. Breakout Blank'!P_TITLE</vt:lpstr>
      <vt:lpstr>Talent_Template!P_TITLE</vt:lpstr>
      <vt:lpstr>P_TITLE</vt:lpstr>
      <vt:lpstr>Blank_Template!P_TOT</vt:lpstr>
      <vt:lpstr>Expenses_Template!P_TOT</vt:lpstr>
      <vt:lpstr>Labor_Template!P_TOT</vt:lpstr>
      <vt:lpstr>P_Template!P_TOT</vt:lpstr>
      <vt:lpstr>'P2. Breakout Labor'!P_TOT</vt:lpstr>
      <vt:lpstr>'P3. Breakout Talent'!P_TOT</vt:lpstr>
      <vt:lpstr>'P4. Breakout Blank'!P_TOT</vt:lpstr>
      <vt:lpstr>Talent_Template!P_TOT</vt:lpstr>
      <vt:lpstr>P_TOT</vt:lpstr>
      <vt:lpstr>PBottom</vt:lpstr>
      <vt:lpstr>PCount</vt:lpstr>
      <vt:lpstr>PFeePerc</vt:lpstr>
      <vt:lpstr>PFeeX</vt:lpstr>
      <vt:lpstr>PInsPerc</vt:lpstr>
      <vt:lpstr>Plus_10000</vt:lpstr>
      <vt:lpstr>Plus_10001</vt:lpstr>
      <vt:lpstr>Plus_10002</vt:lpstr>
      <vt:lpstr>Plus_10003</vt:lpstr>
      <vt:lpstr>Plus_10004</vt:lpstr>
      <vt:lpstr>Plus_10005</vt:lpstr>
      <vt:lpstr>Plus_10006</vt:lpstr>
      <vt:lpstr>Plus_10007</vt:lpstr>
      <vt:lpstr>PostIns_Subject</vt:lpstr>
      <vt:lpstr>PostInsPerc</vt:lpstr>
      <vt:lpstr>PostInsRow</vt:lpstr>
      <vt:lpstr>PostMURow</vt:lpstr>
      <vt:lpstr>PostProdIns</vt:lpstr>
      <vt:lpstr>PostProdMU</vt:lpstr>
      <vt:lpstr>PostProdTax</vt:lpstr>
      <vt:lpstr>PostSubRow</vt:lpstr>
      <vt:lpstr>PostTaxRow</vt:lpstr>
      <vt:lpstr>PostTotalRow</vt:lpstr>
      <vt:lpstr>PPFee_Perc</vt:lpstr>
      <vt:lpstr>A!Print_Area</vt:lpstr>
      <vt:lpstr>B!Print_Area</vt:lpstr>
      <vt:lpstr>'Bid Notes'!Print_Area</vt:lpstr>
      <vt:lpstr>Blank_Template!Print_Area</vt:lpstr>
      <vt:lpstr>CDE!Print_Area</vt:lpstr>
      <vt:lpstr>Cover!Print_Area</vt:lpstr>
      <vt:lpstr>Expenses_Template!Print_Area</vt:lpstr>
      <vt:lpstr>FGH!Print_Area</vt:lpstr>
      <vt:lpstr>IJKL!Print_Area</vt:lpstr>
      <vt:lpstr>Labor_Template!Print_Area</vt:lpstr>
      <vt:lpstr>MN!Print_Area</vt:lpstr>
      <vt:lpstr>O!Print_Area</vt:lpstr>
      <vt:lpstr>P_Template!Print_Area</vt:lpstr>
      <vt:lpstr>'P1. Breakout Expenses'!Print_Area</vt:lpstr>
      <vt:lpstr>'P2. Breakout Labor'!Print_Area</vt:lpstr>
      <vt:lpstr>'P3. Breakout Talent'!Print_Area</vt:lpstr>
      <vt:lpstr>'P4. Breakout Blank'!Print_Area</vt:lpstr>
      <vt:lpstr>Q!Print_Area</vt:lpstr>
      <vt:lpstr>'R'!Print_Area</vt:lpstr>
      <vt:lpstr>S!Print_Area</vt:lpstr>
      <vt:lpstr>T!Print_Area</vt:lpstr>
      <vt:lpstr>Talent_Template!Print_Area</vt:lpstr>
      <vt:lpstr>VW!Print_Area</vt:lpstr>
      <vt:lpstr>X!Print_Area</vt:lpstr>
      <vt:lpstr>PROD_Ins_Bot</vt:lpstr>
      <vt:lpstr>PROD_PFee_Bot</vt:lpstr>
      <vt:lpstr>PRODFee</vt:lpstr>
      <vt:lpstr>PRODFee_Subject</vt:lpstr>
      <vt:lpstr>ProdIns</vt:lpstr>
      <vt:lpstr>ProdIns_Subject</vt:lpstr>
      <vt:lpstr>PSec_IncTotal</vt:lpstr>
      <vt:lpstr>Psec_Remove</vt:lpstr>
      <vt:lpstr>PTop</vt:lpstr>
      <vt:lpstr>PTop_Hide</vt:lpstr>
      <vt:lpstr>PW_BTL</vt:lpstr>
      <vt:lpstr>Q_MU</vt:lpstr>
      <vt:lpstr>Q_ROW</vt:lpstr>
      <vt:lpstr>Q_TX</vt:lpstr>
      <vt:lpstr>R_MU</vt:lpstr>
      <vt:lpstr>R_ROW</vt:lpstr>
      <vt:lpstr>R_TX</vt:lpstr>
      <vt:lpstr>RemSec</vt:lpstr>
      <vt:lpstr>S_MU</vt:lpstr>
      <vt:lpstr>S_ROW</vt:lpstr>
      <vt:lpstr>S_TX</vt:lpstr>
      <vt:lpstr>SecA_Fringe</vt:lpstr>
      <vt:lpstr>SecB_Fringe</vt:lpstr>
      <vt:lpstr>SecG_Fringe</vt:lpstr>
      <vt:lpstr>SecXProdFeeRow</vt:lpstr>
      <vt:lpstr>SubTotal_A</vt:lpstr>
      <vt:lpstr>SubTotal_B</vt:lpstr>
      <vt:lpstr>SubTotal_G</vt:lpstr>
      <vt:lpstr>T_MU</vt:lpstr>
      <vt:lpstr>T_ROW</vt:lpstr>
      <vt:lpstr>T_TX</vt:lpstr>
      <vt:lpstr>Tax_Q</vt:lpstr>
      <vt:lpstr>Tax_R</vt:lpstr>
      <vt:lpstr>Tax_S</vt:lpstr>
      <vt:lpstr>Tax_T</vt:lpstr>
      <vt:lpstr>Tax_V</vt:lpstr>
      <vt:lpstr>Labor_Template!thisSheetFringes</vt:lpstr>
      <vt:lpstr>'P2. Breakout Labor'!thisSheetFringes</vt:lpstr>
      <vt:lpstr>'P3. Breakout Talent'!thisSheetFringes</vt:lpstr>
      <vt:lpstr>Talent_Template!thisSheetFringes</vt:lpstr>
      <vt:lpstr>Blank_Template!thisSheetHandling</vt:lpstr>
      <vt:lpstr>Expenses_Template!thisSheetHandling</vt:lpstr>
      <vt:lpstr>P_Template!thisSheetHandling</vt:lpstr>
      <vt:lpstr>'P4. Breakout Blank'!thisSheetHandling</vt:lpstr>
      <vt:lpstr>thisSheetHandling</vt:lpstr>
      <vt:lpstr>'P3. Breakout Talent'!thisSheetP1_Handling</vt:lpstr>
      <vt:lpstr>Talent_Template!thisSheetP1_Handling</vt:lpstr>
      <vt:lpstr>'P3. Breakout Talent'!thisSheetP2_Handling</vt:lpstr>
      <vt:lpstr>Talent_Template!thisSheetP2_Handling</vt:lpstr>
      <vt:lpstr>Labor_Template!ThisSheetState</vt:lpstr>
      <vt:lpstr>'P2. Breakout Labor'!ThisSheetState</vt:lpstr>
      <vt:lpstr>'P3. Breakout Talent'!ThisSheetState</vt:lpstr>
      <vt:lpstr>Talent_Template!ThisSheetState</vt:lpstr>
      <vt:lpstr>thsSheetHandling</vt:lpstr>
      <vt:lpstr>TOP_AtoK</vt:lpstr>
      <vt:lpstr>TopPostSummary</vt:lpstr>
      <vt:lpstr>TopProdSummary</vt:lpstr>
      <vt:lpstr>Total_10000</vt:lpstr>
      <vt:lpstr>Total_10001</vt:lpstr>
      <vt:lpstr>Total_10002</vt:lpstr>
      <vt:lpstr>Total_10003</vt:lpstr>
      <vt:lpstr>Total_10004</vt:lpstr>
      <vt:lpstr>Total_10005</vt:lpstr>
      <vt:lpstr>Total_10006</vt:lpstr>
      <vt:lpstr>Total_10007</vt:lpstr>
      <vt:lpstr>Total_A</vt:lpstr>
      <vt:lpstr>Total_B</vt:lpstr>
      <vt:lpstr>Total_C</vt:lpstr>
      <vt:lpstr>Total_D</vt:lpstr>
      <vt:lpstr>Total_E</vt:lpstr>
      <vt:lpstr>Total_F</vt:lpstr>
      <vt:lpstr>Total_G</vt:lpstr>
      <vt:lpstr>Total_H</vt:lpstr>
      <vt:lpstr>Total_I</vt:lpstr>
      <vt:lpstr>Total_J</vt:lpstr>
      <vt:lpstr>Total_K</vt:lpstr>
      <vt:lpstr>Total_L</vt:lpstr>
      <vt:lpstr>Total_M</vt:lpstr>
      <vt:lpstr>Total_N</vt:lpstr>
      <vt:lpstr>Total_O</vt:lpstr>
      <vt:lpstr>Total_Q</vt:lpstr>
      <vt:lpstr>Total_R</vt:lpstr>
      <vt:lpstr>Total_S</vt:lpstr>
      <vt:lpstr>Total_T</vt:lpstr>
      <vt:lpstr>Total_V</vt:lpstr>
      <vt:lpstr>Total_W</vt:lpstr>
      <vt:lpstr>Total_X</vt:lpstr>
      <vt:lpstr>TotalProdPost</vt:lpstr>
      <vt:lpstr>V_MU</vt:lpstr>
      <vt:lpstr>V_ROW</vt:lpstr>
      <vt:lpstr>V_TX</vt:lpstr>
      <vt:lpstr>Blank_Template!Variance_P</vt:lpstr>
      <vt:lpstr>Expenses_Template!Variance_P</vt:lpstr>
      <vt:lpstr>Labor_Template!Variance_P</vt:lpstr>
      <vt:lpstr>P_Template!Variance_P</vt:lpstr>
      <vt:lpstr>'P1. Breakout Expenses'!Variance_P</vt:lpstr>
      <vt:lpstr>'P2. Breakout Labor'!Variance_P</vt:lpstr>
      <vt:lpstr>'P3. Breakout Talent'!Variance_P</vt:lpstr>
      <vt:lpstr>'P4. Breakout Blank'!Variance_P</vt:lpstr>
      <vt:lpstr>Talent_Template!Variance_P</vt:lpstr>
      <vt:lpstr>W_ROW</vt:lpstr>
      <vt:lpstr>X_10000Aft</vt:lpstr>
      <vt:lpstr>X_10000Bef</vt:lpstr>
      <vt:lpstr>X_10001Bef</vt:lpstr>
      <vt:lpstr>X_10002Bef</vt:lpstr>
      <vt:lpstr>X_10003Bef</vt:lpstr>
      <vt:lpstr>X_10004Bef</vt:lpstr>
      <vt:lpstr>X_10005Bef</vt:lpstr>
      <vt:lpstr>X_10006Bef</vt:lpstr>
      <vt:lpstr>X_10007Bef</vt:lpstr>
      <vt:lpstr>X_ROW</vt:lpstr>
      <vt:lpstr>XProdFee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DR</dc:creator>
  <cp:lastModifiedBy>Brian Doherty</cp:lastModifiedBy>
  <cp:lastPrinted>2025-02-06T15:00:19Z</cp:lastPrinted>
  <dcterms:created xsi:type="dcterms:W3CDTF">2019-05-17T14:12:21Z</dcterms:created>
  <dcterms:modified xsi:type="dcterms:W3CDTF">2025-02-06T15:04:21Z</dcterms:modified>
</cp:coreProperties>
</file>