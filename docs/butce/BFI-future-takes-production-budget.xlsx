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C:\Users\finnj\Downloads\"/>
    </mc:Choice>
  </mc:AlternateContent>
  <xr:revisionPtr revIDLastSave="0" documentId="8_{E9E7CB64-2A3B-4F5D-B102-4DDF06A5F085}" xr6:coauthVersionLast="47" xr6:coauthVersionMax="47" xr10:uidLastSave="{00000000-0000-0000-0000-000000000000}"/>
  <bookViews>
    <workbookView xWindow="-25320" yWindow="-2070" windowWidth="25440" windowHeight="15270" tabRatio="755" firstSheet="2" xr2:uid="{00000000-000D-0000-FFFF-FFFF00000000}"/>
  </bookViews>
  <sheets>
    <sheet name="Guidance" sheetId="23" r:id="rId1"/>
    <sheet name="Production Budget" sheetId="4" r:id="rId2"/>
    <sheet name="Access Budget" sheetId="14" r:id="rId3"/>
    <sheet name="Top Sheet" sheetId="17" r:id="rId4"/>
  </sheets>
  <definedNames>
    <definedName name="_xlnm.Print_Area" localSheetId="2">'Access Budget'!$C$2:$K$107</definedName>
    <definedName name="_xlnm.Print_Area" localSheetId="1">'Production Budget'!$G$3:$O$115</definedName>
    <definedName name="_xlnm.Print_Area" localSheetId="3">'Top Sheet'!$G$2:$J$18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70" i="14" l="1"/>
  <c r="I170" i="14"/>
  <c r="H170" i="14"/>
  <c r="N201" i="4"/>
  <c r="M201" i="4"/>
  <c r="L201" i="4"/>
  <c r="G10" i="17"/>
  <c r="D9" i="17"/>
  <c r="G7" i="14"/>
  <c r="G6" i="23"/>
  <c r="I6" i="23"/>
  <c r="E7" i="23"/>
  <c r="I7" i="23"/>
  <c r="E8" i="23"/>
  <c r="I8" i="23"/>
  <c r="E9" i="23"/>
  <c r="G7" i="23"/>
  <c r="G8" i="23"/>
  <c r="G9" i="23"/>
  <c r="G10" i="23"/>
  <c r="G11" i="23"/>
  <c r="G12" i="23"/>
  <c r="G13" i="23"/>
  <c r="G14" i="23"/>
  <c r="G15" i="23"/>
  <c r="G16" i="23"/>
  <c r="B15" i="17" l="1"/>
  <c r="C48" i="4" l="1"/>
  <c r="C20" i="17" s="1"/>
  <c r="K193" i="4"/>
  <c r="K192" i="4"/>
  <c r="G167" i="14"/>
  <c r="J167" i="14" s="1"/>
  <c r="G174" i="14"/>
  <c r="C34" i="4"/>
  <c r="C12" i="17" s="1"/>
  <c r="K196" i="4"/>
  <c r="D19" i="17"/>
  <c r="C19" i="17"/>
  <c r="D18" i="17"/>
  <c r="D17" i="17"/>
  <c r="C18" i="17"/>
  <c r="C17" i="17"/>
  <c r="K12" i="4"/>
  <c r="K5" i="4"/>
  <c r="F2" i="17"/>
  <c r="D16" i="17"/>
  <c r="C16" i="17"/>
  <c r="B16" i="17"/>
  <c r="C7" i="17"/>
  <c r="C2" i="17"/>
  <c r="B2" i="17"/>
  <c r="I17" i="14"/>
  <c r="J3" i="17"/>
  <c r="I3" i="17"/>
  <c r="I2" i="17"/>
  <c r="F30" i="17"/>
  <c r="F27" i="17"/>
  <c r="F7" i="17"/>
  <c r="G29" i="17"/>
  <c r="G28" i="17"/>
  <c r="G26" i="17"/>
  <c r="G25" i="17"/>
  <c r="G24" i="17"/>
  <c r="G23" i="17"/>
  <c r="G22" i="17"/>
  <c r="G21" i="17"/>
  <c r="G20" i="17"/>
  <c r="G19" i="17"/>
  <c r="G18" i="17"/>
  <c r="G17" i="17"/>
  <c r="G16" i="17"/>
  <c r="G15" i="17"/>
  <c r="G14" i="17"/>
  <c r="G13" i="17"/>
  <c r="G12" i="17"/>
  <c r="G11" i="17"/>
  <c r="G9" i="17"/>
  <c r="G8" i="17"/>
  <c r="G6" i="17"/>
  <c r="G5" i="17"/>
  <c r="G4" i="17"/>
  <c r="F29" i="17"/>
  <c r="F28" i="17"/>
  <c r="F26" i="17"/>
  <c r="F25" i="17"/>
  <c r="F24" i="17"/>
  <c r="F23" i="17"/>
  <c r="F22" i="17"/>
  <c r="F21" i="17"/>
  <c r="F20" i="17"/>
  <c r="F19" i="17"/>
  <c r="F18" i="17"/>
  <c r="F17" i="17"/>
  <c r="F16" i="17"/>
  <c r="F15" i="17"/>
  <c r="F14" i="17"/>
  <c r="F13" i="17"/>
  <c r="F12" i="17"/>
  <c r="F11" i="17"/>
  <c r="F10" i="17"/>
  <c r="F9" i="17"/>
  <c r="F8" i="17"/>
  <c r="F6" i="17"/>
  <c r="F5" i="17"/>
  <c r="F4" i="17"/>
  <c r="H3" i="17"/>
  <c r="G3" i="17"/>
  <c r="F3" i="17"/>
  <c r="B12" i="17"/>
  <c r="B19" i="17"/>
  <c r="B18" i="17"/>
  <c r="B17" i="17"/>
  <c r="B5" i="17"/>
  <c r="C6" i="17"/>
  <c r="D6" i="17"/>
  <c r="B6" i="17"/>
  <c r="B14" i="17"/>
  <c r="B13" i="17"/>
  <c r="D11" i="17"/>
  <c r="C11" i="17"/>
  <c r="D10" i="17"/>
  <c r="C10" i="17"/>
  <c r="C9" i="17"/>
  <c r="D8" i="17"/>
  <c r="C8" i="17"/>
  <c r="B11" i="17"/>
  <c r="B10" i="17"/>
  <c r="B9" i="17"/>
  <c r="B8" i="17"/>
  <c r="B7" i="17"/>
  <c r="M102" i="4"/>
  <c r="I16" i="17" s="1"/>
  <c r="I18" i="14"/>
  <c r="G166" i="14"/>
  <c r="J166" i="14" s="1"/>
  <c r="G165" i="14"/>
  <c r="J165" i="14" s="1"/>
  <c r="G6" i="14"/>
  <c r="J6" i="14" s="1"/>
  <c r="J7" i="14"/>
  <c r="G8" i="14"/>
  <c r="J8" i="14" s="1"/>
  <c r="G9" i="14"/>
  <c r="J9" i="14" s="1"/>
  <c r="G10" i="14"/>
  <c r="J10" i="14" s="1"/>
  <c r="G11" i="14"/>
  <c r="J11" i="14" s="1"/>
  <c r="G12" i="14"/>
  <c r="J12" i="14" s="1"/>
  <c r="G13" i="14"/>
  <c r="J13" i="14" s="1"/>
  <c r="G14" i="14"/>
  <c r="J14" i="14" s="1"/>
  <c r="G15" i="14"/>
  <c r="J15" i="14" s="1"/>
  <c r="I180" i="14"/>
  <c r="I176" i="14"/>
  <c r="G176" i="14"/>
  <c r="I169" i="14"/>
  <c r="I163" i="14"/>
  <c r="G161" i="14"/>
  <c r="J161" i="14" s="1"/>
  <c r="I159" i="14"/>
  <c r="G157" i="14"/>
  <c r="I155" i="14"/>
  <c r="G153" i="14"/>
  <c r="J153" i="14" s="1"/>
  <c r="G152" i="14"/>
  <c r="J152" i="14" s="1"/>
  <c r="G151" i="14"/>
  <c r="J151" i="14" s="1"/>
  <c r="G150" i="14"/>
  <c r="J150" i="14" s="1"/>
  <c r="G149" i="14"/>
  <c r="J149" i="14" s="1"/>
  <c r="I147" i="14"/>
  <c r="G145" i="14"/>
  <c r="J145" i="14" s="1"/>
  <c r="G144" i="14"/>
  <c r="J144" i="14" s="1"/>
  <c r="G143" i="14"/>
  <c r="J143" i="14" s="1"/>
  <c r="G142" i="14"/>
  <c r="I140" i="14"/>
  <c r="G138" i="14"/>
  <c r="J138" i="14" s="1"/>
  <c r="G137" i="14"/>
  <c r="J137" i="14" s="1"/>
  <c r="G136" i="14"/>
  <c r="I134" i="14"/>
  <c r="G132" i="14"/>
  <c r="J132" i="14" s="1"/>
  <c r="G131" i="14"/>
  <c r="J131" i="14" s="1"/>
  <c r="G130" i="14"/>
  <c r="J130" i="14" s="1"/>
  <c r="G129" i="14"/>
  <c r="J129" i="14" s="1"/>
  <c r="G128" i="14"/>
  <c r="J128" i="14" s="1"/>
  <c r="G127" i="14"/>
  <c r="J127" i="14" s="1"/>
  <c r="G126" i="14"/>
  <c r="J126" i="14" s="1"/>
  <c r="G125" i="14"/>
  <c r="J125" i="14" s="1"/>
  <c r="G124" i="14"/>
  <c r="J124" i="14" s="1"/>
  <c r="G123" i="14"/>
  <c r="J123" i="14" s="1"/>
  <c r="I121" i="14"/>
  <c r="G119" i="14"/>
  <c r="J119" i="14" s="1"/>
  <c r="G118" i="14"/>
  <c r="J118" i="14" s="1"/>
  <c r="G117" i="14"/>
  <c r="J117" i="14" s="1"/>
  <c r="G116" i="14"/>
  <c r="J116" i="14" s="1"/>
  <c r="G115" i="14"/>
  <c r="J115" i="14" s="1"/>
  <c r="G114" i="14"/>
  <c r="J114" i="14" s="1"/>
  <c r="G113" i="14"/>
  <c r="J113" i="14" s="1"/>
  <c r="G111" i="14"/>
  <c r="J111" i="14" s="1"/>
  <c r="I109" i="14"/>
  <c r="G107" i="14"/>
  <c r="J107" i="14" s="1"/>
  <c r="G106" i="14"/>
  <c r="J106" i="14" s="1"/>
  <c r="G105" i="14"/>
  <c r="I103" i="14"/>
  <c r="G101" i="14"/>
  <c r="J101" i="14" s="1"/>
  <c r="G100" i="14"/>
  <c r="J100" i="14" s="1"/>
  <c r="I98" i="14"/>
  <c r="G96" i="14"/>
  <c r="J96" i="14" s="1"/>
  <c r="G95" i="14"/>
  <c r="J95" i="14" s="1"/>
  <c r="G94" i="14"/>
  <c r="J94" i="14" s="1"/>
  <c r="G93" i="14"/>
  <c r="J93" i="14" s="1"/>
  <c r="G92" i="14"/>
  <c r="J92" i="14" s="1"/>
  <c r="G91" i="14"/>
  <c r="J91" i="14" s="1"/>
  <c r="G90" i="14"/>
  <c r="J90" i="14" s="1"/>
  <c r="G89" i="14"/>
  <c r="J89" i="14" s="1"/>
  <c r="G88" i="14"/>
  <c r="J88" i="14" s="1"/>
  <c r="G87" i="14"/>
  <c r="J87" i="14" s="1"/>
  <c r="G86" i="14"/>
  <c r="J86" i="14" s="1"/>
  <c r="G85" i="14"/>
  <c r="J85" i="14" s="1"/>
  <c r="G84" i="14"/>
  <c r="J84" i="14" s="1"/>
  <c r="I82" i="14"/>
  <c r="G80" i="14"/>
  <c r="J80" i="14" s="1"/>
  <c r="G79" i="14"/>
  <c r="J79" i="14" s="1"/>
  <c r="G78" i="14"/>
  <c r="J78" i="14" s="1"/>
  <c r="G77" i="14"/>
  <c r="J77" i="14" s="1"/>
  <c r="I75" i="14"/>
  <c r="G73" i="14"/>
  <c r="J73" i="14" s="1"/>
  <c r="G72" i="14"/>
  <c r="J72" i="14" s="1"/>
  <c r="G71" i="14"/>
  <c r="J71" i="14" s="1"/>
  <c r="G70" i="14"/>
  <c r="J70" i="14" s="1"/>
  <c r="G69" i="14"/>
  <c r="J69" i="14" s="1"/>
  <c r="G68" i="14"/>
  <c r="J68" i="14" s="1"/>
  <c r="G67" i="14"/>
  <c r="J67" i="14" s="1"/>
  <c r="I65" i="14"/>
  <c r="G63" i="14"/>
  <c r="J63" i="14" s="1"/>
  <c r="G62" i="14"/>
  <c r="J62" i="14" s="1"/>
  <c r="G61" i="14"/>
  <c r="J61" i="14" s="1"/>
  <c r="G60" i="14"/>
  <c r="J60" i="14" s="1"/>
  <c r="G59" i="14"/>
  <c r="J59" i="14" s="1"/>
  <c r="G58" i="14"/>
  <c r="J58" i="14" s="1"/>
  <c r="I56" i="14"/>
  <c r="G54" i="14"/>
  <c r="J54" i="14" s="1"/>
  <c r="G53" i="14"/>
  <c r="J53" i="14" s="1"/>
  <c r="G52" i="14"/>
  <c r="J52" i="14" s="1"/>
  <c r="G51" i="14"/>
  <c r="J51" i="14" s="1"/>
  <c r="G50" i="14"/>
  <c r="I48" i="14"/>
  <c r="G46" i="14"/>
  <c r="J46" i="14" s="1"/>
  <c r="G45" i="14"/>
  <c r="J45" i="14" s="1"/>
  <c r="G44" i="14"/>
  <c r="J44" i="14" s="1"/>
  <c r="G43" i="14"/>
  <c r="J43" i="14" s="1"/>
  <c r="G42" i="14"/>
  <c r="J42" i="14" s="1"/>
  <c r="G41" i="14"/>
  <c r="J41" i="14" s="1"/>
  <c r="G40" i="14"/>
  <c r="J40" i="14" s="1"/>
  <c r="I38" i="14"/>
  <c r="G36" i="14"/>
  <c r="J36" i="14" s="1"/>
  <c r="G35" i="14"/>
  <c r="J35" i="14" s="1"/>
  <c r="G34" i="14"/>
  <c r="J34" i="14" s="1"/>
  <c r="G33" i="14"/>
  <c r="J33" i="14" s="1"/>
  <c r="G32" i="14"/>
  <c r="J32" i="14" s="1"/>
  <c r="G31" i="14"/>
  <c r="J31" i="14" s="1"/>
  <c r="G29" i="14"/>
  <c r="J29" i="14" s="1"/>
  <c r="G28" i="14"/>
  <c r="J28" i="14" s="1"/>
  <c r="G27" i="14"/>
  <c r="J27" i="14" s="1"/>
  <c r="G25" i="14"/>
  <c r="J25" i="14" s="1"/>
  <c r="G24" i="14"/>
  <c r="J24" i="14" s="1"/>
  <c r="G23" i="14"/>
  <c r="J23" i="14" s="1"/>
  <c r="G21" i="14"/>
  <c r="J21" i="14" s="1"/>
  <c r="G4" i="14"/>
  <c r="J17" i="14" l="1"/>
  <c r="J18" i="14" s="1"/>
  <c r="G17" i="14"/>
  <c r="H18" i="14" s="1"/>
  <c r="J174" i="14"/>
  <c r="J176" i="14" s="1"/>
  <c r="G140" i="14"/>
  <c r="G56" i="14"/>
  <c r="G109" i="14"/>
  <c r="J75" i="14"/>
  <c r="G75" i="14"/>
  <c r="J98" i="14"/>
  <c r="G121" i="14"/>
  <c r="J155" i="14"/>
  <c r="G155" i="14"/>
  <c r="J169" i="14"/>
  <c r="G169" i="14"/>
  <c r="J50" i="14"/>
  <c r="J56" i="14" s="1"/>
  <c r="G65" i="14"/>
  <c r="G82" i="14"/>
  <c r="J105" i="14"/>
  <c r="J109" i="14" s="1"/>
  <c r="J136" i="14"/>
  <c r="J140" i="14" s="1"/>
  <c r="G163" i="14"/>
  <c r="G103" i="14"/>
  <c r="G134" i="14"/>
  <c r="G159" i="14"/>
  <c r="G98" i="14"/>
  <c r="G147" i="14"/>
  <c r="J157" i="14"/>
  <c r="J159" i="14" s="1"/>
  <c r="I181" i="14"/>
  <c r="I184" i="14" s="1"/>
  <c r="J103" i="14"/>
  <c r="J121" i="14"/>
  <c r="J163" i="14"/>
  <c r="G38" i="14"/>
  <c r="J65" i="14"/>
  <c r="J38" i="14"/>
  <c r="J48" i="14"/>
  <c r="G48" i="14"/>
  <c r="J82" i="14"/>
  <c r="J134" i="14"/>
  <c r="J142" i="14"/>
  <c r="J147" i="14" s="1"/>
  <c r="H178" i="14" l="1"/>
  <c r="G180" i="14" l="1"/>
  <c r="H181" i="14" s="1"/>
  <c r="G184" i="14" s="1"/>
  <c r="J178" i="14"/>
  <c r="J180" i="14" s="1"/>
  <c r="J181" i="14" l="1"/>
  <c r="J184" i="14" s="1"/>
  <c r="K210" i="4" l="1"/>
  <c r="K23" i="4"/>
  <c r="K13" i="4"/>
  <c r="K34" i="4"/>
  <c r="N34" i="4" s="1"/>
  <c r="K35" i="4"/>
  <c r="N35" i="4" s="1"/>
  <c r="K36" i="4"/>
  <c r="N36" i="4" s="1"/>
  <c r="K37" i="4"/>
  <c r="N37" i="4" s="1"/>
  <c r="K38" i="4"/>
  <c r="N38" i="4" s="1"/>
  <c r="H29" i="17" l="1"/>
  <c r="K15" i="4"/>
  <c r="H5" i="17" s="1"/>
  <c r="K7" i="4"/>
  <c r="K8" i="4"/>
  <c r="K10" i="4" l="1"/>
  <c r="H4" i="17" s="1"/>
  <c r="K111" i="4"/>
  <c r="M200" i="4" l="1"/>
  <c r="I26" i="17" l="1"/>
  <c r="M10" i="4"/>
  <c r="M15" i="4"/>
  <c r="M19" i="4"/>
  <c r="M40" i="4"/>
  <c r="M50" i="4"/>
  <c r="M58" i="4"/>
  <c r="M68" i="4"/>
  <c r="M79" i="4"/>
  <c r="M86" i="4"/>
  <c r="M108" i="4"/>
  <c r="M117" i="4"/>
  <c r="M131" i="4"/>
  <c r="M144" i="4"/>
  <c r="M150" i="4"/>
  <c r="M164" i="4"/>
  <c r="M172" i="4"/>
  <c r="M178" i="4"/>
  <c r="M186" i="4"/>
  <c r="M210" i="4"/>
  <c r="M206" i="4"/>
  <c r="I28" i="17" s="1"/>
  <c r="I23" i="17" l="1"/>
  <c r="I19" i="17"/>
  <c r="I15" i="17"/>
  <c r="I11" i="17"/>
  <c r="I22" i="17"/>
  <c r="I18" i="17"/>
  <c r="I14" i="17"/>
  <c r="I10" i="17"/>
  <c r="I25" i="17"/>
  <c r="I21" i="17"/>
  <c r="I17" i="17"/>
  <c r="I13" i="17"/>
  <c r="I9" i="17"/>
  <c r="I4" i="17"/>
  <c r="I24" i="17"/>
  <c r="I20" i="17"/>
  <c r="I12" i="17"/>
  <c r="I29" i="17"/>
  <c r="I30" i="17" s="1"/>
  <c r="I8" i="17"/>
  <c r="I5" i="17"/>
  <c r="I6" i="17"/>
  <c r="M211" i="4"/>
  <c r="M20" i="4"/>
  <c r="I27" i="17" l="1"/>
  <c r="I7" i="17"/>
  <c r="M214" i="4"/>
  <c r="I33" i="17" l="1"/>
  <c r="K33" i="4"/>
  <c r="K31" i="4"/>
  <c r="K30" i="4"/>
  <c r="K29" i="4"/>
  <c r="N208" i="4"/>
  <c r="N210" i="4" l="1"/>
  <c r="K169" i="4"/>
  <c r="N169" i="4" s="1"/>
  <c r="N7" i="4"/>
  <c r="J29" i="17" l="1"/>
  <c r="K48" i="4"/>
  <c r="N48" i="4" s="1"/>
  <c r="N192" i="4"/>
  <c r="K191" i="4"/>
  <c r="N191" i="4" s="1"/>
  <c r="K190" i="4"/>
  <c r="N190" i="4" s="1"/>
  <c r="K77" i="4"/>
  <c r="N77" i="4" s="1"/>
  <c r="H10" i="17" l="1"/>
  <c r="H11" i="17"/>
  <c r="J10" i="17"/>
  <c r="J11" i="17"/>
  <c r="N12" i="4" l="1"/>
  <c r="N13" i="4"/>
  <c r="K17" i="4"/>
  <c r="N17" i="4" l="1"/>
  <c r="N19" i="4" s="1"/>
  <c r="K19" i="4"/>
  <c r="N15" i="4"/>
  <c r="K168" i="4"/>
  <c r="N168" i="4" s="1"/>
  <c r="H6" i="17" l="1"/>
  <c r="H7" i="17" s="1"/>
  <c r="L20" i="4"/>
  <c r="J5" i="17"/>
  <c r="K160" i="4"/>
  <c r="N160" i="4" l="1"/>
  <c r="K204" i="4"/>
  <c r="K206" i="4" s="1"/>
  <c r="L211" i="4" s="1"/>
  <c r="N196" i="4"/>
  <c r="K195" i="4"/>
  <c r="K194" i="4"/>
  <c r="N194" i="4" s="1"/>
  <c r="N193" i="4"/>
  <c r="K189" i="4"/>
  <c r="N189" i="4" s="1"/>
  <c r="K188" i="4"/>
  <c r="K200" i="4" s="1"/>
  <c r="K184" i="4"/>
  <c r="N184" i="4" s="1"/>
  <c r="K183" i="4"/>
  <c r="N183" i="4" s="1"/>
  <c r="K182" i="4"/>
  <c r="N182" i="4" s="1"/>
  <c r="K181" i="4"/>
  <c r="K180" i="4"/>
  <c r="K176" i="4"/>
  <c r="N176" i="4" s="1"/>
  <c r="K175" i="4"/>
  <c r="N175" i="4" s="1"/>
  <c r="K174" i="4"/>
  <c r="K170" i="4"/>
  <c r="N170" i="4" s="1"/>
  <c r="K167" i="4"/>
  <c r="K166" i="4"/>
  <c r="K162" i="4"/>
  <c r="N162" i="4" s="1"/>
  <c r="K161" i="4"/>
  <c r="N161" i="4" s="1"/>
  <c r="K158" i="4"/>
  <c r="N158" i="4" s="1"/>
  <c r="K157" i="4"/>
  <c r="N157" i="4" s="1"/>
  <c r="K156" i="4"/>
  <c r="N156" i="4" s="1"/>
  <c r="K155" i="4"/>
  <c r="N155" i="4" s="1"/>
  <c r="K154" i="4"/>
  <c r="N154" i="4" s="1"/>
  <c r="K153" i="4"/>
  <c r="N153" i="4" s="1"/>
  <c r="K152" i="4"/>
  <c r="K148" i="4"/>
  <c r="N148" i="4" s="1"/>
  <c r="K147" i="4"/>
  <c r="N147" i="4" s="1"/>
  <c r="K146" i="4"/>
  <c r="K142" i="4"/>
  <c r="N142" i="4" s="1"/>
  <c r="K141" i="4"/>
  <c r="N141" i="4" s="1"/>
  <c r="K140" i="4"/>
  <c r="N140" i="4" s="1"/>
  <c r="K139" i="4"/>
  <c r="K138" i="4"/>
  <c r="N138" i="4" s="1"/>
  <c r="K137" i="4"/>
  <c r="N137" i="4" s="1"/>
  <c r="K136" i="4"/>
  <c r="N136" i="4" s="1"/>
  <c r="K135" i="4"/>
  <c r="N135" i="4" s="1"/>
  <c r="K134" i="4"/>
  <c r="N134" i="4" s="1"/>
  <c r="K133" i="4"/>
  <c r="K129" i="4"/>
  <c r="N129" i="4" s="1"/>
  <c r="K128" i="4"/>
  <c r="N128" i="4" s="1"/>
  <c r="K127" i="4"/>
  <c r="N127" i="4" s="1"/>
  <c r="K126" i="4"/>
  <c r="K125" i="4"/>
  <c r="N125" i="4" s="1"/>
  <c r="K124" i="4"/>
  <c r="N124" i="4" s="1"/>
  <c r="K123" i="4"/>
  <c r="N123" i="4" s="1"/>
  <c r="K122" i="4"/>
  <c r="N122" i="4" s="1"/>
  <c r="K121" i="4"/>
  <c r="N121" i="4" s="1"/>
  <c r="K119" i="4"/>
  <c r="K115" i="4"/>
  <c r="N115" i="4" s="1"/>
  <c r="K114" i="4"/>
  <c r="N114" i="4" s="1"/>
  <c r="K113" i="4"/>
  <c r="N113" i="4" s="1"/>
  <c r="K112" i="4"/>
  <c r="N112" i="4" s="1"/>
  <c r="N111" i="4"/>
  <c r="K110" i="4"/>
  <c r="K106" i="4"/>
  <c r="N106" i="4" s="1"/>
  <c r="K105" i="4"/>
  <c r="N105" i="4" s="1"/>
  <c r="K104" i="4"/>
  <c r="K100" i="4"/>
  <c r="N100" i="4" s="1"/>
  <c r="K99" i="4"/>
  <c r="N99" i="4" s="1"/>
  <c r="K98" i="4"/>
  <c r="N98" i="4" s="1"/>
  <c r="K97" i="4"/>
  <c r="N97" i="4" s="1"/>
  <c r="K96" i="4"/>
  <c r="N96" i="4" s="1"/>
  <c r="K95" i="4"/>
  <c r="N95" i="4" s="1"/>
  <c r="K94" i="4"/>
  <c r="N94" i="4" s="1"/>
  <c r="K93" i="4"/>
  <c r="N93" i="4" s="1"/>
  <c r="K92" i="4"/>
  <c r="N92" i="4" s="1"/>
  <c r="K91" i="4"/>
  <c r="N91" i="4" s="1"/>
  <c r="K90" i="4"/>
  <c r="N90" i="4" s="1"/>
  <c r="K89" i="4"/>
  <c r="N89" i="4" s="1"/>
  <c r="K88" i="4"/>
  <c r="K84" i="4"/>
  <c r="N84" i="4" s="1"/>
  <c r="K83" i="4"/>
  <c r="N83" i="4" s="1"/>
  <c r="K82" i="4"/>
  <c r="N82" i="4" s="1"/>
  <c r="K81" i="4"/>
  <c r="K76" i="4"/>
  <c r="N76" i="4" s="1"/>
  <c r="K75" i="4"/>
  <c r="N75" i="4" s="1"/>
  <c r="K74" i="4"/>
  <c r="N74" i="4" s="1"/>
  <c r="K73" i="4"/>
  <c r="N73" i="4" s="1"/>
  <c r="K72" i="4"/>
  <c r="N72" i="4" s="1"/>
  <c r="K71" i="4"/>
  <c r="N71" i="4" s="1"/>
  <c r="K70" i="4"/>
  <c r="K66" i="4"/>
  <c r="N66" i="4" s="1"/>
  <c r="K65" i="4"/>
  <c r="N65" i="4" s="1"/>
  <c r="K64" i="4"/>
  <c r="N64" i="4" s="1"/>
  <c r="K63" i="4"/>
  <c r="N63" i="4" s="1"/>
  <c r="K62" i="4"/>
  <c r="N62" i="4" s="1"/>
  <c r="K61" i="4"/>
  <c r="N61" i="4" s="1"/>
  <c r="K60" i="4"/>
  <c r="K56" i="4"/>
  <c r="N56" i="4" s="1"/>
  <c r="K55" i="4"/>
  <c r="N55" i="4" s="1"/>
  <c r="K54" i="4"/>
  <c r="N54" i="4" s="1"/>
  <c r="K53" i="4"/>
  <c r="N53" i="4" s="1"/>
  <c r="K52" i="4"/>
  <c r="K47" i="4"/>
  <c r="N47" i="4" s="1"/>
  <c r="K46" i="4"/>
  <c r="N46" i="4" s="1"/>
  <c r="K45" i="4"/>
  <c r="N45" i="4" s="1"/>
  <c r="K44" i="4"/>
  <c r="N44" i="4" s="1"/>
  <c r="K43" i="4"/>
  <c r="N43" i="4" s="1"/>
  <c r="K42" i="4"/>
  <c r="N33" i="4"/>
  <c r="N31" i="4"/>
  <c r="N30" i="4"/>
  <c r="N29" i="4"/>
  <c r="K27" i="4"/>
  <c r="N27" i="4" s="1"/>
  <c r="K26" i="4"/>
  <c r="N26" i="4" s="1"/>
  <c r="K25" i="4"/>
  <c r="N23" i="4"/>
  <c r="N8" i="4"/>
  <c r="N10" i="4" s="1"/>
  <c r="J4" i="17" s="1"/>
  <c r="H28" i="17" l="1"/>
  <c r="H30" i="17" s="1"/>
  <c r="K86" i="4"/>
  <c r="K178" i="4"/>
  <c r="N25" i="4"/>
  <c r="N40" i="4" s="1"/>
  <c r="J8" i="17" s="1"/>
  <c r="K40" i="4"/>
  <c r="N88" i="4"/>
  <c r="N102" i="4" s="1"/>
  <c r="K102" i="4"/>
  <c r="N60" i="4"/>
  <c r="N68" i="4" s="1"/>
  <c r="K68" i="4"/>
  <c r="N119" i="4"/>
  <c r="K131" i="4"/>
  <c r="K150" i="4"/>
  <c r="N166" i="4"/>
  <c r="K172" i="4"/>
  <c r="N110" i="4"/>
  <c r="N117" i="4" s="1"/>
  <c r="K117" i="4"/>
  <c r="N133" i="4"/>
  <c r="K144" i="4"/>
  <c r="N180" i="4"/>
  <c r="K186" i="4"/>
  <c r="N52" i="4"/>
  <c r="N58" i="4" s="1"/>
  <c r="K58" i="4"/>
  <c r="N70" i="4"/>
  <c r="N79" i="4" s="1"/>
  <c r="K79" i="4"/>
  <c r="N104" i="4"/>
  <c r="N108" i="4" s="1"/>
  <c r="K108" i="4"/>
  <c r="N152" i="4"/>
  <c r="N164" i="4" s="1"/>
  <c r="K164" i="4"/>
  <c r="N188" i="4"/>
  <c r="N200" i="4" s="1"/>
  <c r="N42" i="4"/>
  <c r="N50" i="4" s="1"/>
  <c r="K50" i="4"/>
  <c r="N195" i="4"/>
  <c r="N181" i="4"/>
  <c r="N174" i="4"/>
  <c r="N178" i="4" s="1"/>
  <c r="N167" i="4"/>
  <c r="N146" i="4"/>
  <c r="N150" i="4" s="1"/>
  <c r="N139" i="4"/>
  <c r="N126" i="4"/>
  <c r="N81" i="4"/>
  <c r="N86" i="4" s="1"/>
  <c r="N204" i="4"/>
  <c r="N206" i="4" s="1"/>
  <c r="J28" i="17" s="1"/>
  <c r="J30" i="17" s="1"/>
  <c r="L208" i="4" l="1"/>
  <c r="J214" i="4"/>
  <c r="H12" i="17"/>
  <c r="H26" i="17"/>
  <c r="J17" i="17"/>
  <c r="J12" i="17"/>
  <c r="H13" i="17"/>
  <c r="H15" i="17"/>
  <c r="J24" i="17"/>
  <c r="H20" i="17"/>
  <c r="J21" i="17"/>
  <c r="H22" i="17"/>
  <c r="H14" i="17"/>
  <c r="H25" i="17"/>
  <c r="H18" i="17"/>
  <c r="H21" i="17"/>
  <c r="J13" i="17"/>
  <c r="J9" i="17"/>
  <c r="H17" i="17"/>
  <c r="H23" i="17"/>
  <c r="J16" i="17"/>
  <c r="J15" i="17"/>
  <c r="H9" i="17"/>
  <c r="J22" i="17"/>
  <c r="J14" i="17"/>
  <c r="J18" i="17"/>
  <c r="H19" i="17"/>
  <c r="H16" i="17"/>
  <c r="H24" i="17"/>
  <c r="H8" i="17"/>
  <c r="N172" i="4"/>
  <c r="N144" i="4"/>
  <c r="N131" i="4"/>
  <c r="N186" i="4"/>
  <c r="N211" i="4"/>
  <c r="C36" i="4" l="1"/>
  <c r="C38" i="4" s="1"/>
  <c r="J26" i="17"/>
  <c r="J25" i="17"/>
  <c r="H27" i="17"/>
  <c r="I32" i="17" s="1"/>
  <c r="J20" i="17"/>
  <c r="J23" i="17"/>
  <c r="J19" i="17"/>
  <c r="J27" i="17" l="1"/>
  <c r="C13" i="17" l="1"/>
  <c r="C14" i="17" l="1"/>
  <c r="N20" i="4" l="1"/>
  <c r="N214" i="4" s="1"/>
  <c r="J6" i="17"/>
  <c r="J7" i="17" s="1"/>
  <c r="I34" i="17" s="1"/>
</calcChain>
</file>

<file path=xl/sharedStrings.xml><?xml version="1.0" encoding="utf-8"?>
<sst xmlns="http://schemas.openxmlformats.org/spreadsheetml/2006/main" count="484" uniqueCount="271">
  <si>
    <t>Contents</t>
  </si>
  <si>
    <t>BFI and Film4 Future Takes: Production Budget - Guidance</t>
  </si>
  <si>
    <t>Please read the guidance below in full while putting together an application to BFI and Film4 Future Takes.</t>
  </si>
  <si>
    <t>Information &amp; Finance Plan</t>
  </si>
  <si>
    <t>In this section of the Production Budget producers should add information on their proposed production schedule, the names of the core creative team members and the finance plan for the project. Any additional finance and in kind support that has been offered or is planned to be secured should also be included.</t>
  </si>
  <si>
    <t>Project &amp; Team Information</t>
  </si>
  <si>
    <t>▪ Project Title</t>
  </si>
  <si>
    <r>
      <t xml:space="preserve">▪ Length of project preparation | </t>
    </r>
    <r>
      <rPr>
        <sz val="12"/>
        <color rgb="FF000000"/>
        <rFont val="Arial"/>
        <family val="2"/>
      </rPr>
      <t xml:space="preserve"> XX weeks</t>
    </r>
  </si>
  <si>
    <t>▪ Production Company</t>
  </si>
  <si>
    <r>
      <t xml:space="preserve">▪ Length of shoot | </t>
    </r>
    <r>
      <rPr>
        <sz val="12"/>
        <color rgb="FF000000"/>
        <rFont val="Arial"/>
        <family val="2"/>
      </rPr>
      <t>X days</t>
    </r>
  </si>
  <si>
    <t>▪ Producer(s) name</t>
  </si>
  <si>
    <r>
      <t xml:space="preserve">▪ Length of shooting days | </t>
    </r>
    <r>
      <rPr>
        <sz val="12"/>
        <color rgb="FF000000"/>
        <rFont val="Arial"/>
        <family val="2"/>
      </rPr>
      <t>X hours</t>
    </r>
  </si>
  <si>
    <t>▪ Writer(s) name</t>
  </si>
  <si>
    <r>
      <t xml:space="preserve">▪ Shooting format | </t>
    </r>
    <r>
      <rPr>
        <sz val="12"/>
        <color rgb="FF000000"/>
        <rFont val="Arial"/>
        <family val="2"/>
      </rPr>
      <t>Digital, 35mm film or other formats</t>
    </r>
  </si>
  <si>
    <t>▪ Director(s) name</t>
  </si>
  <si>
    <t>Finance Plan</t>
  </si>
  <si>
    <r>
      <t xml:space="preserve">Award request amount | </t>
    </r>
    <r>
      <rPr>
        <sz val="12"/>
        <color rgb="FF000000"/>
        <rFont val="Arial"/>
        <family val="2"/>
      </rPr>
      <t>The total amount being applied for</t>
    </r>
  </si>
  <si>
    <r>
      <rPr>
        <b/>
        <sz val="12"/>
        <color rgb="FF000000"/>
        <rFont val="Arial"/>
      </rPr>
      <t xml:space="preserve">Any other sources of income | </t>
    </r>
    <r>
      <rPr>
        <sz val="12"/>
        <color rgb="FF000000"/>
        <rFont val="Arial"/>
      </rPr>
      <t>Your project should be fully funded through Future Takes. We will not support projects where the budget exceeds what you are requesting from us (unless you plan to use your own private funds). This may include private equity or investments. Producers do not have to raise additional finance for their project, if it can be made with the amount of funding requested from BFI and Film4 Future Takes. Any contribution of less than £50 should be credited to the contingency of the project.</t>
    </r>
  </si>
  <si>
    <t>In kind support</t>
  </si>
  <si>
    <t>Applicants may find that some kit or post-production houses with whom they have an existing professional relationship will be willing to provide services in kind. We can only allow in-kind work from companies who will be paying their staff directly - individual freelancers cannot work on a BFI and Film4 Future Takes funded film without payment.</t>
  </si>
  <si>
    <t>Add the organisation/company name and the  total amount of the support provided in the finance section of the sheet. Applicants still need to complete the corresponding line on the budget with a cost of £0 and add 'in kind support' in the Notes column for reference.</t>
  </si>
  <si>
    <t>Budget Breakdown</t>
  </si>
  <si>
    <t xml:space="preserve">In this section applicants need to detail all of the costs that they would need to budget for to deliver their project. Producers are not required to put a cost against every line of the budget template – not all cost types will be relevant to a project – and this should only show the expenditure that is actually expected to be incurred. </t>
  </si>
  <si>
    <t>Completing the budget</t>
  </si>
  <si>
    <t>Enter information into the yellow cells on the Production Budget tab and the sheet will calculate out the totals. There is space next to every budget line to add notes, this can be information on support in kind, higher than average predicted costs or anything else relevant to include.</t>
  </si>
  <si>
    <t>Additional support</t>
  </si>
  <si>
    <t>Applicants can get help if they need support to apply for funding. They might need support because they are disabled, neurodivergent or another reason. We work with TAPE Community Film and Music to provide access support. TAPE is an award-winning, community arts charity based in North Wales</t>
  </si>
  <si>
    <r>
      <rPr>
        <b/>
        <sz val="12"/>
        <color theme="1"/>
        <rFont val="Arial"/>
        <family val="2"/>
      </rPr>
      <t>Get access support to apply for BFI funds |</t>
    </r>
    <r>
      <rPr>
        <b/>
        <sz val="12"/>
        <color rgb="FF0066FF"/>
        <rFont val="Arial"/>
        <family val="2"/>
      </rPr>
      <t xml:space="preserve"> </t>
    </r>
    <r>
      <rPr>
        <b/>
        <u/>
        <sz val="12"/>
        <color rgb="FF0066FF"/>
        <rFont val="Arial"/>
        <family val="2"/>
      </rPr>
      <t>https://www.bfi.org.uk/get-funding-support/get-access-support-apply-bfi-funds</t>
    </r>
  </si>
  <si>
    <t>London Living Wage</t>
  </si>
  <si>
    <t>All cast and crew involved in the making of a BFI and Film4 Future Takes funded film must be paid at least equivalent to the London Living Wage. Crew fees should have parity across departments. This means that we expect crew members at a similar experience level to be paid the same across the production, for example a Production Assistant would be paid the same as a Camera Assistant. We want to ensure that everyone who works on BFI nd Film4 Future Takes funded productions are paid for their time.</t>
  </si>
  <si>
    <r>
      <rPr>
        <b/>
        <sz val="12"/>
        <color theme="1"/>
        <rFont val="Arial"/>
        <family val="2"/>
      </rPr>
      <t xml:space="preserve">Current Hourly Rate | </t>
    </r>
    <r>
      <rPr>
        <b/>
        <u/>
        <sz val="12"/>
        <color rgb="FF0066FF"/>
        <rFont val="Arial"/>
        <family val="2"/>
      </rPr>
      <t>https://www.london.gov.uk/programmes-strategies/business-and-economy/london-living-wage/</t>
    </r>
  </si>
  <si>
    <t>Student Placements</t>
  </si>
  <si>
    <t>There are very limited exemptions to the London Living Wage rule. We can make an exception for Film and Media students who have a letter from a lecturer or course leader at their college or university, stating that their participation in the production is  part of their course. If an application is approved and the producer intends to include student trainees in their crew, they must discuss this with their BFI Executive as early as possible during contracting as they will need to approve this decision.</t>
  </si>
  <si>
    <t>We will need a letter or other correspondence from the educational institution involved (college or university) confirming that the named student will be working on the named short project in the context of their Film/Media/Animation/Art related course. All team members must be over 18, including student trainees.</t>
  </si>
  <si>
    <t>Above the line / core team fees</t>
  </si>
  <si>
    <t>All applications must include a fee for the film’s producer(s), director(s) and writer(s). If a project has a writer/director, only one set of fees needs to be included for both roles.</t>
  </si>
  <si>
    <t>Flat rates</t>
  </si>
  <si>
    <t>Certain Heads of Department, like the DOP, Composer and Editor, may prefer to set a flat rate for their work on the project. These fees cannot be waived. Applicants may also negotiate a flat-rate deal with a post house who they have worked with before on other projects. It is up to the post house in question to provide producers with a quote.</t>
  </si>
  <si>
    <t>Film equipment should be budgeted for outside of HOD fees. If HODs are bringing their own equipment then this should be costed separately in the budget.</t>
  </si>
  <si>
    <t>Deliverables</t>
  </si>
  <si>
    <t>All the necessary film deliverables that are outlined in our BFI and Film4 Future Takes Guidelines must be budgeted for. This includes the creation of a DCP, the enhanced access materials for the film and the files required by the BFI National Archive. We advise approaching a number of service providers to get quotes for deliverables costs so productions are budgeted accurately. If an application is successful, a BFI Executive may be able to provide further guidance on service providers.</t>
  </si>
  <si>
    <t>Deliverables List |</t>
  </si>
  <si>
    <t>Legal Fees</t>
  </si>
  <si>
    <t>We require adequate external legal fees to be included for the production. We recommend that your budget includes £5,000 fees for external lawyers. BFI and Film4 can, on request, supply template clearance documents for the selected films (writer, director, individual producer, cast, crew, locations, music composer). If your project involves adaptation of underlying material, it is particularly important to ensure you have allowed adequate costs in your budget to acquire the rights to adapt such material, and for associated legal document(s)</t>
  </si>
  <si>
    <t>We will try to guide applicants where we can, but we cannot provide legal advice or act on their behalf (e.g. when dealing with agents or negotiating finance terms).</t>
  </si>
  <si>
    <t>Insurance</t>
  </si>
  <si>
    <t>Applicants must budget for insurance for the short film to include all customary production insurances (including errors and omissions) on which the BFI and Film4 will require to be added as a loss payee (for production insurance) and as an additional insured (for errors and omissions). The insurance should be in the name of the company or lead producer who owns the rights in the short.</t>
  </si>
  <si>
    <t>Contingency</t>
  </si>
  <si>
    <t>Contingency must be a minium of 10% of the total budget. This is to ensure the budget can cover any unexpected costs which arise during the production of the film. A running total of the minimum contingency is provided at the bottom of the sheet. If awarded funding, producers must seek permission from the BFI Executive before spending any contingency.</t>
  </si>
  <si>
    <t>Access Budget</t>
  </si>
  <si>
    <t>We’re committed to making our funds as open and inclusive as possible. If any members of the core team, cast and/or crew have access needs that mean there will be additional costs during the production of the project, they can be included these in this part of the document. Access costs can't be speculative - they must relate to specific expenses for specific members of the crew or cast.</t>
  </si>
  <si>
    <t>Updating the access budget</t>
  </si>
  <si>
    <t>We do not expect teams to have a full cast or crew in place when applying for funding. If a project is recommended for support we will require an updated budget ahead of contracting. This should include any applicable access costs for any cast or crew that have joined the project since the initial application. If the applications is already seeking the maximum award amount and it has not been possible to cover access costs within that, the producer can apply for these in addition to the maximum award amount.</t>
  </si>
  <si>
    <t xml:space="preserve">Including additional access costs will not have a negative impact on an application assessment. </t>
  </si>
  <si>
    <t>Example costs</t>
  </si>
  <si>
    <t xml:space="preserve">People may have different access needs depending on their role and the production. Not all costs can be covered, for example we cannot currently cover childcare expenses. Some of the costs we have seen on previous Shorts include: </t>
  </si>
  <si>
    <t>▪ A BSL interpreter to work with members of cast or crew</t>
  </si>
  <si>
    <t>▪ Additional transport or accommodation costs for disabled team members</t>
  </si>
  <si>
    <t>▪ A fee for the personal assistant of a team member who requires assistance during the production</t>
  </si>
  <si>
    <t>If someone requires additional shooting time as part of their access request, the associated costs should be included on the appropriate line in the access budget.</t>
  </si>
  <si>
    <t>BFI and Film4 Future Takes Budget Template</t>
  </si>
  <si>
    <t>Cost reporting</t>
  </si>
  <si>
    <t>Project title:</t>
  </si>
  <si>
    <t>Line No.</t>
  </si>
  <si>
    <t>Description</t>
  </si>
  <si>
    <t>Amounts</t>
  </si>
  <si>
    <t>Unit</t>
  </si>
  <si>
    <t>Rate (£)</t>
  </si>
  <si>
    <t>Subtotal</t>
  </si>
  <si>
    <t>Notes</t>
  </si>
  <si>
    <t>Actual</t>
  </si>
  <si>
    <t>Variance</t>
  </si>
  <si>
    <t>Example:</t>
  </si>
  <si>
    <t>Days</t>
  </si>
  <si>
    <t>Production company:</t>
  </si>
  <si>
    <t>Story and script</t>
  </si>
  <si>
    <t>Writers fee</t>
  </si>
  <si>
    <t>Producer(s):</t>
  </si>
  <si>
    <t>Story rights/options</t>
  </si>
  <si>
    <t>Writer(s):</t>
  </si>
  <si>
    <t>Subtotal:</t>
  </si>
  <si>
    <t>Producer</t>
  </si>
  <si>
    <t>Director(s):</t>
  </si>
  <si>
    <t>Producer fee</t>
  </si>
  <si>
    <t>Executive Producers Fee</t>
  </si>
  <si>
    <t>Length of preperation:</t>
  </si>
  <si>
    <t>Length of shoot:</t>
  </si>
  <si>
    <t>Director</t>
  </si>
  <si>
    <t>Director fee</t>
  </si>
  <si>
    <t>Length of shoot day:</t>
  </si>
  <si>
    <t>Shoot format:</t>
  </si>
  <si>
    <t>Total above the line:</t>
  </si>
  <si>
    <t>Cast</t>
  </si>
  <si>
    <t>Source</t>
  </si>
  <si>
    <t>Amount (£)</t>
  </si>
  <si>
    <t>Secured</t>
  </si>
  <si>
    <t>Casting director</t>
  </si>
  <si>
    <t>Award Request Amount</t>
  </si>
  <si>
    <t>Lead cast</t>
  </si>
  <si>
    <t>4.2.1</t>
  </si>
  <si>
    <t>Lead actor / Voice over artist</t>
  </si>
  <si>
    <t xml:space="preserve">[e.g. Private investment] </t>
  </si>
  <si>
    <t>[yes/no]</t>
  </si>
  <si>
    <t>4.2.2</t>
  </si>
  <si>
    <t>Lead actor 2</t>
  </si>
  <si>
    <t>4.2.3</t>
  </si>
  <si>
    <t>Lead actor 3</t>
  </si>
  <si>
    <t>Supporting cast</t>
  </si>
  <si>
    <t>4.3.1</t>
  </si>
  <si>
    <t>Supporting actor 1</t>
  </si>
  <si>
    <t>4.3.2</t>
  </si>
  <si>
    <t>Supporting actor 2</t>
  </si>
  <si>
    <t>4.3.3</t>
  </si>
  <si>
    <t>Supporting actor 3</t>
  </si>
  <si>
    <t>Extras</t>
  </si>
  <si>
    <t>4.4.1</t>
  </si>
  <si>
    <t>Scene number:</t>
  </si>
  <si>
    <t>Total finance plan</t>
  </si>
  <si>
    <t>4.4.2</t>
  </si>
  <si>
    <t>4.4.3</t>
  </si>
  <si>
    <t>Total project budget</t>
  </si>
  <si>
    <t>Stunt coordinator</t>
  </si>
  <si>
    <t>Dialogue coach</t>
  </si>
  <si>
    <t>Budget surplus/deficit</t>
  </si>
  <si>
    <t>Chaperone</t>
  </si>
  <si>
    <t>Production</t>
  </si>
  <si>
    <t>[Organisation Name]</t>
  </si>
  <si>
    <t>Line producer</t>
  </si>
  <si>
    <t>Production manager</t>
  </si>
  <si>
    <t>Production coordinator</t>
  </si>
  <si>
    <t>Production assistant</t>
  </si>
  <si>
    <t>Production runner</t>
  </si>
  <si>
    <t>Location manager</t>
  </si>
  <si>
    <t>Total in kind support</t>
  </si>
  <si>
    <t>Script supervisor</t>
  </si>
  <si>
    <t>Assistant Directors</t>
  </si>
  <si>
    <t>First assistant director</t>
  </si>
  <si>
    <t>Second assistant director</t>
  </si>
  <si>
    <t>Third assistant director</t>
  </si>
  <si>
    <t>Floor runner 1</t>
  </si>
  <si>
    <t>Floor runner 2</t>
  </si>
  <si>
    <t>Camera</t>
  </si>
  <si>
    <t>Director of photography</t>
  </si>
  <si>
    <t>First assistant camera</t>
  </si>
  <si>
    <t>Second assistant camera</t>
  </si>
  <si>
    <t>Grip</t>
  </si>
  <si>
    <t>Digital imaging technician</t>
  </si>
  <si>
    <t>Camera package</t>
  </si>
  <si>
    <t>Hard drives</t>
  </si>
  <si>
    <t>Lighting</t>
  </si>
  <si>
    <t>Gaffer</t>
  </si>
  <si>
    <t>Electrician 1</t>
  </si>
  <si>
    <t>Electrician 2</t>
  </si>
  <si>
    <t>Electrician 3</t>
  </si>
  <si>
    <t>Lighting package</t>
  </si>
  <si>
    <t>Purchases</t>
  </si>
  <si>
    <t>Generator</t>
  </si>
  <si>
    <t>Consumables</t>
  </si>
  <si>
    <t>Sound</t>
  </si>
  <si>
    <t>Recordist/mixer</t>
  </si>
  <si>
    <t>Boom operator</t>
  </si>
  <si>
    <t>Sound package</t>
  </si>
  <si>
    <t>Radios</t>
  </si>
  <si>
    <t>Production design</t>
  </si>
  <si>
    <t>Production designer</t>
  </si>
  <si>
    <t>Art director</t>
  </si>
  <si>
    <t>Set decorator</t>
  </si>
  <si>
    <t>Art department assistant</t>
  </si>
  <si>
    <t>Standby art director</t>
  </si>
  <si>
    <t>Storyboard artist</t>
  </si>
  <si>
    <t>Prop master</t>
  </si>
  <si>
    <t>Rentals</t>
  </si>
  <si>
    <t>Construction</t>
  </si>
  <si>
    <t>Special effects supervisor</t>
  </si>
  <si>
    <t>Consumbables</t>
  </si>
  <si>
    <t xml:space="preserve">  </t>
  </si>
  <si>
    <t>Animals/wrangler</t>
  </si>
  <si>
    <t>Action vehicles</t>
  </si>
  <si>
    <t>Costume</t>
  </si>
  <si>
    <t>Costume designer</t>
  </si>
  <si>
    <t>Costume supervisor</t>
  </si>
  <si>
    <t>Hair and make up</t>
  </si>
  <si>
    <t>Hair and make up artist</t>
  </si>
  <si>
    <t>Hair and make up assistant</t>
  </si>
  <si>
    <t>Wigs</t>
  </si>
  <si>
    <t>Prosthetics</t>
  </si>
  <si>
    <t>Box rental</t>
  </si>
  <si>
    <t>Locations</t>
  </si>
  <si>
    <t>Stage rental / Studio hire</t>
  </si>
  <si>
    <t>Location Fees</t>
  </si>
  <si>
    <t>13.2.1</t>
  </si>
  <si>
    <t>Location 1</t>
  </si>
  <si>
    <t>13.2.2</t>
  </si>
  <si>
    <t>Location 2</t>
  </si>
  <si>
    <t>13.2.3</t>
  </si>
  <si>
    <t>Location 3</t>
  </si>
  <si>
    <t>Parking</t>
  </si>
  <si>
    <t>Catering</t>
  </si>
  <si>
    <t>Location consumables</t>
  </si>
  <si>
    <t>Rehearsal room</t>
  </si>
  <si>
    <t>Health &amp; Safety</t>
  </si>
  <si>
    <t>Covid consumables (PPE etc.)</t>
  </si>
  <si>
    <t>Travel and transport</t>
  </si>
  <si>
    <t>Driver</t>
  </si>
  <si>
    <t>Facility vehicle</t>
  </si>
  <si>
    <t>Camera/Grip/Lighting vehicle</t>
  </si>
  <si>
    <t>Sound vehicle</t>
  </si>
  <si>
    <t>Props vehicle</t>
  </si>
  <si>
    <t>Honey wagon</t>
  </si>
  <si>
    <t>Taxis</t>
  </si>
  <si>
    <t>Petrol</t>
  </si>
  <si>
    <t>Congestion charge</t>
  </si>
  <si>
    <t>Recce costs</t>
  </si>
  <si>
    <t>Accomodation</t>
  </si>
  <si>
    <t>Hotels</t>
  </si>
  <si>
    <t>Per diem</t>
  </si>
  <si>
    <t>Post picture</t>
  </si>
  <si>
    <t>Editor</t>
  </si>
  <si>
    <t>Assistant editor</t>
  </si>
  <si>
    <t>Cutting room</t>
  </si>
  <si>
    <t>Data transfer</t>
  </si>
  <si>
    <t>Conform and grade</t>
  </si>
  <si>
    <t>Stock or Archive footage</t>
  </si>
  <si>
    <t>Visual effects / compositing / rigging</t>
  </si>
  <si>
    <t>16.8.1</t>
  </si>
  <si>
    <t>Deliverables creation and delivery</t>
  </si>
  <si>
    <t>16.8.2</t>
  </si>
  <si>
    <t>Digital Cinema Package (DCP)</t>
  </si>
  <si>
    <t>16.8.3</t>
  </si>
  <si>
    <t>Enhanced access materials</t>
  </si>
  <si>
    <t>Post sound</t>
  </si>
  <si>
    <t>Sound editor</t>
  </si>
  <si>
    <t>Automated dialogue replacement (ADR)</t>
  </si>
  <si>
    <t>Dubbing theatre / Recording studio</t>
  </si>
  <si>
    <t>Foley artist</t>
  </si>
  <si>
    <t>Final mix</t>
  </si>
  <si>
    <t>Music</t>
  </si>
  <si>
    <t>Composer</t>
  </si>
  <si>
    <t xml:space="preserve">Source (including sync and rec) </t>
  </si>
  <si>
    <t>Publicity</t>
  </si>
  <si>
    <t>Stills</t>
  </si>
  <si>
    <t>Poster design</t>
  </si>
  <si>
    <t>EPK design</t>
  </si>
  <si>
    <t>Trailer edit</t>
  </si>
  <si>
    <t>Festival submissions (max £800)</t>
  </si>
  <si>
    <t>Miscellaneous</t>
  </si>
  <si>
    <t>Office overhead and equiptment</t>
  </si>
  <si>
    <t>Legal fees</t>
  </si>
  <si>
    <t>Computer and software rentals</t>
  </si>
  <si>
    <t>Software licences</t>
  </si>
  <si>
    <t>Mobile phones</t>
  </si>
  <si>
    <t>Heating</t>
  </si>
  <si>
    <t>Post account and audit</t>
  </si>
  <si>
    <t>Bank charges</t>
  </si>
  <si>
    <t>Total below the line:</t>
  </si>
  <si>
    <t>Production package</t>
  </si>
  <si>
    <t>10% of current running total</t>
  </si>
  <si>
    <t>Contingency (minimum 10% of total production budget)</t>
  </si>
  <si>
    <t>Total other:</t>
  </si>
  <si>
    <t>Production Grand Total:</t>
  </si>
  <si>
    <t>BFI and Film4 Future Takes: Access Budget</t>
  </si>
  <si>
    <t>General Access Costs</t>
  </si>
  <si>
    <t>Total general access costs:</t>
  </si>
  <si>
    <t>5% of current access budget</t>
  </si>
  <si>
    <t>**Contingency (5% of access budget)</t>
  </si>
  <si>
    <t>Access Budget Grand Total:</t>
  </si>
  <si>
    <t>BFI NETWORK England Short Film Fund: Production Budget Top Sheet</t>
  </si>
  <si>
    <t>Budget Total:</t>
  </si>
  <si>
    <t>Total Costs:</t>
  </si>
  <si>
    <t>Final Variance:</t>
  </si>
  <si>
    <t>There is a breakdown of what the BFI require within the budget in section 4. What you can use the funding for in the funding guidelines.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</si>
</sst>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quot;£&quot;* #,##0.00_-;_-&quot;£&quot;* &quot;-&quot;??_-;_-@_-"/>
    <numFmt numFmtId="164" formatCode="&quot;£&quot;#,##0.00"/>
    <numFmt numFmtId="165" formatCode="0.0"/>
  </numFmts>
  <fonts count="42" x14ac:knownFonts="1">
    <font>
      <sz val="11"/>
      <color theme="1"/>
      <name val="Calibri"/>
      <family val="2"/>
      <scheme val="minor"/>
    </font>
    <font>
      <sz val="10"/>
      <name val="Arial"/>
      <family val="2"/>
    </font>
    <font>
      <sz val="10"/>
      <name val="Arial"/>
      <family val="2"/>
    </font>
    <font>
      <sz val="12"/>
      <name val="Arial"/>
      <family val="2"/>
    </font>
    <font>
      <b/>
      <sz val="20"/>
      <name val="Arial Black"/>
      <family val="2"/>
    </font>
    <font>
      <b/>
      <sz val="12"/>
      <name val="Arial"/>
      <family val="2"/>
    </font>
    <font>
      <sz val="11"/>
      <color theme="1"/>
      <name val="Calibri"/>
      <family val="2"/>
      <scheme val="minor"/>
    </font>
    <font>
      <b/>
      <sz val="10"/>
      <name val="Arial"/>
      <family val="2"/>
    </font>
    <font>
      <i/>
      <sz val="10"/>
      <color theme="6" tint="-0.499984740745262"/>
      <name val="Arial"/>
      <family val="2"/>
    </font>
    <font>
      <b/>
      <sz val="10"/>
      <color theme="1"/>
      <name val="Arial"/>
      <family val="2"/>
    </font>
    <font>
      <i/>
      <sz val="10"/>
      <color theme="1"/>
      <name val="Arial"/>
      <family val="2"/>
    </font>
    <font>
      <b/>
      <sz val="12"/>
      <color rgb="FFC00000"/>
      <name val="Arial"/>
      <family val="2"/>
    </font>
    <font>
      <u/>
      <sz val="11"/>
      <color theme="10"/>
      <name val="Calibri"/>
      <family val="2"/>
      <scheme val="minor"/>
    </font>
    <font>
      <sz val="12"/>
      <color theme="1"/>
      <name val="Arial"/>
      <family val="2"/>
    </font>
    <font>
      <sz val="11"/>
      <color theme="1"/>
      <name val="Arial"/>
      <family val="2"/>
    </font>
    <font>
      <b/>
      <sz val="11"/>
      <color theme="1"/>
      <name val="Arial"/>
      <family val="2"/>
    </font>
    <font>
      <b/>
      <sz val="12"/>
      <color theme="1"/>
      <name val="Arial"/>
      <family val="2"/>
    </font>
    <font>
      <sz val="12"/>
      <color rgb="FF000000"/>
      <name val="Arial"/>
      <family val="2"/>
    </font>
    <font>
      <b/>
      <sz val="12"/>
      <color rgb="FF000000"/>
      <name val="Arial"/>
      <family val="2"/>
    </font>
    <font>
      <sz val="12"/>
      <color theme="1"/>
      <name val="Arial Narrow"/>
      <family val="2"/>
    </font>
    <font>
      <b/>
      <u/>
      <sz val="12"/>
      <color rgb="FF0066FF"/>
      <name val="Arial"/>
      <family val="2"/>
    </font>
    <font>
      <b/>
      <sz val="12"/>
      <color rgb="FF0066FF"/>
      <name val="Arial"/>
      <family val="2"/>
    </font>
    <font>
      <b/>
      <sz val="20"/>
      <name val="Arial"/>
      <family val="2"/>
    </font>
    <font>
      <b/>
      <sz val="11"/>
      <name val="Arial"/>
      <family val="2"/>
    </font>
    <font>
      <sz val="11"/>
      <name val="Arial"/>
      <family val="2"/>
    </font>
    <font>
      <i/>
      <sz val="11"/>
      <color theme="1"/>
      <name val="Arial"/>
      <family val="2"/>
    </font>
    <font>
      <b/>
      <sz val="18"/>
      <color theme="1"/>
      <name val="Arial"/>
      <family val="2"/>
    </font>
    <font>
      <sz val="16"/>
      <color theme="1"/>
      <name val="Arial"/>
      <family val="2"/>
    </font>
    <font>
      <b/>
      <sz val="18"/>
      <color theme="1"/>
      <name val="Arial Nova"/>
      <family val="2"/>
    </font>
    <font>
      <sz val="14"/>
      <color theme="1"/>
      <name val="Arial"/>
      <family val="2"/>
    </font>
    <font>
      <b/>
      <sz val="14"/>
      <color rgb="FF000000"/>
      <name val="Arial"/>
      <family val="2"/>
    </font>
    <font>
      <sz val="14"/>
      <color theme="1"/>
      <name val="Arial Nova"/>
      <family val="2"/>
    </font>
    <font>
      <sz val="12"/>
      <color rgb="FF0066FF"/>
      <name val="Arial Black"/>
      <family val="2"/>
    </font>
    <font>
      <sz val="12"/>
      <color rgb="FF0066FF"/>
      <name val="Arial"/>
      <family val="2"/>
    </font>
    <font>
      <b/>
      <sz val="18"/>
      <color theme="1"/>
      <name val="Arial Black"/>
      <family val="2"/>
    </font>
    <font>
      <sz val="11"/>
      <color rgb="FF0066FF"/>
      <name val="Calibri"/>
      <family val="2"/>
      <scheme val="minor"/>
    </font>
    <font>
      <b/>
      <sz val="14"/>
      <name val="Arial"/>
      <family val="2"/>
    </font>
    <font>
      <b/>
      <sz val="20"/>
      <color theme="1"/>
      <name val="Arial Black"/>
      <family val="2"/>
    </font>
    <font>
      <sz val="11"/>
      <color rgb="FF0066FF"/>
      <name val="Arial Black"/>
      <family val="2"/>
    </font>
    <font>
      <b/>
      <sz val="12"/>
      <color rgb="FF0066FF"/>
      <name val="Arial Black"/>
      <family val="2"/>
    </font>
    <font>
      <b/>
      <sz val="12"/>
      <color rgb="FF000000"/>
      <name val="Arial"/>
    </font>
    <font>
      <sz val="12"/>
      <color rgb="FF000000"/>
      <name val="Arial"/>
    </font>
  </fonts>
  <fills count="23">
    <fill>
      <patternFill patternType="none"/>
    </fill>
    <fill>
      <patternFill patternType="gray125"/>
    </fill>
    <fill>
      <patternFill patternType="solid">
        <fgColor theme="0" tint="-0.14999847407452621"/>
        <bgColor indexed="64"/>
      </patternFill>
    </fill>
    <fill>
      <patternFill patternType="solid">
        <fgColor theme="0" tint="-4.9989318521683403E-2"/>
        <bgColor indexed="64"/>
      </patternFill>
    </fill>
    <fill>
      <patternFill patternType="solid">
        <fgColor theme="8" tint="0.79998168889431442"/>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theme="5" tint="0.59999389629810485"/>
        <bgColor indexed="64"/>
      </patternFill>
    </fill>
    <fill>
      <patternFill patternType="solid">
        <fgColor theme="4" tint="0.59999389629810485"/>
        <bgColor indexed="64"/>
      </patternFill>
    </fill>
    <fill>
      <patternFill patternType="solid">
        <fgColor theme="5" tint="0.39997558519241921"/>
        <bgColor indexed="64"/>
      </patternFill>
    </fill>
    <fill>
      <patternFill patternType="solid">
        <fgColor rgb="FFFFFFCC"/>
        <bgColor indexed="64"/>
      </patternFill>
    </fill>
    <fill>
      <patternFill patternType="solid">
        <fgColor rgb="FFCC99FF"/>
        <bgColor indexed="64"/>
      </patternFill>
    </fill>
    <fill>
      <patternFill patternType="solid">
        <fgColor theme="8" tint="0.59999389629810485"/>
        <bgColor indexed="64"/>
      </patternFill>
    </fill>
    <fill>
      <patternFill patternType="solid">
        <fgColor theme="0"/>
        <bgColor indexed="64"/>
      </patternFill>
    </fill>
    <fill>
      <patternFill patternType="solid">
        <fgColor rgb="FFFFCCFF"/>
        <bgColor indexed="64"/>
      </patternFill>
    </fill>
    <fill>
      <patternFill patternType="solid">
        <fgColor rgb="FFFFE1FF"/>
        <bgColor indexed="64"/>
      </patternFill>
    </fill>
    <fill>
      <patternFill patternType="solid">
        <fgColor theme="6" tint="0.79998168889431442"/>
        <bgColor indexed="64"/>
      </patternFill>
    </fill>
    <fill>
      <patternFill patternType="solid">
        <fgColor theme="9"/>
        <bgColor indexed="64"/>
      </patternFill>
    </fill>
    <fill>
      <patternFill patternType="solid">
        <fgColor theme="0" tint="-0.249977111117893"/>
        <bgColor indexed="64"/>
      </patternFill>
    </fill>
    <fill>
      <patternFill patternType="solid">
        <fgColor theme="1"/>
        <bgColor indexed="64"/>
      </patternFill>
    </fill>
    <fill>
      <patternFill patternType="solid">
        <fgColor theme="5"/>
        <bgColor indexed="64"/>
      </patternFill>
    </fill>
    <fill>
      <patternFill patternType="solid">
        <fgColor rgb="FFFFFF00"/>
        <bgColor indexed="64"/>
      </patternFill>
    </fill>
  </fills>
  <borders count="139">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
      <left/>
      <right/>
      <top/>
      <bottom style="medium">
        <color indexed="64"/>
      </bottom>
      <diagonal/>
    </border>
    <border>
      <left style="thin">
        <color indexed="64"/>
      </left>
      <right style="thin">
        <color indexed="64"/>
      </right>
      <top style="medium">
        <color indexed="64"/>
      </top>
      <bottom style="thin">
        <color indexed="64"/>
      </bottom>
      <diagonal/>
    </border>
    <border>
      <left/>
      <right/>
      <top style="medium">
        <color indexed="64"/>
      </top>
      <bottom style="thin">
        <color indexed="64"/>
      </bottom>
      <diagonal/>
    </border>
    <border>
      <left/>
      <right/>
      <top/>
      <bottom style="double">
        <color indexed="64"/>
      </bottom>
      <diagonal/>
    </border>
    <border>
      <left style="double">
        <color indexed="64"/>
      </left>
      <right/>
      <top style="double">
        <color indexed="64"/>
      </top>
      <bottom/>
      <diagonal/>
    </border>
    <border>
      <left style="double">
        <color indexed="64"/>
      </left>
      <right/>
      <top/>
      <bottom style="double">
        <color indexed="64"/>
      </bottom>
      <diagonal/>
    </border>
    <border>
      <left/>
      <right/>
      <top style="double">
        <color indexed="64"/>
      </top>
      <bottom style="medium">
        <color indexed="64"/>
      </bottom>
      <diagonal/>
    </border>
    <border>
      <left style="thick">
        <color indexed="64"/>
      </left>
      <right/>
      <top style="thick">
        <color indexed="64"/>
      </top>
      <bottom/>
      <diagonal/>
    </border>
    <border>
      <left/>
      <right/>
      <top style="thick">
        <color indexed="64"/>
      </top>
      <bottom/>
      <diagonal/>
    </border>
    <border>
      <left/>
      <right style="thick">
        <color indexed="64"/>
      </right>
      <top style="thick">
        <color indexed="64"/>
      </top>
      <bottom/>
      <diagonal/>
    </border>
    <border>
      <left style="thick">
        <color indexed="64"/>
      </left>
      <right/>
      <top/>
      <bottom/>
      <diagonal/>
    </border>
    <border>
      <left/>
      <right style="thick">
        <color indexed="64"/>
      </right>
      <top/>
      <bottom/>
      <diagonal/>
    </border>
    <border>
      <left style="thin">
        <color indexed="64"/>
      </left>
      <right style="thick">
        <color indexed="64"/>
      </right>
      <top/>
      <bottom style="thin">
        <color indexed="64"/>
      </bottom>
      <diagonal/>
    </border>
    <border>
      <left style="thick">
        <color indexed="64"/>
      </left>
      <right style="thin">
        <color indexed="64"/>
      </right>
      <top style="thin">
        <color indexed="64"/>
      </top>
      <bottom style="thin">
        <color indexed="64"/>
      </bottom>
      <diagonal/>
    </border>
    <border>
      <left style="thick">
        <color indexed="64"/>
      </left>
      <right/>
      <top style="thin">
        <color indexed="64"/>
      </top>
      <bottom style="thin">
        <color indexed="64"/>
      </bottom>
      <diagonal/>
    </border>
    <border>
      <left/>
      <right style="thick">
        <color indexed="64"/>
      </right>
      <top style="thin">
        <color indexed="64"/>
      </top>
      <bottom style="thin">
        <color indexed="64"/>
      </bottom>
      <diagonal/>
    </border>
    <border>
      <left style="thick">
        <color indexed="64"/>
      </left>
      <right/>
      <top style="thin">
        <color indexed="64"/>
      </top>
      <bottom style="thick">
        <color indexed="64"/>
      </bottom>
      <diagonal/>
    </border>
    <border>
      <left style="thick">
        <color indexed="64"/>
      </left>
      <right/>
      <top style="medium">
        <color indexed="64"/>
      </top>
      <bottom style="thin">
        <color indexed="64"/>
      </bottom>
      <diagonal/>
    </border>
    <border>
      <left/>
      <right/>
      <top style="thick">
        <color indexed="64"/>
      </top>
      <bottom style="medium">
        <color indexed="64"/>
      </bottom>
      <diagonal/>
    </border>
    <border>
      <left style="thick">
        <color indexed="64"/>
      </left>
      <right/>
      <top style="thin">
        <color indexed="64"/>
      </top>
      <bottom style="double">
        <color indexed="64"/>
      </bottom>
      <diagonal/>
    </border>
    <border>
      <left/>
      <right style="thick">
        <color indexed="64"/>
      </right>
      <top style="thin">
        <color indexed="64"/>
      </top>
      <bottom/>
      <diagonal/>
    </border>
    <border>
      <left/>
      <right style="thick">
        <color indexed="64"/>
      </right>
      <top/>
      <bottom style="thin">
        <color indexed="64"/>
      </bottom>
      <diagonal/>
    </border>
    <border>
      <left style="thick">
        <color indexed="64"/>
      </left>
      <right/>
      <top style="thin">
        <color indexed="64"/>
      </top>
      <bottom/>
      <diagonal/>
    </border>
    <border>
      <left style="thick">
        <color indexed="64"/>
      </left>
      <right/>
      <top/>
      <bottom style="thick">
        <color indexed="64"/>
      </bottom>
      <diagonal/>
    </border>
    <border>
      <left/>
      <right/>
      <top/>
      <bottom style="thick">
        <color indexed="64"/>
      </bottom>
      <diagonal/>
    </border>
    <border>
      <left/>
      <right style="thick">
        <color indexed="64"/>
      </right>
      <top/>
      <bottom style="thick">
        <color indexed="64"/>
      </bottom>
      <diagonal/>
    </border>
    <border>
      <left style="thick">
        <color indexed="64"/>
      </left>
      <right style="hair">
        <color indexed="64"/>
      </right>
      <top style="thick">
        <color indexed="64"/>
      </top>
      <bottom style="thin">
        <color indexed="64"/>
      </bottom>
      <diagonal/>
    </border>
    <border>
      <left style="hair">
        <color indexed="64"/>
      </left>
      <right style="hair">
        <color indexed="64"/>
      </right>
      <top style="thick">
        <color indexed="64"/>
      </top>
      <bottom style="thin">
        <color indexed="64"/>
      </bottom>
      <diagonal/>
    </border>
    <border>
      <left style="hair">
        <color indexed="64"/>
      </left>
      <right style="thick">
        <color indexed="64"/>
      </right>
      <top style="thick">
        <color indexed="64"/>
      </top>
      <bottom style="thin">
        <color indexed="64"/>
      </bottom>
      <diagonal/>
    </border>
    <border>
      <left style="thick">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ck">
        <color indexed="64"/>
      </right>
      <top style="thin">
        <color indexed="64"/>
      </top>
      <bottom style="thin">
        <color indexed="64"/>
      </bottom>
      <diagonal/>
    </border>
    <border>
      <left style="thick">
        <color indexed="64"/>
      </left>
      <right style="hair">
        <color indexed="64"/>
      </right>
      <top style="thin">
        <color indexed="64"/>
      </top>
      <bottom style="thick">
        <color indexed="64"/>
      </bottom>
      <diagonal/>
    </border>
    <border>
      <left style="hair">
        <color indexed="64"/>
      </left>
      <right style="hair">
        <color indexed="64"/>
      </right>
      <top style="thin">
        <color indexed="64"/>
      </top>
      <bottom style="thick">
        <color indexed="64"/>
      </bottom>
      <diagonal/>
    </border>
    <border>
      <left style="hair">
        <color indexed="64"/>
      </left>
      <right style="thick">
        <color indexed="64"/>
      </right>
      <top style="thin">
        <color indexed="64"/>
      </top>
      <bottom style="thick">
        <color indexed="64"/>
      </bottom>
      <diagonal/>
    </border>
    <border>
      <left style="thick">
        <color indexed="64"/>
      </left>
      <right style="hair">
        <color indexed="64"/>
      </right>
      <top style="thin">
        <color indexed="64"/>
      </top>
      <bottom/>
      <diagonal/>
    </border>
    <border>
      <left style="hair">
        <color indexed="64"/>
      </left>
      <right style="hair">
        <color indexed="64"/>
      </right>
      <top style="thin">
        <color indexed="64"/>
      </top>
      <bottom/>
      <diagonal/>
    </border>
    <border>
      <left style="hair">
        <color indexed="64"/>
      </left>
      <right style="thick">
        <color indexed="64"/>
      </right>
      <top style="thin">
        <color indexed="64"/>
      </top>
      <bottom/>
      <diagonal/>
    </border>
    <border>
      <left style="thick">
        <color indexed="64"/>
      </left>
      <right/>
      <top style="thick">
        <color indexed="64"/>
      </top>
      <bottom style="thin">
        <color indexed="64"/>
      </bottom>
      <diagonal/>
    </border>
    <border>
      <left/>
      <right/>
      <top style="thick">
        <color indexed="64"/>
      </top>
      <bottom style="thin">
        <color indexed="64"/>
      </bottom>
      <diagonal/>
    </border>
    <border>
      <left style="hair">
        <color indexed="64"/>
      </left>
      <right style="thick">
        <color indexed="64"/>
      </right>
      <top style="thick">
        <color indexed="64"/>
      </top>
      <bottom style="thick">
        <color indexed="64"/>
      </bottom>
      <diagonal/>
    </border>
    <border>
      <left style="hair">
        <color indexed="64"/>
      </left>
      <right/>
      <top style="thin">
        <color indexed="64"/>
      </top>
      <bottom style="thin">
        <color indexed="64"/>
      </bottom>
      <diagonal/>
    </border>
    <border>
      <left style="thick">
        <color indexed="64"/>
      </left>
      <right style="hair">
        <color indexed="64"/>
      </right>
      <top style="thick">
        <color indexed="64"/>
      </top>
      <bottom style="thick">
        <color indexed="64"/>
      </bottom>
      <diagonal/>
    </border>
    <border>
      <left style="thick">
        <color indexed="64"/>
      </left>
      <right style="hair">
        <color indexed="64"/>
      </right>
      <top style="thick">
        <color indexed="64"/>
      </top>
      <bottom/>
      <diagonal/>
    </border>
    <border>
      <left style="thick">
        <color indexed="64"/>
      </left>
      <right style="hair">
        <color indexed="64"/>
      </right>
      <top/>
      <bottom style="thin">
        <color indexed="64"/>
      </bottom>
      <diagonal/>
    </border>
    <border>
      <left style="thick">
        <color indexed="64"/>
      </left>
      <right style="hair">
        <color indexed="64"/>
      </right>
      <top/>
      <bottom style="thick">
        <color indexed="64"/>
      </bottom>
      <diagonal/>
    </border>
    <border>
      <left style="thick">
        <color indexed="64"/>
      </left>
      <right/>
      <top style="thick">
        <color indexed="64"/>
      </top>
      <bottom style="medium">
        <color indexed="64"/>
      </bottom>
      <diagonal/>
    </border>
    <border>
      <left/>
      <right style="thick">
        <color indexed="64"/>
      </right>
      <top style="thick">
        <color indexed="64"/>
      </top>
      <bottom style="medium">
        <color indexed="64"/>
      </bottom>
      <diagonal/>
    </border>
    <border>
      <left/>
      <right/>
      <top style="double">
        <color indexed="64"/>
      </top>
      <bottom/>
      <diagonal/>
    </border>
    <border>
      <left style="thick">
        <color indexed="64"/>
      </left>
      <right/>
      <top style="double">
        <color indexed="64"/>
      </top>
      <bottom/>
      <diagonal/>
    </border>
    <border>
      <left/>
      <right style="thick">
        <color indexed="64"/>
      </right>
      <top style="double">
        <color indexed="64"/>
      </top>
      <bottom/>
      <diagonal/>
    </border>
    <border>
      <left style="thin">
        <color indexed="64"/>
      </left>
      <right style="thick">
        <color indexed="64"/>
      </right>
      <top style="medium">
        <color indexed="64"/>
      </top>
      <bottom style="thin">
        <color indexed="64"/>
      </bottom>
      <diagonal/>
    </border>
    <border>
      <left style="thick">
        <color indexed="64"/>
      </left>
      <right style="hair">
        <color indexed="64"/>
      </right>
      <top style="double">
        <color indexed="64"/>
      </top>
      <bottom style="thick">
        <color indexed="64"/>
      </bottom>
      <diagonal/>
    </border>
    <border>
      <left style="thick">
        <color indexed="64"/>
      </left>
      <right style="hair">
        <color indexed="64"/>
      </right>
      <top style="double">
        <color indexed="64"/>
      </top>
      <bottom/>
      <diagonal/>
    </border>
    <border>
      <left style="hair">
        <color indexed="64"/>
      </left>
      <right/>
      <top style="thin">
        <color indexed="64"/>
      </top>
      <bottom/>
      <diagonal/>
    </border>
    <border>
      <left style="thick">
        <color indexed="64"/>
      </left>
      <right/>
      <top style="medium">
        <color indexed="64"/>
      </top>
      <bottom/>
      <diagonal/>
    </border>
    <border>
      <left/>
      <right style="thick">
        <color indexed="64"/>
      </right>
      <top style="medium">
        <color indexed="64"/>
      </top>
      <bottom/>
      <diagonal/>
    </border>
    <border>
      <left style="medium">
        <color indexed="64"/>
      </left>
      <right style="thick">
        <color indexed="64"/>
      </right>
      <top style="thin">
        <color indexed="64"/>
      </top>
      <bottom style="thin">
        <color indexed="64"/>
      </bottom>
      <diagonal/>
    </border>
    <border>
      <left style="medium">
        <color indexed="64"/>
      </left>
      <right style="thick">
        <color indexed="64"/>
      </right>
      <top style="thin">
        <color indexed="64"/>
      </top>
      <bottom/>
      <diagonal/>
    </border>
    <border>
      <left style="medium">
        <color indexed="64"/>
      </left>
      <right style="thick">
        <color indexed="64"/>
      </right>
      <top style="double">
        <color indexed="64"/>
      </top>
      <bottom style="medium">
        <color indexed="64"/>
      </bottom>
      <diagonal/>
    </border>
    <border>
      <left style="medium">
        <color indexed="64"/>
      </left>
      <right style="thick">
        <color indexed="64"/>
      </right>
      <top style="thin">
        <color indexed="64"/>
      </top>
      <bottom style="double">
        <color indexed="64"/>
      </bottom>
      <diagonal/>
    </border>
    <border>
      <left style="thick">
        <color indexed="64"/>
      </left>
      <right/>
      <top/>
      <bottom style="medium">
        <color indexed="64"/>
      </bottom>
      <diagonal/>
    </border>
    <border>
      <left/>
      <right style="thick">
        <color indexed="64"/>
      </right>
      <top/>
      <bottom style="medium">
        <color indexed="64"/>
      </bottom>
      <diagonal/>
    </border>
    <border>
      <left/>
      <right style="thick">
        <color indexed="64"/>
      </right>
      <top style="medium">
        <color indexed="64"/>
      </top>
      <bottom style="thin">
        <color indexed="64"/>
      </bottom>
      <diagonal/>
    </border>
    <border>
      <left style="thick">
        <color indexed="64"/>
      </left>
      <right/>
      <top style="double">
        <color indexed="64"/>
      </top>
      <bottom style="medium">
        <color indexed="64"/>
      </bottom>
      <diagonal/>
    </border>
    <border>
      <left/>
      <right style="thick">
        <color indexed="64"/>
      </right>
      <top style="double">
        <color indexed="64"/>
      </top>
      <bottom style="medium">
        <color indexed="64"/>
      </bottom>
      <diagonal/>
    </border>
    <border>
      <left style="hair">
        <color indexed="64"/>
      </left>
      <right style="hair">
        <color indexed="64"/>
      </right>
      <top/>
      <bottom style="thin">
        <color indexed="64"/>
      </bottom>
      <diagonal/>
    </border>
    <border>
      <left style="hair">
        <color indexed="64"/>
      </left>
      <right style="thick">
        <color indexed="64"/>
      </right>
      <top/>
      <bottom style="thin">
        <color indexed="64"/>
      </bottom>
      <diagonal/>
    </border>
    <border>
      <left style="hair">
        <color auto="1"/>
      </left>
      <right style="hair">
        <color auto="1"/>
      </right>
      <top style="medium">
        <color auto="1"/>
      </top>
      <bottom style="thin">
        <color auto="1"/>
      </bottom>
      <diagonal/>
    </border>
    <border>
      <left style="thick">
        <color indexed="64"/>
      </left>
      <right style="hair">
        <color indexed="64"/>
      </right>
      <top style="double">
        <color indexed="64"/>
      </top>
      <bottom style="thin">
        <color indexed="64"/>
      </bottom>
      <diagonal/>
    </border>
    <border>
      <left style="hair">
        <color indexed="64"/>
      </left>
      <right style="hair">
        <color indexed="64"/>
      </right>
      <top style="double">
        <color indexed="64"/>
      </top>
      <bottom style="thin">
        <color indexed="64"/>
      </bottom>
      <diagonal/>
    </border>
    <border>
      <left style="hair">
        <color indexed="64"/>
      </left>
      <right style="thick">
        <color indexed="64"/>
      </right>
      <top style="double">
        <color indexed="64"/>
      </top>
      <bottom style="thin">
        <color indexed="64"/>
      </bottom>
      <diagonal/>
    </border>
    <border>
      <left style="double">
        <color indexed="64"/>
      </left>
      <right style="hair">
        <color indexed="64"/>
      </right>
      <top style="double">
        <color indexed="64"/>
      </top>
      <bottom style="thin">
        <color indexed="64"/>
      </bottom>
      <diagonal/>
    </border>
    <border>
      <left style="hair">
        <color indexed="64"/>
      </left>
      <right style="double">
        <color indexed="64"/>
      </right>
      <top style="double">
        <color indexed="64"/>
      </top>
      <bottom style="thin">
        <color indexed="64"/>
      </bottom>
      <diagonal/>
    </border>
    <border>
      <left style="double">
        <color indexed="64"/>
      </left>
      <right style="hair">
        <color indexed="64"/>
      </right>
      <top style="thin">
        <color indexed="64"/>
      </top>
      <bottom style="double">
        <color indexed="64"/>
      </bottom>
      <diagonal/>
    </border>
    <border>
      <left style="hair">
        <color indexed="64"/>
      </left>
      <right style="double">
        <color indexed="64"/>
      </right>
      <top style="thin">
        <color indexed="64"/>
      </top>
      <bottom style="double">
        <color indexed="64"/>
      </bottom>
      <diagonal/>
    </border>
    <border>
      <left style="thick">
        <color indexed="64"/>
      </left>
      <right style="hair">
        <color indexed="64"/>
      </right>
      <top style="medium">
        <color indexed="64"/>
      </top>
      <bottom style="thin">
        <color indexed="64"/>
      </bottom>
      <diagonal/>
    </border>
    <border>
      <left style="hair">
        <color indexed="64"/>
      </left>
      <right style="thick">
        <color indexed="64"/>
      </right>
      <top style="medium">
        <color indexed="64"/>
      </top>
      <bottom style="thin">
        <color indexed="64"/>
      </bottom>
      <diagonal/>
    </border>
    <border>
      <left style="hair">
        <color indexed="64"/>
      </left>
      <right style="hair">
        <color indexed="64"/>
      </right>
      <top style="double">
        <color indexed="64"/>
      </top>
      <bottom/>
      <diagonal/>
    </border>
    <border>
      <left style="hair">
        <color indexed="64"/>
      </left>
      <right style="thick">
        <color indexed="64"/>
      </right>
      <top style="double">
        <color indexed="64"/>
      </top>
      <bottom/>
      <diagonal/>
    </border>
    <border>
      <left style="hair">
        <color indexed="64"/>
      </left>
      <right style="hair">
        <color indexed="64"/>
      </right>
      <top/>
      <bottom/>
      <diagonal/>
    </border>
    <border>
      <left style="hair">
        <color indexed="64"/>
      </left>
      <right style="thick">
        <color indexed="64"/>
      </right>
      <top/>
      <bottom/>
      <diagonal/>
    </border>
    <border>
      <left style="thick">
        <color indexed="64"/>
      </left>
      <right/>
      <top style="double">
        <color indexed="64"/>
      </top>
      <bottom style="thick">
        <color indexed="64"/>
      </bottom>
      <diagonal/>
    </border>
    <border>
      <left/>
      <right/>
      <top style="double">
        <color indexed="64"/>
      </top>
      <bottom style="thick">
        <color indexed="64"/>
      </bottom>
      <diagonal/>
    </border>
    <border>
      <left/>
      <right style="thick">
        <color indexed="64"/>
      </right>
      <top style="double">
        <color indexed="64"/>
      </top>
      <bottom style="thick">
        <color indexed="64"/>
      </bottom>
      <diagonal/>
    </border>
    <border>
      <left style="hair">
        <color indexed="64"/>
      </left>
      <right/>
      <top/>
      <bottom style="thin">
        <color indexed="64"/>
      </bottom>
      <diagonal/>
    </border>
    <border>
      <left/>
      <right style="hair">
        <color indexed="64"/>
      </right>
      <top style="thin">
        <color indexed="64"/>
      </top>
      <bottom style="thin">
        <color indexed="64"/>
      </bottom>
      <diagonal/>
    </border>
    <border>
      <left style="hair">
        <color indexed="64"/>
      </left>
      <right/>
      <top style="double">
        <color indexed="64"/>
      </top>
      <bottom/>
      <diagonal/>
    </border>
    <border>
      <left style="hair">
        <color indexed="64"/>
      </left>
      <right/>
      <top/>
      <bottom/>
      <diagonal/>
    </border>
    <border>
      <left style="thick">
        <color auto="1"/>
      </left>
      <right/>
      <top style="thick">
        <color auto="1"/>
      </top>
      <bottom style="thick">
        <color indexed="64"/>
      </bottom>
      <diagonal/>
    </border>
    <border>
      <left/>
      <right/>
      <top style="thick">
        <color auto="1"/>
      </top>
      <bottom style="thick">
        <color indexed="64"/>
      </bottom>
      <diagonal/>
    </border>
    <border>
      <left/>
      <right style="thick">
        <color auto="1"/>
      </right>
      <top style="thick">
        <color auto="1"/>
      </top>
      <bottom style="thick">
        <color indexed="64"/>
      </bottom>
      <diagonal/>
    </border>
    <border>
      <left style="hair">
        <color indexed="64"/>
      </left>
      <right style="hair">
        <color indexed="64"/>
      </right>
      <top style="thick">
        <color indexed="64"/>
      </top>
      <bottom style="thick">
        <color indexed="64"/>
      </bottom>
      <diagonal/>
    </border>
    <border>
      <left style="thick">
        <color indexed="64"/>
      </left>
      <right style="hair">
        <color indexed="64"/>
      </right>
      <top/>
      <bottom style="double">
        <color indexed="64"/>
      </bottom>
      <diagonal/>
    </border>
    <border>
      <left style="hair">
        <color indexed="64"/>
      </left>
      <right/>
      <top/>
      <bottom style="thick">
        <color indexed="64"/>
      </bottom>
      <diagonal/>
    </border>
    <border>
      <left style="hair">
        <color indexed="64"/>
      </left>
      <right/>
      <top style="thick">
        <color indexed="64"/>
      </top>
      <bottom/>
      <diagonal/>
    </border>
    <border>
      <left style="hair">
        <color indexed="64"/>
      </left>
      <right style="hair">
        <color indexed="64"/>
      </right>
      <top/>
      <bottom style="double">
        <color indexed="64"/>
      </bottom>
      <diagonal/>
    </border>
    <border>
      <left/>
      <right style="thick">
        <color indexed="64"/>
      </right>
      <top/>
      <bottom style="double">
        <color indexed="64"/>
      </bottom>
      <diagonal/>
    </border>
    <border>
      <left style="thick">
        <color indexed="64"/>
      </left>
      <right style="hair">
        <color indexed="64"/>
      </right>
      <top/>
      <bottom style="medium">
        <color indexed="64"/>
      </bottom>
      <diagonal/>
    </border>
    <border>
      <left style="hair">
        <color indexed="64"/>
      </left>
      <right style="hair">
        <color indexed="64"/>
      </right>
      <top style="thick">
        <color indexed="64"/>
      </top>
      <bottom/>
      <diagonal/>
    </border>
    <border>
      <left style="hair">
        <color indexed="64"/>
      </left>
      <right style="hair">
        <color indexed="64"/>
      </right>
      <top/>
      <bottom style="medium">
        <color indexed="64"/>
      </bottom>
      <diagonal/>
    </border>
    <border>
      <left style="hair">
        <color indexed="64"/>
      </left>
      <right style="thick">
        <color indexed="64"/>
      </right>
      <top style="thick">
        <color indexed="64"/>
      </top>
      <bottom/>
      <diagonal/>
    </border>
    <border>
      <left style="hair">
        <color indexed="64"/>
      </left>
      <right style="thick">
        <color indexed="64"/>
      </right>
      <top/>
      <bottom style="medium">
        <color indexed="64"/>
      </bottom>
      <diagonal/>
    </border>
    <border>
      <left style="hair">
        <color indexed="64"/>
      </left>
      <right/>
      <top/>
      <bottom style="double">
        <color indexed="64"/>
      </bottom>
      <diagonal/>
    </border>
    <border>
      <left style="thick">
        <color indexed="64"/>
      </left>
      <right style="hair">
        <color indexed="64"/>
      </right>
      <top/>
      <bottom/>
      <diagonal/>
    </border>
    <border>
      <left style="hair">
        <color indexed="64"/>
      </left>
      <right/>
      <top/>
      <bottom style="medium">
        <color indexed="64"/>
      </bottom>
      <diagonal/>
    </border>
    <border>
      <left style="hair">
        <color indexed="64"/>
      </left>
      <right/>
      <top style="double">
        <color indexed="64"/>
      </top>
      <bottom style="double">
        <color indexed="64"/>
      </bottom>
      <diagonal/>
    </border>
    <border>
      <left/>
      <right style="thick">
        <color indexed="64"/>
      </right>
      <top style="double">
        <color indexed="64"/>
      </top>
      <bottom style="double">
        <color indexed="64"/>
      </bottom>
      <diagonal/>
    </border>
    <border>
      <left style="hair">
        <color indexed="64"/>
      </left>
      <right/>
      <top style="double">
        <color indexed="64"/>
      </top>
      <bottom style="thick">
        <color indexed="64"/>
      </bottom>
      <diagonal/>
    </border>
    <border>
      <left style="thick">
        <color indexed="64"/>
      </left>
      <right style="thin">
        <color indexed="64"/>
      </right>
      <top style="thick">
        <color indexed="64"/>
      </top>
      <bottom style="medium">
        <color indexed="64"/>
      </bottom>
      <diagonal/>
    </border>
    <border>
      <left style="thin">
        <color indexed="64"/>
      </left>
      <right style="thin">
        <color indexed="64"/>
      </right>
      <top style="thick">
        <color indexed="64"/>
      </top>
      <bottom style="medium">
        <color indexed="64"/>
      </bottom>
      <diagonal/>
    </border>
    <border>
      <left style="thin">
        <color indexed="64"/>
      </left>
      <right style="thick">
        <color indexed="64"/>
      </right>
      <top style="thick">
        <color indexed="64"/>
      </top>
      <bottom style="medium">
        <color indexed="64"/>
      </bottom>
      <diagonal/>
    </border>
    <border>
      <left style="thin">
        <color indexed="64"/>
      </left>
      <right/>
      <top style="thick">
        <color indexed="64"/>
      </top>
      <bottom style="medium">
        <color indexed="64"/>
      </bottom>
      <diagonal/>
    </border>
    <border>
      <left style="double">
        <color indexed="64"/>
      </left>
      <right/>
      <top style="double">
        <color indexed="64"/>
      </top>
      <bottom style="double">
        <color indexed="64"/>
      </bottom>
      <diagonal/>
    </border>
    <border>
      <left/>
      <right/>
      <top style="double">
        <color indexed="64"/>
      </top>
      <bottom style="double">
        <color indexed="64"/>
      </bottom>
      <diagonal/>
    </border>
    <border>
      <left style="thin">
        <color indexed="64"/>
      </left>
      <right/>
      <top style="double">
        <color indexed="64"/>
      </top>
      <bottom style="double">
        <color indexed="64"/>
      </bottom>
      <diagonal/>
    </border>
    <border>
      <left/>
      <right style="double">
        <color auto="1"/>
      </right>
      <top style="double">
        <color auto="1"/>
      </top>
      <bottom style="double">
        <color auto="1"/>
      </bottom>
      <diagonal/>
    </border>
    <border>
      <left/>
      <right style="thin">
        <color indexed="64"/>
      </right>
      <top style="double">
        <color indexed="64"/>
      </top>
      <bottom style="double">
        <color indexed="64"/>
      </bottom>
      <diagonal/>
    </border>
    <border>
      <left style="medium">
        <color indexed="64"/>
      </left>
      <right style="thick">
        <color indexed="64"/>
      </right>
      <top style="medium">
        <color indexed="64"/>
      </top>
      <bottom/>
      <diagonal/>
    </border>
    <border>
      <left style="medium">
        <color indexed="64"/>
      </left>
      <right style="thick">
        <color indexed="64"/>
      </right>
      <top style="medium">
        <color indexed="64"/>
      </top>
      <bottom style="thin">
        <color indexed="64"/>
      </bottom>
      <diagonal/>
    </border>
    <border>
      <left style="medium">
        <color indexed="64"/>
      </left>
      <right style="thick">
        <color indexed="64"/>
      </right>
      <top style="double">
        <color indexed="64"/>
      </top>
      <bottom style="thick">
        <color indexed="64"/>
      </bottom>
      <diagonal/>
    </border>
    <border>
      <left style="thick">
        <color indexed="64"/>
      </left>
      <right style="double">
        <color indexed="64"/>
      </right>
      <top style="double">
        <color indexed="64"/>
      </top>
      <bottom style="thin">
        <color indexed="64"/>
      </bottom>
      <diagonal/>
    </border>
    <border>
      <left style="thick">
        <color indexed="64"/>
      </left>
      <right style="double">
        <color indexed="64"/>
      </right>
      <top style="thin">
        <color indexed="64"/>
      </top>
      <bottom style="double">
        <color indexed="64"/>
      </bottom>
      <diagonal/>
    </border>
    <border>
      <left style="double">
        <color indexed="64"/>
      </left>
      <right style="double">
        <color indexed="64"/>
      </right>
      <top style="double">
        <color indexed="64"/>
      </top>
      <bottom style="thin">
        <color indexed="64"/>
      </bottom>
      <diagonal/>
    </border>
    <border>
      <left style="double">
        <color indexed="64"/>
      </left>
      <right style="double">
        <color indexed="64"/>
      </right>
      <top style="thin">
        <color indexed="64"/>
      </top>
      <bottom style="double">
        <color indexed="64"/>
      </bottom>
      <diagonal/>
    </border>
    <border>
      <left style="thick">
        <color auto="1"/>
      </left>
      <right style="thick">
        <color auto="1"/>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s>
  <cellStyleXfs count="8">
    <xf numFmtId="0" fontId="0" fillId="0" borderId="0"/>
    <xf numFmtId="0" fontId="1" fillId="0" borderId="0"/>
    <xf numFmtId="44" fontId="2" fillId="0" borderId="0" applyFont="0" applyFill="0" applyBorder="0" applyAlignment="0" applyProtection="0"/>
    <xf numFmtId="0" fontId="2" fillId="0" borderId="0"/>
    <xf numFmtId="0" fontId="1" fillId="0" borderId="0"/>
    <xf numFmtId="44" fontId="1" fillId="0" borderId="0" applyFont="0" applyFill="0" applyBorder="0" applyAlignment="0" applyProtection="0"/>
    <xf numFmtId="44" fontId="6" fillId="0" borderId="0" applyFont="0" applyFill="0" applyBorder="0" applyAlignment="0" applyProtection="0"/>
    <xf numFmtId="0" fontId="12" fillId="0" borderId="0" applyNumberFormat="0" applyFill="0" applyBorder="0" applyAlignment="0" applyProtection="0"/>
  </cellStyleXfs>
  <cellXfs count="605">
    <xf numFmtId="0" fontId="0" fillId="0" borderId="0" xfId="0"/>
    <xf numFmtId="49" fontId="3" fillId="14" borderId="0" xfId="1" applyNumberFormat="1" applyFont="1" applyFill="1" applyAlignment="1" applyProtection="1">
      <alignment wrapText="1"/>
      <protection locked="0"/>
    </xf>
    <xf numFmtId="44" fontId="9" fillId="0" borderId="38" xfId="1" applyNumberFormat="1" applyFont="1" applyBorder="1" applyAlignment="1">
      <alignment vertical="center"/>
    </xf>
    <xf numFmtId="44" fontId="7" fillId="0" borderId="38" xfId="1" applyNumberFormat="1" applyFont="1" applyBorder="1" applyAlignment="1">
      <alignment vertical="center"/>
    </xf>
    <xf numFmtId="44" fontId="7" fillId="0" borderId="44" xfId="1" applyNumberFormat="1" applyFont="1" applyBorder="1" applyAlignment="1">
      <alignment vertical="center"/>
    </xf>
    <xf numFmtId="44" fontId="7" fillId="0" borderId="48" xfId="1" applyNumberFormat="1" applyFont="1" applyBorder="1" applyAlignment="1">
      <alignment vertical="center"/>
    </xf>
    <xf numFmtId="44" fontId="7" fillId="0" borderId="61" xfId="1" applyNumberFormat="1" applyFont="1" applyBorder="1" applyAlignment="1">
      <alignment vertical="center"/>
    </xf>
    <xf numFmtId="44" fontId="7" fillId="0" borderId="84" xfId="1" applyNumberFormat="1" applyFont="1" applyBorder="1" applyAlignment="1">
      <alignment vertical="center"/>
    </xf>
    <xf numFmtId="44" fontId="7" fillId="0" borderId="21" xfId="1" applyNumberFormat="1" applyFont="1" applyBorder="1" applyAlignment="1">
      <alignment vertical="center"/>
    </xf>
    <xf numFmtId="44" fontId="7" fillId="0" borderId="26" xfId="1" applyNumberFormat="1" applyFont="1" applyBorder="1" applyAlignment="1">
      <alignment vertical="center"/>
    </xf>
    <xf numFmtId="44" fontId="7" fillId="0" borderId="24" xfId="1" applyNumberFormat="1" applyFont="1" applyBorder="1" applyAlignment="1">
      <alignment vertical="center"/>
    </xf>
    <xf numFmtId="44" fontId="9" fillId="0" borderId="21" xfId="1" applyNumberFormat="1" applyFont="1" applyBorder="1" applyAlignment="1">
      <alignment vertical="center"/>
    </xf>
    <xf numFmtId="44" fontId="7" fillId="0" borderId="29" xfId="1" applyNumberFormat="1" applyFont="1" applyBorder="1" applyAlignment="1">
      <alignment vertical="center"/>
    </xf>
    <xf numFmtId="44" fontId="7" fillId="0" borderId="64" xfId="1" applyNumberFormat="1" applyFont="1" applyBorder="1" applyAlignment="1">
      <alignment vertical="center"/>
    </xf>
    <xf numFmtId="44" fontId="7" fillId="0" borderId="67" xfId="1" applyNumberFormat="1" applyFont="1" applyBorder="1" applyAlignment="1">
      <alignment vertical="center"/>
    </xf>
    <xf numFmtId="44" fontId="7" fillId="0" borderId="126" xfId="1" applyNumberFormat="1" applyFont="1" applyBorder="1" applyAlignment="1">
      <alignment vertical="center"/>
    </xf>
    <xf numFmtId="44" fontId="9" fillId="0" borderId="64" xfId="1" applyNumberFormat="1" applyFont="1" applyBorder="1" applyAlignment="1">
      <alignment vertical="center"/>
    </xf>
    <xf numFmtId="44" fontId="7" fillId="0" borderId="65" xfId="1" applyNumberFormat="1" applyFont="1" applyBorder="1" applyAlignment="1">
      <alignment vertical="center"/>
    </xf>
    <xf numFmtId="1" fontId="8" fillId="7" borderId="0" xfId="2" applyNumberFormat="1" applyFont="1" applyFill="1" applyBorder="1" applyAlignment="1" applyProtection="1">
      <alignment horizontal="center" vertical="center" wrapText="1"/>
      <protection locked="0"/>
    </xf>
    <xf numFmtId="1" fontId="1" fillId="11" borderId="37" xfId="2" quotePrefix="1" applyNumberFormat="1" applyFont="1" applyFill="1" applyBorder="1" applyAlignment="1" applyProtection="1">
      <alignment horizontal="center" vertical="center" wrapText="1"/>
      <protection locked="0"/>
    </xf>
    <xf numFmtId="1" fontId="1" fillId="14" borderId="37" xfId="2" quotePrefix="1" applyNumberFormat="1" applyFont="1" applyFill="1" applyBorder="1" applyAlignment="1" applyProtection="1">
      <alignment horizontal="center" vertical="center" wrapText="1"/>
      <protection locked="0"/>
    </xf>
    <xf numFmtId="1" fontId="1" fillId="14" borderId="43" xfId="2" quotePrefix="1" applyNumberFormat="1" applyFont="1" applyFill="1" applyBorder="1" applyAlignment="1" applyProtection="1">
      <alignment horizontal="center" vertical="center" wrapText="1"/>
      <protection locked="0"/>
    </xf>
    <xf numFmtId="164" fontId="10" fillId="2" borderId="38" xfId="2" applyNumberFormat="1" applyFont="1" applyFill="1" applyBorder="1" applyAlignment="1" applyProtection="1">
      <alignment vertical="center" wrapText="1"/>
    </xf>
    <xf numFmtId="1" fontId="1" fillId="0" borderId="0" xfId="2" applyNumberFormat="1" applyFont="1" applyBorder="1" applyAlignment="1" applyProtection="1">
      <alignment horizontal="center" vertical="center" wrapText="1"/>
      <protection locked="0"/>
    </xf>
    <xf numFmtId="2" fontId="1" fillId="0" borderId="36" xfId="1" applyNumberFormat="1" applyBorder="1" applyAlignment="1" applyProtection="1">
      <alignment horizontal="center" vertical="center" wrapText="1"/>
      <protection locked="0"/>
    </xf>
    <xf numFmtId="44" fontId="1" fillId="0" borderId="0" xfId="1" applyNumberFormat="1" applyAlignment="1" applyProtection="1">
      <alignment vertical="center" wrapText="1"/>
      <protection locked="0"/>
    </xf>
    <xf numFmtId="44" fontId="1" fillId="0" borderId="0" xfId="2" applyFont="1" applyBorder="1" applyAlignment="1" applyProtection="1">
      <alignment horizontal="center" vertical="center" wrapText="1"/>
      <protection locked="0"/>
    </xf>
    <xf numFmtId="44" fontId="1" fillId="11" borderId="36" xfId="1" applyNumberFormat="1" applyFill="1" applyBorder="1" applyAlignment="1" applyProtection="1">
      <alignment horizontal="center" vertical="center" wrapText="1"/>
      <protection locked="0"/>
    </xf>
    <xf numFmtId="44" fontId="1" fillId="0" borderId="42" xfId="1" applyNumberFormat="1" applyBorder="1" applyAlignment="1" applyProtection="1">
      <alignment horizontal="center" vertical="center" wrapText="1"/>
      <protection locked="0"/>
    </xf>
    <xf numFmtId="49" fontId="1" fillId="0" borderId="0" xfId="1" applyNumberFormat="1" applyAlignment="1" applyProtection="1">
      <alignment vertical="center" wrapText="1"/>
      <protection locked="0"/>
    </xf>
    <xf numFmtId="49" fontId="8" fillId="7" borderId="0" xfId="1" applyNumberFormat="1" applyFont="1" applyFill="1" applyAlignment="1" applyProtection="1">
      <alignment horizontal="center" vertical="center" wrapText="1"/>
      <protection locked="0"/>
    </xf>
    <xf numFmtId="44" fontId="8" fillId="7" borderId="0" xfId="2" applyFont="1" applyFill="1" applyBorder="1" applyAlignment="1" applyProtection="1">
      <alignment horizontal="center" vertical="center" wrapText="1"/>
    </xf>
    <xf numFmtId="44" fontId="7" fillId="0" borderId="55" xfId="2" applyFont="1" applyBorder="1" applyAlignment="1" applyProtection="1">
      <alignment vertical="center" wrapText="1"/>
    </xf>
    <xf numFmtId="44" fontId="7" fillId="0" borderId="13" xfId="2" applyFont="1" applyBorder="1" applyAlignment="1" applyProtection="1">
      <alignment vertical="center" wrapText="1"/>
    </xf>
    <xf numFmtId="44" fontId="7" fillId="0" borderId="90" xfId="2" applyFont="1" applyBorder="1" applyAlignment="1" applyProtection="1">
      <alignment vertical="center" wrapText="1"/>
    </xf>
    <xf numFmtId="44" fontId="1" fillId="0" borderId="0" xfId="2" applyFont="1" applyBorder="1" applyAlignment="1" applyProtection="1">
      <alignment vertical="center" wrapText="1"/>
      <protection locked="0"/>
    </xf>
    <xf numFmtId="164" fontId="8" fillId="7" borderId="0" xfId="1" applyNumberFormat="1" applyFont="1" applyFill="1" applyAlignment="1" applyProtection="1">
      <alignment horizontal="center" vertical="center" wrapText="1"/>
      <protection locked="0"/>
    </xf>
    <xf numFmtId="164" fontId="1" fillId="11" borderId="37" xfId="1" applyNumberFormat="1" applyFill="1" applyBorder="1" applyAlignment="1" applyProtection="1">
      <alignment horizontal="center" vertical="center" wrapText="1"/>
      <protection locked="0"/>
    </xf>
    <xf numFmtId="164" fontId="1" fillId="14" borderId="37" xfId="1" applyNumberFormat="1" applyFill="1" applyBorder="1" applyAlignment="1" applyProtection="1">
      <alignment horizontal="center" vertical="center" wrapText="1"/>
      <protection locked="0"/>
    </xf>
    <xf numFmtId="164" fontId="1" fillId="14" borderId="43" xfId="1" applyNumberFormat="1" applyFill="1" applyBorder="1" applyAlignment="1" applyProtection="1">
      <alignment horizontal="center" vertical="center" wrapText="1"/>
      <protection locked="0"/>
    </xf>
    <xf numFmtId="164" fontId="1" fillId="0" borderId="0" xfId="1" applyNumberFormat="1" applyAlignment="1" applyProtection="1">
      <alignment horizontal="center" vertical="center" wrapText="1"/>
      <protection locked="0"/>
    </xf>
    <xf numFmtId="164" fontId="1" fillId="0" borderId="0" xfId="2" applyNumberFormat="1" applyFont="1" applyBorder="1" applyAlignment="1" applyProtection="1">
      <alignment horizontal="center" vertical="center" wrapText="1"/>
      <protection locked="0"/>
    </xf>
    <xf numFmtId="49" fontId="1" fillId="11" borderId="37" xfId="1" applyNumberFormat="1" applyFill="1" applyBorder="1" applyAlignment="1" applyProtection="1">
      <alignment horizontal="center" vertical="center" wrapText="1"/>
      <protection locked="0"/>
    </xf>
    <xf numFmtId="49" fontId="1" fillId="0" borderId="37" xfId="1" applyNumberFormat="1" applyBorder="1" applyAlignment="1" applyProtection="1">
      <alignment horizontal="left" vertical="center" wrapText="1"/>
      <protection locked="0"/>
    </xf>
    <xf numFmtId="49" fontId="1" fillId="14" borderId="37" xfId="1" applyNumberFormat="1" applyFill="1" applyBorder="1" applyAlignment="1" applyProtection="1">
      <alignment horizontal="center" vertical="center" wrapText="1"/>
      <protection locked="0"/>
    </xf>
    <xf numFmtId="49" fontId="1" fillId="0" borderId="43" xfId="1" applyNumberFormat="1" applyBorder="1" applyAlignment="1" applyProtection="1">
      <alignment horizontal="left" vertical="center" wrapText="1"/>
      <protection locked="0"/>
    </xf>
    <xf numFmtId="49" fontId="1" fillId="14" borderId="43" xfId="1" applyNumberFormat="1" applyFill="1" applyBorder="1" applyAlignment="1" applyProtection="1">
      <alignment horizontal="center" vertical="center" wrapText="1"/>
      <protection locked="0"/>
    </xf>
    <xf numFmtId="49" fontId="1" fillId="0" borderId="0" xfId="1" applyNumberFormat="1" applyAlignment="1" applyProtection="1">
      <alignment horizontal="left" vertical="center" wrapText="1"/>
      <protection locked="0"/>
    </xf>
    <xf numFmtId="49" fontId="1" fillId="0" borderId="0" xfId="2" applyNumberFormat="1" applyFont="1" applyBorder="1" applyAlignment="1" applyProtection="1">
      <alignment horizontal="center" vertical="center" wrapText="1"/>
      <protection locked="0"/>
    </xf>
    <xf numFmtId="49" fontId="1" fillId="0" borderId="0" xfId="1" applyNumberFormat="1" applyAlignment="1" applyProtection="1">
      <alignment horizontal="center" vertical="center" wrapText="1"/>
      <protection locked="0"/>
    </xf>
    <xf numFmtId="2" fontId="1" fillId="0" borderId="0" xfId="2" applyNumberFormat="1" applyFont="1" applyBorder="1" applyAlignment="1" applyProtection="1">
      <alignment horizontal="center" vertical="center" wrapText="1"/>
      <protection locked="0"/>
    </xf>
    <xf numFmtId="165" fontId="1" fillId="0" borderId="36" xfId="1" applyNumberFormat="1" applyBorder="1" applyAlignment="1" applyProtection="1">
      <alignment horizontal="center" vertical="center" wrapText="1"/>
      <protection locked="0"/>
    </xf>
    <xf numFmtId="165" fontId="1" fillId="0" borderId="20" xfId="1" applyNumberFormat="1" applyBorder="1" applyAlignment="1" applyProtection="1">
      <alignment horizontal="center" vertical="center" wrapText="1"/>
      <protection locked="0"/>
    </xf>
    <xf numFmtId="165" fontId="1" fillId="0" borderId="42" xfId="1" applyNumberFormat="1" applyBorder="1" applyAlignment="1" applyProtection="1">
      <alignment horizontal="center" vertical="center" wrapText="1"/>
      <protection locked="0"/>
    </xf>
    <xf numFmtId="165" fontId="7" fillId="0" borderId="36" xfId="1" applyNumberFormat="1" applyFont="1" applyBorder="1" applyAlignment="1" applyProtection="1">
      <alignment horizontal="center" vertical="center" wrapText="1"/>
      <protection locked="0"/>
    </xf>
    <xf numFmtId="165" fontId="1" fillId="0" borderId="0" xfId="1" applyNumberFormat="1" applyAlignment="1" applyProtection="1">
      <alignment horizontal="center" vertical="center" wrapText="1"/>
      <protection locked="0"/>
    </xf>
    <xf numFmtId="165" fontId="1" fillId="0" borderId="0" xfId="2" applyNumberFormat="1" applyFont="1" applyBorder="1" applyAlignment="1" applyProtection="1">
      <alignment horizontal="center" vertical="center" wrapText="1"/>
      <protection locked="0"/>
    </xf>
    <xf numFmtId="2" fontId="1" fillId="11" borderId="37" xfId="2" quotePrefix="1" applyNumberFormat="1" applyFont="1" applyFill="1" applyBorder="1" applyAlignment="1" applyProtection="1">
      <alignment horizontal="center" vertical="center" wrapText="1"/>
      <protection locked="0"/>
    </xf>
    <xf numFmtId="2" fontId="1" fillId="14" borderId="37" xfId="2" quotePrefix="1" applyNumberFormat="1" applyFont="1" applyFill="1" applyBorder="1" applyAlignment="1" applyProtection="1">
      <alignment horizontal="center" vertical="center" wrapText="1"/>
      <protection locked="0"/>
    </xf>
    <xf numFmtId="2" fontId="1" fillId="14" borderId="43" xfId="2" quotePrefix="1" applyNumberFormat="1" applyFont="1" applyFill="1" applyBorder="1" applyAlignment="1" applyProtection="1">
      <alignment horizontal="center" vertical="center" wrapText="1"/>
      <protection locked="0"/>
    </xf>
    <xf numFmtId="49" fontId="1" fillId="0" borderId="38" xfId="1" applyNumberFormat="1" applyBorder="1" applyAlignment="1" applyProtection="1">
      <alignment vertical="center" wrapText="1"/>
      <protection locked="0"/>
    </xf>
    <xf numFmtId="49" fontId="7" fillId="0" borderId="57" xfId="2" applyNumberFormat="1" applyFont="1" applyBorder="1" applyAlignment="1" applyProtection="1">
      <alignment vertical="center" wrapText="1"/>
      <protection locked="0"/>
    </xf>
    <xf numFmtId="49" fontId="7" fillId="0" borderId="72" xfId="2" applyNumberFormat="1" applyFont="1" applyBorder="1" applyAlignment="1" applyProtection="1">
      <alignment vertical="center" wrapText="1"/>
      <protection locked="0"/>
    </xf>
    <xf numFmtId="49" fontId="1" fillId="0" borderId="44" xfId="1" applyNumberFormat="1" applyBorder="1" applyAlignment="1" applyProtection="1">
      <alignment vertical="center" wrapText="1"/>
      <protection locked="0"/>
    </xf>
    <xf numFmtId="49" fontId="7" fillId="0" borderId="91" xfId="2" applyNumberFormat="1" applyFont="1" applyBorder="1" applyAlignment="1" applyProtection="1">
      <alignment vertical="center" wrapText="1"/>
      <protection locked="0"/>
    </xf>
    <xf numFmtId="49" fontId="1" fillId="0" borderId="18" xfId="1" applyNumberFormat="1" applyBorder="1" applyAlignment="1" applyProtection="1">
      <alignment horizontal="center" vertical="center" wrapText="1"/>
      <protection locked="0"/>
    </xf>
    <xf numFmtId="49" fontId="1" fillId="0" borderId="0" xfId="2" applyNumberFormat="1" applyFont="1" applyBorder="1" applyAlignment="1" applyProtection="1">
      <alignment vertical="center" wrapText="1"/>
      <protection locked="0"/>
    </xf>
    <xf numFmtId="49" fontId="1" fillId="0" borderId="38" xfId="1" applyNumberFormat="1" applyBorder="1" applyAlignment="1" applyProtection="1">
      <alignment horizontal="center" vertical="center" wrapText="1"/>
      <protection locked="0"/>
    </xf>
    <xf numFmtId="49" fontId="1" fillId="0" borderId="44" xfId="1" applyNumberFormat="1" applyBorder="1" applyAlignment="1" applyProtection="1">
      <alignment horizontal="center" vertical="center" wrapText="1"/>
      <protection locked="0"/>
    </xf>
    <xf numFmtId="49" fontId="7" fillId="0" borderId="86" xfId="1" applyNumberFormat="1" applyFont="1" applyBorder="1" applyAlignment="1" applyProtection="1">
      <alignment horizontal="center" vertical="center" wrapText="1"/>
      <protection locked="0"/>
    </xf>
    <xf numFmtId="49" fontId="7" fillId="0" borderId="78" xfId="1" applyNumberFormat="1" applyFont="1" applyBorder="1" applyAlignment="1" applyProtection="1">
      <alignment horizontal="center" vertical="center" wrapText="1"/>
      <protection locked="0"/>
    </xf>
    <xf numFmtId="49" fontId="1" fillId="0" borderId="88" xfId="1" applyNumberFormat="1" applyBorder="1" applyAlignment="1" applyProtection="1">
      <alignment horizontal="center" vertical="center" wrapText="1"/>
      <protection locked="0"/>
    </xf>
    <xf numFmtId="49" fontId="7" fillId="14" borderId="0" xfId="1" applyNumberFormat="1" applyFont="1" applyFill="1" applyAlignment="1" applyProtection="1">
      <alignment vertical="center" wrapText="1"/>
      <protection locked="0"/>
    </xf>
    <xf numFmtId="49" fontId="7" fillId="0" borderId="0" xfId="1" applyNumberFormat="1" applyFont="1" applyAlignment="1" applyProtection="1">
      <alignment vertical="center" wrapText="1"/>
      <protection locked="0"/>
    </xf>
    <xf numFmtId="49" fontId="1" fillId="0" borderId="2" xfId="1" applyNumberFormat="1" applyBorder="1" applyAlignment="1" applyProtection="1">
      <alignment vertical="center" wrapText="1"/>
      <protection locked="0"/>
    </xf>
    <xf numFmtId="49" fontId="1" fillId="0" borderId="1" xfId="1" applyNumberFormat="1" applyBorder="1" applyAlignment="1" applyProtection="1">
      <alignment vertical="center" wrapText="1"/>
      <protection locked="0"/>
    </xf>
    <xf numFmtId="44" fontId="1" fillId="0" borderId="37" xfId="1" applyNumberFormat="1" applyBorder="1" applyAlignment="1">
      <alignment vertical="center" wrapText="1"/>
    </xf>
    <xf numFmtId="44" fontId="1" fillId="0" borderId="37" xfId="1" applyNumberFormat="1" applyBorder="1" applyAlignment="1">
      <alignment horizontal="center" vertical="center" wrapText="1"/>
    </xf>
    <xf numFmtId="44" fontId="7" fillId="0" borderId="60" xfId="1" applyNumberFormat="1" applyFont="1" applyBorder="1" applyAlignment="1">
      <alignment horizontal="center" vertical="center" wrapText="1"/>
    </xf>
    <xf numFmtId="44" fontId="7" fillId="0" borderId="85" xfId="1" applyNumberFormat="1" applyFont="1" applyBorder="1" applyAlignment="1">
      <alignment horizontal="center" vertical="center" wrapText="1"/>
    </xf>
    <xf numFmtId="44" fontId="7" fillId="0" borderId="76" xfId="1" applyNumberFormat="1" applyFont="1" applyBorder="1" applyAlignment="1">
      <alignment horizontal="center" vertical="center" wrapText="1"/>
    </xf>
    <xf numFmtId="44" fontId="7" fillId="0" borderId="77" xfId="1" applyNumberFormat="1" applyFont="1" applyBorder="1" applyAlignment="1">
      <alignment horizontal="center" vertical="center" wrapText="1"/>
    </xf>
    <xf numFmtId="44" fontId="1" fillId="0" borderId="0" xfId="1" applyNumberFormat="1" applyAlignment="1">
      <alignment vertical="center" wrapText="1"/>
    </xf>
    <xf numFmtId="49" fontId="1" fillId="14" borderId="0" xfId="1" applyNumberFormat="1" applyFill="1" applyAlignment="1" applyProtection="1">
      <alignment vertical="center" wrapText="1"/>
      <protection locked="0"/>
    </xf>
    <xf numFmtId="44" fontId="3" fillId="14" borderId="0" xfId="1" applyNumberFormat="1" applyFont="1" applyFill="1" applyAlignment="1" applyProtection="1">
      <alignment wrapText="1"/>
      <protection locked="0"/>
    </xf>
    <xf numFmtId="44" fontId="1" fillId="0" borderId="37" xfId="1" applyNumberFormat="1" applyBorder="1" applyAlignment="1" applyProtection="1">
      <alignment vertical="center" wrapText="1"/>
      <protection locked="0"/>
    </xf>
    <xf numFmtId="44" fontId="1" fillId="0" borderId="43" xfId="1" applyNumberFormat="1" applyBorder="1" applyAlignment="1" applyProtection="1">
      <alignment horizontal="center" vertical="center" wrapText="1"/>
      <protection locked="0"/>
    </xf>
    <xf numFmtId="44" fontId="7" fillId="0" borderId="76" xfId="1" applyNumberFormat="1" applyFont="1" applyBorder="1" applyAlignment="1" applyProtection="1">
      <alignment horizontal="center" vertical="center" wrapText="1"/>
      <protection locked="0"/>
    </xf>
    <xf numFmtId="44" fontId="1" fillId="0" borderId="43" xfId="1" applyNumberFormat="1" applyBorder="1" applyAlignment="1" applyProtection="1">
      <alignment vertical="center" wrapText="1"/>
      <protection locked="0"/>
    </xf>
    <xf numFmtId="49" fontId="7" fillId="0" borderId="37" xfId="1" applyNumberFormat="1" applyFont="1" applyBorder="1" applyAlignment="1" applyProtection="1">
      <alignment horizontal="left" vertical="center" wrapText="1"/>
      <protection locked="0"/>
    </xf>
    <xf numFmtId="49" fontId="7" fillId="14" borderId="0" xfId="1" applyNumberFormat="1" applyFont="1" applyFill="1" applyAlignment="1" applyProtection="1">
      <alignment horizontal="center" vertical="center" wrapText="1"/>
      <protection locked="0"/>
    </xf>
    <xf numFmtId="49" fontId="7" fillId="0" borderId="0" xfId="1" applyNumberFormat="1" applyFont="1" applyAlignment="1" applyProtection="1">
      <alignment horizontal="left" vertical="center" wrapText="1"/>
      <protection locked="0"/>
    </xf>
    <xf numFmtId="49" fontId="1" fillId="0" borderId="18" xfId="1" applyNumberFormat="1" applyBorder="1" applyAlignment="1" applyProtection="1">
      <alignment vertical="center" wrapText="1"/>
      <protection locked="0"/>
    </xf>
    <xf numFmtId="49" fontId="1" fillId="11" borderId="37" xfId="1" applyNumberFormat="1" applyFill="1" applyBorder="1" applyAlignment="1" applyProtection="1">
      <alignment horizontal="left" vertical="center" wrapText="1"/>
      <protection locked="0"/>
    </xf>
    <xf numFmtId="49" fontId="1" fillId="0" borderId="38" xfId="1" applyNumberFormat="1" applyBorder="1" applyAlignment="1" applyProtection="1">
      <alignment horizontal="left" vertical="center" wrapText="1"/>
      <protection locked="0"/>
    </xf>
    <xf numFmtId="49" fontId="1" fillId="0" borderId="37" xfId="1" applyNumberFormat="1" applyBorder="1" applyAlignment="1" applyProtection="1">
      <alignment horizontal="center" vertical="center" wrapText="1"/>
      <protection locked="0"/>
    </xf>
    <xf numFmtId="49" fontId="1" fillId="14" borderId="0" xfId="1" applyNumberFormat="1" applyFill="1" applyAlignment="1" applyProtection="1">
      <alignment horizontal="center" vertical="center" wrapText="1"/>
      <protection locked="0"/>
    </xf>
    <xf numFmtId="2" fontId="1" fillId="11" borderId="37" xfId="2" quotePrefix="1" applyNumberFormat="1" applyFont="1" applyFill="1" applyBorder="1" applyAlignment="1" applyProtection="1">
      <alignment horizontal="left" vertical="center" wrapText="1"/>
      <protection locked="0"/>
    </xf>
    <xf numFmtId="2" fontId="1" fillId="0" borderId="37" xfId="2" quotePrefix="1" applyNumberFormat="1" applyFont="1" applyFill="1" applyBorder="1" applyAlignment="1" applyProtection="1">
      <alignment horizontal="center" vertical="center" wrapText="1"/>
      <protection locked="0"/>
    </xf>
    <xf numFmtId="164" fontId="1" fillId="11" borderId="37" xfId="1" applyNumberFormat="1" applyFill="1" applyBorder="1" applyAlignment="1" applyProtection="1">
      <alignment horizontal="left" vertical="center" wrapText="1"/>
      <protection locked="0"/>
    </xf>
    <xf numFmtId="164" fontId="1" fillId="0" borderId="37" xfId="1" applyNumberFormat="1" applyBorder="1" applyAlignment="1" applyProtection="1">
      <alignment horizontal="center" vertical="center" wrapText="1"/>
      <protection locked="0"/>
    </xf>
    <xf numFmtId="44" fontId="1" fillId="11" borderId="37" xfId="2" applyFont="1" applyFill="1" applyBorder="1" applyAlignment="1" applyProtection="1">
      <alignment vertical="center" wrapText="1"/>
      <protection locked="0"/>
    </xf>
    <xf numFmtId="165" fontId="7" fillId="0" borderId="17" xfId="1" applyNumberFormat="1" applyFont="1" applyBorder="1" applyAlignment="1" applyProtection="1">
      <alignment horizontal="center" vertical="center" wrapText="1"/>
      <protection locked="0"/>
    </xf>
    <xf numFmtId="165" fontId="7" fillId="0" borderId="20" xfId="1" applyNumberFormat="1" applyFont="1" applyBorder="1" applyAlignment="1" applyProtection="1">
      <alignment horizontal="center" vertical="center" wrapText="1"/>
      <protection locked="0"/>
    </xf>
    <xf numFmtId="44" fontId="1" fillId="0" borderId="37" xfId="1" applyNumberFormat="1" applyBorder="1" applyAlignment="1">
      <alignment horizontal="left" vertical="center" wrapText="1"/>
    </xf>
    <xf numFmtId="44" fontId="1" fillId="0" borderId="42" xfId="1" applyNumberFormat="1" applyBorder="1" applyAlignment="1" applyProtection="1">
      <alignment vertical="center" wrapText="1"/>
      <protection locked="0"/>
    </xf>
    <xf numFmtId="44" fontId="1" fillId="0" borderId="36" xfId="1" applyNumberFormat="1" applyBorder="1" applyAlignment="1" applyProtection="1">
      <alignment vertical="center" wrapText="1"/>
      <protection locked="0"/>
    </xf>
    <xf numFmtId="0" fontId="7" fillId="14" borderId="0" xfId="1" applyFont="1" applyFill="1" applyAlignment="1">
      <alignment vertical="center" wrapText="1"/>
    </xf>
    <xf numFmtId="0" fontId="1" fillId="14" borderId="0" xfId="1" applyFill="1" applyAlignment="1">
      <alignment vertical="center"/>
    </xf>
    <xf numFmtId="0" fontId="1" fillId="0" borderId="0" xfId="1" applyAlignment="1">
      <alignment vertical="center"/>
    </xf>
    <xf numFmtId="0" fontId="7" fillId="14" borderId="0" xfId="1" applyFont="1" applyFill="1" applyAlignment="1">
      <alignment vertical="center"/>
    </xf>
    <xf numFmtId="0" fontId="1" fillId="0" borderId="0" xfId="1" applyAlignment="1">
      <alignment horizontal="left" vertical="center" indent="1"/>
    </xf>
    <xf numFmtId="0" fontId="7" fillId="14" borderId="0" xfId="1" applyFont="1" applyFill="1" applyAlignment="1">
      <alignment horizontal="center" vertical="center"/>
    </xf>
    <xf numFmtId="0" fontId="7" fillId="0" borderId="0" xfId="1" applyFont="1" applyAlignment="1">
      <alignment vertical="center"/>
    </xf>
    <xf numFmtId="0" fontId="1" fillId="14" borderId="0" xfId="1" applyFill="1" applyAlignment="1">
      <alignment horizontal="left" vertical="center" indent="1"/>
    </xf>
    <xf numFmtId="0" fontId="7" fillId="14" borderId="0" xfId="1" applyFont="1" applyFill="1" applyAlignment="1">
      <alignment horizontal="left" vertical="center" indent="1"/>
    </xf>
    <xf numFmtId="0" fontId="1" fillId="0" borderId="0" xfId="1" applyAlignment="1">
      <alignment horizontal="center" vertical="center"/>
    </xf>
    <xf numFmtId="0" fontId="1" fillId="0" borderId="0" xfId="1" applyAlignment="1">
      <alignment horizontal="left" vertical="center"/>
    </xf>
    <xf numFmtId="44" fontId="1" fillId="0" borderId="0" xfId="2" applyFont="1" applyBorder="1" applyAlignment="1" applyProtection="1">
      <alignment vertical="center"/>
    </xf>
    <xf numFmtId="44" fontId="1" fillId="0" borderId="0" xfId="2" applyFont="1" applyBorder="1" applyAlignment="1" applyProtection="1">
      <alignment horizontal="center" vertical="center"/>
    </xf>
    <xf numFmtId="44" fontId="1" fillId="14" borderId="0" xfId="1" applyNumberFormat="1" applyFill="1" applyAlignment="1">
      <alignment horizontal="left" vertical="center" indent="1"/>
    </xf>
    <xf numFmtId="0" fontId="1" fillId="14" borderId="0" xfId="1" applyFill="1" applyAlignment="1">
      <alignment horizontal="center" vertical="center"/>
    </xf>
    <xf numFmtId="44" fontId="3" fillId="14" borderId="0" xfId="1" applyNumberFormat="1" applyFont="1" applyFill="1" applyAlignment="1">
      <alignment horizontal="left" vertical="center" indent="1"/>
    </xf>
    <xf numFmtId="0" fontId="3" fillId="14" borderId="0" xfId="1" applyFont="1" applyFill="1" applyAlignment="1">
      <alignment horizontal="center" vertical="center"/>
    </xf>
    <xf numFmtId="0" fontId="3" fillId="14" borderId="0" xfId="1" applyFont="1" applyFill="1" applyAlignment="1">
      <alignment vertical="center"/>
    </xf>
    <xf numFmtId="44" fontId="1" fillId="0" borderId="0" xfId="2" applyFont="1" applyBorder="1" applyAlignment="1" applyProtection="1">
      <alignment horizontal="left" vertical="center" indent="1"/>
    </xf>
    <xf numFmtId="44" fontId="1" fillId="0" borderId="0" xfId="1" applyNumberFormat="1" applyAlignment="1">
      <alignment horizontal="left" vertical="center" indent="1"/>
    </xf>
    <xf numFmtId="0" fontId="1" fillId="0" borderId="2" xfId="1" applyBorder="1" applyAlignment="1">
      <alignment vertical="center"/>
    </xf>
    <xf numFmtId="0" fontId="1" fillId="0" borderId="1" xfId="1" applyBorder="1" applyAlignment="1">
      <alignment vertical="center"/>
    </xf>
    <xf numFmtId="44" fontId="5" fillId="14" borderId="0" xfId="1" applyNumberFormat="1" applyFont="1" applyFill="1" applyAlignment="1" applyProtection="1">
      <alignment wrapText="1"/>
      <protection locked="0"/>
    </xf>
    <xf numFmtId="44" fontId="7" fillId="0" borderId="37" xfId="1" applyNumberFormat="1" applyFont="1" applyBorder="1" applyAlignment="1">
      <alignment horizontal="center" vertical="center" wrapText="1"/>
    </xf>
    <xf numFmtId="44" fontId="7" fillId="0" borderId="43" xfId="1" applyNumberFormat="1" applyFont="1" applyBorder="1" applyAlignment="1" applyProtection="1">
      <alignment horizontal="center" vertical="center" wrapText="1"/>
      <protection locked="0"/>
    </xf>
    <xf numFmtId="44" fontId="7" fillId="0" borderId="43" xfId="1" applyNumberFormat="1" applyFont="1" applyBorder="1" applyAlignment="1">
      <alignment horizontal="center" vertical="center" wrapText="1"/>
    </xf>
    <xf numFmtId="44" fontId="7" fillId="0" borderId="37" xfId="1" applyNumberFormat="1" applyFont="1" applyBorder="1" applyAlignment="1" applyProtection="1">
      <alignment horizontal="center" vertical="center" wrapText="1"/>
      <protection locked="0"/>
    </xf>
    <xf numFmtId="44" fontId="7" fillId="0" borderId="0" xfId="1" applyNumberFormat="1" applyFont="1" applyAlignment="1" applyProtection="1">
      <alignment vertical="center" wrapText="1"/>
      <protection locked="0"/>
    </xf>
    <xf numFmtId="44" fontId="7" fillId="0" borderId="0" xfId="2" applyFont="1" applyBorder="1" applyAlignment="1" applyProtection="1">
      <alignment horizontal="center" vertical="center" wrapText="1"/>
      <protection locked="0"/>
    </xf>
    <xf numFmtId="44" fontId="1" fillId="14" borderId="43" xfId="1" applyNumberFormat="1" applyFill="1" applyBorder="1" applyAlignment="1">
      <alignment vertical="center" wrapText="1"/>
    </xf>
    <xf numFmtId="0" fontId="1" fillId="14" borderId="44" xfId="1" applyFill="1" applyBorder="1" applyAlignment="1">
      <alignment horizontal="center" vertical="center" wrapText="1"/>
    </xf>
    <xf numFmtId="0" fontId="1" fillId="14" borderId="42" xfId="1" applyFill="1" applyBorder="1" applyAlignment="1">
      <alignment horizontal="left" vertical="center" wrapText="1" indent="1"/>
    </xf>
    <xf numFmtId="1" fontId="8" fillId="8" borderId="0" xfId="2" applyNumberFormat="1" applyFont="1" applyFill="1" applyBorder="1" applyAlignment="1" applyProtection="1">
      <alignment horizontal="center" vertical="center" wrapText="1"/>
      <protection locked="0"/>
    </xf>
    <xf numFmtId="49" fontId="8" fillId="8" borderId="0" xfId="1" applyNumberFormat="1" applyFont="1" applyFill="1" applyAlignment="1" applyProtection="1">
      <alignment horizontal="center" vertical="center" wrapText="1"/>
      <protection locked="0"/>
    </xf>
    <xf numFmtId="164" fontId="8" fillId="8" borderId="0" xfId="1" applyNumberFormat="1" applyFont="1" applyFill="1" applyAlignment="1" applyProtection="1">
      <alignment horizontal="center" vertical="center" wrapText="1"/>
      <protection locked="0"/>
    </xf>
    <xf numFmtId="44" fontId="8" fillId="8" borderId="0" xfId="2" applyFont="1" applyFill="1" applyBorder="1" applyAlignment="1" applyProtection="1">
      <alignment horizontal="center" vertical="center" wrapText="1"/>
    </xf>
    <xf numFmtId="0" fontId="7" fillId="16" borderId="42" xfId="1" applyFont="1" applyFill="1" applyBorder="1" applyAlignment="1">
      <alignment horizontal="left" vertical="center" wrapText="1" indent="1"/>
    </xf>
    <xf numFmtId="44" fontId="22" fillId="14" borderId="0" xfId="1" applyNumberFormat="1" applyFont="1" applyFill="1" applyAlignment="1" applyProtection="1">
      <alignment vertical="center" wrapText="1"/>
      <protection locked="0"/>
    </xf>
    <xf numFmtId="49" fontId="22" fillId="14" borderId="0" xfId="1" applyNumberFormat="1" applyFont="1" applyFill="1" applyAlignment="1" applyProtection="1">
      <alignment vertical="center" wrapText="1"/>
      <protection locked="0"/>
    </xf>
    <xf numFmtId="165" fontId="23" fillId="8" borderId="17" xfId="1" applyNumberFormat="1" applyFont="1" applyFill="1" applyBorder="1" applyAlignment="1" applyProtection="1">
      <alignment horizontal="center" vertical="center" wrapText="1"/>
      <protection locked="0"/>
    </xf>
    <xf numFmtId="49" fontId="23" fillId="8" borderId="0" xfId="1" applyNumberFormat="1" applyFont="1" applyFill="1" applyAlignment="1" applyProtection="1">
      <alignment horizontal="center" vertical="center" wrapText="1"/>
      <protection locked="0"/>
    </xf>
    <xf numFmtId="49" fontId="23" fillId="8" borderId="0" xfId="2" applyNumberFormat="1" applyFont="1" applyFill="1" applyBorder="1" applyAlignment="1" applyProtection="1">
      <alignment horizontal="center" vertical="center" wrapText="1"/>
      <protection locked="0"/>
    </xf>
    <xf numFmtId="1" fontId="23" fillId="2" borderId="62" xfId="1" applyNumberFormat="1" applyFont="1" applyFill="1" applyBorder="1" applyAlignment="1" applyProtection="1">
      <alignment horizontal="center" vertical="center" wrapText="1"/>
      <protection locked="0"/>
    </xf>
    <xf numFmtId="49" fontId="23" fillId="2" borderId="63" xfId="1" applyNumberFormat="1" applyFont="1" applyFill="1" applyBorder="1" applyAlignment="1" applyProtection="1">
      <alignment vertical="center" wrapText="1"/>
      <protection locked="0"/>
    </xf>
    <xf numFmtId="49" fontId="24" fillId="14" borderId="0" xfId="1" applyNumberFormat="1" applyFont="1" applyFill="1" applyAlignment="1" applyProtection="1">
      <alignment vertical="center" wrapText="1"/>
      <protection locked="0"/>
    </xf>
    <xf numFmtId="1" fontId="23" fillId="2" borderId="24" xfId="1" applyNumberFormat="1" applyFont="1" applyFill="1" applyBorder="1" applyAlignment="1" applyProtection="1">
      <alignment horizontal="center" vertical="center" wrapText="1"/>
      <protection locked="0"/>
    </xf>
    <xf numFmtId="49" fontId="23" fillId="2" borderId="70" xfId="1" applyNumberFormat="1" applyFont="1" applyFill="1" applyBorder="1" applyAlignment="1" applyProtection="1">
      <alignment vertical="center" wrapText="1"/>
      <protection locked="0"/>
    </xf>
    <xf numFmtId="49" fontId="23" fillId="14" borderId="0" xfId="1" applyNumberFormat="1" applyFont="1" applyFill="1" applyAlignment="1" applyProtection="1">
      <alignment horizontal="center" vertical="center" wrapText="1"/>
      <protection locked="0"/>
    </xf>
    <xf numFmtId="1" fontId="23" fillId="2" borderId="17" xfId="1" applyNumberFormat="1" applyFont="1" applyFill="1" applyBorder="1" applyAlignment="1" applyProtection="1">
      <alignment horizontal="center" vertical="center" wrapText="1"/>
      <protection locked="0"/>
    </xf>
    <xf numFmtId="49" fontId="23" fillId="2" borderId="18" xfId="1" applyNumberFormat="1" applyFont="1" applyFill="1" applyBorder="1" applyAlignment="1" applyProtection="1">
      <alignment horizontal="center" vertical="center" wrapText="1"/>
      <protection locked="0"/>
    </xf>
    <xf numFmtId="49" fontId="23" fillId="15" borderId="24" xfId="1" applyNumberFormat="1" applyFont="1" applyFill="1" applyBorder="1" applyAlignment="1" applyProtection="1">
      <alignment horizontal="center" vertical="center" wrapText="1"/>
      <protection locked="0"/>
    </xf>
    <xf numFmtId="49" fontId="23" fillId="15" borderId="5" xfId="1" applyNumberFormat="1" applyFont="1" applyFill="1" applyBorder="1" applyAlignment="1" applyProtection="1">
      <alignment horizontal="center" vertical="center" wrapText="1"/>
      <protection locked="0"/>
    </xf>
    <xf numFmtId="49" fontId="23" fillId="15" borderId="19" xfId="1" applyNumberFormat="1" applyFont="1" applyFill="1" applyBorder="1" applyAlignment="1" applyProtection="1">
      <alignment horizontal="center" vertical="center" wrapText="1"/>
      <protection locked="0"/>
    </xf>
    <xf numFmtId="49" fontId="23" fillId="15" borderId="8" xfId="1" applyNumberFormat="1" applyFont="1" applyFill="1" applyBorder="1" applyAlignment="1" applyProtection="1">
      <alignment horizontal="center" vertical="center" wrapText="1"/>
      <protection locked="0"/>
    </xf>
    <xf numFmtId="49" fontId="23" fillId="15" borderId="58" xfId="1" applyNumberFormat="1" applyFont="1" applyFill="1" applyBorder="1" applyAlignment="1" applyProtection="1">
      <alignment horizontal="center" vertical="center" wrapText="1"/>
      <protection locked="0"/>
    </xf>
    <xf numFmtId="49" fontId="23" fillId="2" borderId="63" xfId="1" applyNumberFormat="1" applyFont="1" applyFill="1" applyBorder="1" applyAlignment="1" applyProtection="1">
      <alignment horizontal="center" vertical="center" wrapText="1"/>
      <protection locked="0"/>
    </xf>
    <xf numFmtId="49" fontId="24" fillId="0" borderId="0" xfId="1" applyNumberFormat="1" applyFont="1" applyAlignment="1" applyProtection="1">
      <alignment vertical="center" wrapText="1"/>
      <protection locked="0"/>
    </xf>
    <xf numFmtId="49" fontId="23" fillId="2" borderId="18" xfId="1" applyNumberFormat="1" applyFont="1" applyFill="1" applyBorder="1" applyAlignment="1" applyProtection="1">
      <alignment vertical="center" wrapText="1"/>
      <protection locked="0"/>
    </xf>
    <xf numFmtId="49" fontId="23" fillId="0" borderId="0" xfId="1" applyNumberFormat="1" applyFont="1" applyAlignment="1" applyProtection="1">
      <alignment vertical="center" wrapText="1"/>
      <protection locked="0"/>
    </xf>
    <xf numFmtId="49" fontId="3" fillId="14" borderId="0" xfId="1" applyNumberFormat="1" applyFont="1" applyFill="1" applyAlignment="1" applyProtection="1">
      <alignment vertical="center" wrapText="1"/>
      <protection locked="0"/>
    </xf>
    <xf numFmtId="49" fontId="3" fillId="0" borderId="0" xfId="1" applyNumberFormat="1" applyFont="1" applyAlignment="1" applyProtection="1">
      <alignment vertical="center" wrapText="1"/>
      <protection locked="0"/>
    </xf>
    <xf numFmtId="49" fontId="24" fillId="14" borderId="0" xfId="1" applyNumberFormat="1" applyFont="1" applyFill="1" applyAlignment="1" applyProtection="1">
      <alignment horizontal="center" vertical="center" wrapText="1"/>
      <protection locked="0"/>
    </xf>
    <xf numFmtId="49" fontId="25" fillId="2" borderId="63" xfId="1" applyNumberFormat="1" applyFont="1" applyFill="1" applyBorder="1" applyAlignment="1" applyProtection="1">
      <alignment horizontal="right" vertical="center" wrapText="1"/>
      <protection locked="0"/>
    </xf>
    <xf numFmtId="49" fontId="3" fillId="14" borderId="0" xfId="1" applyNumberFormat="1" applyFont="1" applyFill="1" applyAlignment="1" applyProtection="1">
      <alignment horizontal="center" vertical="center" wrapText="1"/>
      <protection locked="0"/>
    </xf>
    <xf numFmtId="49" fontId="14" fillId="0" borderId="0" xfId="0" applyNumberFormat="1" applyFont="1" applyAlignment="1" applyProtection="1">
      <alignment wrapText="1"/>
      <protection locked="0"/>
    </xf>
    <xf numFmtId="165" fontId="14" fillId="0" borderId="0" xfId="0" applyNumberFormat="1" applyFont="1" applyAlignment="1" applyProtection="1">
      <alignment wrapText="1"/>
      <protection locked="0"/>
    </xf>
    <xf numFmtId="2" fontId="14" fillId="0" borderId="0" xfId="0" applyNumberFormat="1" applyFont="1" applyAlignment="1" applyProtection="1">
      <alignment wrapText="1"/>
      <protection locked="0"/>
    </xf>
    <xf numFmtId="164" fontId="14" fillId="0" borderId="0" xfId="0" applyNumberFormat="1" applyFont="1" applyAlignment="1" applyProtection="1">
      <alignment wrapText="1"/>
      <protection locked="0"/>
    </xf>
    <xf numFmtId="44" fontId="14" fillId="0" borderId="0" xfId="0" applyNumberFormat="1" applyFont="1" applyAlignment="1" applyProtection="1">
      <alignment wrapText="1"/>
      <protection locked="0"/>
    </xf>
    <xf numFmtId="44" fontId="15" fillId="0" borderId="0" xfId="0" applyNumberFormat="1" applyFont="1" applyAlignment="1" applyProtection="1">
      <alignment wrapText="1"/>
      <protection locked="0"/>
    </xf>
    <xf numFmtId="165" fontId="23" fillId="7" borderId="17" xfId="1" applyNumberFormat="1" applyFont="1" applyFill="1" applyBorder="1" applyAlignment="1" applyProtection="1">
      <alignment horizontal="center" vertical="center" wrapText="1"/>
      <protection locked="0"/>
    </xf>
    <xf numFmtId="49" fontId="23" fillId="7" borderId="0" xfId="1" applyNumberFormat="1" applyFont="1" applyFill="1" applyAlignment="1" applyProtection="1">
      <alignment horizontal="center" vertical="center" wrapText="1"/>
      <protection locked="0"/>
    </xf>
    <xf numFmtId="49" fontId="23" fillId="7" borderId="0" xfId="2" applyNumberFormat="1" applyFont="1" applyFill="1" applyBorder="1" applyAlignment="1" applyProtection="1">
      <alignment horizontal="center" vertical="center" wrapText="1"/>
      <protection locked="0"/>
    </xf>
    <xf numFmtId="164" fontId="23" fillId="7" borderId="0" xfId="1" applyNumberFormat="1" applyFont="1" applyFill="1" applyAlignment="1" applyProtection="1">
      <alignment horizontal="center" vertical="center" wrapText="1"/>
      <protection locked="0"/>
    </xf>
    <xf numFmtId="44" fontId="23" fillId="7" borderId="0" xfId="2" applyFont="1" applyFill="1" applyBorder="1" applyAlignment="1" applyProtection="1">
      <alignment horizontal="center" vertical="center" wrapText="1"/>
      <protection locked="0"/>
    </xf>
    <xf numFmtId="165" fontId="23" fillId="2" borderId="62" xfId="1" applyNumberFormat="1" applyFont="1" applyFill="1" applyBorder="1" applyAlignment="1" applyProtection="1">
      <alignment horizontal="center" vertical="center" wrapText="1"/>
      <protection locked="0"/>
    </xf>
    <xf numFmtId="1" fontId="14" fillId="0" borderId="0" xfId="0" applyNumberFormat="1" applyFont="1" applyAlignment="1" applyProtection="1">
      <alignment wrapText="1"/>
      <protection locked="0"/>
    </xf>
    <xf numFmtId="0" fontId="23" fillId="7" borderId="17" xfId="1" applyFont="1" applyFill="1" applyBorder="1" applyAlignment="1">
      <alignment horizontal="center" vertical="center"/>
    </xf>
    <xf numFmtId="0" fontId="23" fillId="7" borderId="0" xfId="1" applyFont="1" applyFill="1" applyAlignment="1">
      <alignment horizontal="center" vertical="center"/>
    </xf>
    <xf numFmtId="44" fontId="23" fillId="7" borderId="0" xfId="2" applyFont="1" applyFill="1" applyBorder="1" applyAlignment="1" applyProtection="1">
      <alignment horizontal="center" vertical="center"/>
    </xf>
    <xf numFmtId="44" fontId="23" fillId="4" borderId="17" xfId="1" applyNumberFormat="1" applyFont="1" applyFill="1" applyBorder="1" applyAlignment="1">
      <alignment vertical="center"/>
    </xf>
    <xf numFmtId="44" fontId="23" fillId="4" borderId="125" xfId="1" applyNumberFormat="1" applyFont="1" applyFill="1" applyBorder="1" applyAlignment="1">
      <alignment vertical="center"/>
    </xf>
    <xf numFmtId="0" fontId="23" fillId="0" borderId="36" xfId="1" applyFont="1" applyBorder="1" applyAlignment="1">
      <alignment horizontal="center" vertical="center"/>
    </xf>
    <xf numFmtId="0" fontId="23" fillId="0" borderId="37" xfId="1" applyFont="1" applyBorder="1" applyAlignment="1">
      <alignment horizontal="left" vertical="center" indent="1"/>
    </xf>
    <xf numFmtId="0" fontId="23" fillId="15" borderId="83" xfId="1" applyFont="1" applyFill="1" applyBorder="1" applyAlignment="1">
      <alignment horizontal="center" vertical="center"/>
    </xf>
    <xf numFmtId="0" fontId="23" fillId="15" borderId="75" xfId="1" applyFont="1" applyFill="1" applyBorder="1" applyAlignment="1">
      <alignment horizontal="center" vertical="center"/>
    </xf>
    <xf numFmtId="0" fontId="23" fillId="15" borderId="84" xfId="1" applyFont="1" applyFill="1" applyBorder="1" applyAlignment="1">
      <alignment horizontal="center" vertical="center"/>
    </xf>
    <xf numFmtId="0" fontId="23" fillId="0" borderId="42" xfId="1" applyFont="1" applyBorder="1" applyAlignment="1">
      <alignment horizontal="center" vertical="center"/>
    </xf>
    <xf numFmtId="0" fontId="23" fillId="0" borderId="43" xfId="1" applyFont="1" applyBorder="1" applyAlignment="1">
      <alignment horizontal="left" vertical="center" indent="1"/>
    </xf>
    <xf numFmtId="164" fontId="23" fillId="7" borderId="13" xfId="2" applyNumberFormat="1" applyFont="1" applyFill="1" applyBorder="1" applyAlignment="1" applyProtection="1">
      <alignment horizontal="center" vertical="center"/>
    </xf>
    <xf numFmtId="44" fontId="23" fillId="4" borderId="71" xfId="1" applyNumberFormat="1" applyFont="1" applyFill="1" applyBorder="1" applyAlignment="1">
      <alignment horizontal="center" vertical="center"/>
    </xf>
    <xf numFmtId="44" fontId="23" fillId="7" borderId="66" xfId="1" applyNumberFormat="1" applyFont="1" applyFill="1" applyBorder="1" applyAlignment="1">
      <alignment horizontal="center" vertical="center"/>
    </xf>
    <xf numFmtId="0" fontId="23" fillId="0" borderId="83" xfId="1" applyFont="1" applyBorder="1" applyAlignment="1">
      <alignment horizontal="center" vertical="center"/>
    </xf>
    <xf numFmtId="0" fontId="23" fillId="0" borderId="75" xfId="1" applyFont="1" applyBorder="1" applyAlignment="1">
      <alignment horizontal="left" vertical="center" indent="1"/>
    </xf>
    <xf numFmtId="0" fontId="15" fillId="0" borderId="36" xfId="1" applyFont="1" applyBorder="1" applyAlignment="1">
      <alignment horizontal="center" vertical="center"/>
    </xf>
    <xf numFmtId="0" fontId="15" fillId="0" borderId="37" xfId="1" applyFont="1" applyBorder="1" applyAlignment="1">
      <alignment horizontal="left" vertical="center" indent="1"/>
    </xf>
    <xf numFmtId="0" fontId="24" fillId="14" borderId="0" xfId="1" applyFont="1" applyFill="1" applyAlignment="1">
      <alignment vertical="center"/>
    </xf>
    <xf numFmtId="0" fontId="23" fillId="15" borderId="60" xfId="1" applyFont="1" applyFill="1" applyBorder="1" applyAlignment="1">
      <alignment horizontal="left" vertical="center" indent="1"/>
    </xf>
    <xf numFmtId="0" fontId="23" fillId="15" borderId="59" xfId="1" applyFont="1" applyFill="1" applyBorder="1" applyAlignment="1">
      <alignment horizontal="left" vertical="center" indent="1"/>
    </xf>
    <xf numFmtId="0" fontId="23" fillId="14" borderId="0" xfId="1" applyFont="1" applyFill="1" applyAlignment="1">
      <alignment horizontal="center" vertical="center"/>
    </xf>
    <xf numFmtId="164" fontId="23" fillId="7" borderId="13" xfId="2" applyNumberFormat="1" applyFont="1" applyFill="1" applyBorder="1" applyAlignment="1" applyProtection="1">
      <alignment vertical="center"/>
    </xf>
    <xf numFmtId="44" fontId="23" fillId="4" borderId="71" xfId="1" applyNumberFormat="1" applyFont="1" applyFill="1" applyBorder="1" applyAlignment="1">
      <alignment vertical="center"/>
    </xf>
    <xf numFmtId="0" fontId="24" fillId="14" borderId="0" xfId="1" applyFont="1" applyFill="1" applyAlignment="1">
      <alignment horizontal="left" vertical="center" indent="1"/>
    </xf>
    <xf numFmtId="164" fontId="23" fillId="7" borderId="90" xfId="2" applyNumberFormat="1" applyFont="1" applyFill="1" applyBorder="1" applyAlignment="1" applyProtection="1">
      <alignment vertical="center"/>
    </xf>
    <xf numFmtId="44" fontId="23" fillId="4" borderId="89" xfId="1" applyNumberFormat="1" applyFont="1" applyFill="1" applyBorder="1" applyAlignment="1">
      <alignment vertical="center"/>
    </xf>
    <xf numFmtId="44" fontId="23" fillId="7" borderId="127" xfId="1" applyNumberFormat="1" applyFont="1" applyFill="1" applyBorder="1" applyAlignment="1">
      <alignment horizontal="center" vertical="center"/>
    </xf>
    <xf numFmtId="0" fontId="14" fillId="0" borderId="0" xfId="0" applyFont="1" applyAlignment="1">
      <alignment horizontal="center"/>
    </xf>
    <xf numFmtId="0" fontId="14" fillId="0" borderId="0" xfId="0" applyFont="1"/>
    <xf numFmtId="0" fontId="23" fillId="14" borderId="0" xfId="1" applyFont="1" applyFill="1" applyAlignment="1">
      <alignment horizontal="left" vertical="center" indent="1"/>
    </xf>
    <xf numFmtId="0" fontId="23" fillId="14" borderId="0" xfId="1" applyFont="1" applyFill="1" applyAlignment="1">
      <alignment vertical="center"/>
    </xf>
    <xf numFmtId="0" fontId="24" fillId="0" borderId="0" xfId="1" applyFont="1" applyAlignment="1">
      <alignment vertical="center"/>
    </xf>
    <xf numFmtId="0" fontId="23" fillId="0" borderId="0" xfId="1" applyFont="1" applyAlignment="1">
      <alignment vertical="center"/>
    </xf>
    <xf numFmtId="0" fontId="3" fillId="14" borderId="0" xfId="1" applyFont="1" applyFill="1" applyAlignment="1">
      <alignment horizontal="left" vertical="center" indent="1"/>
    </xf>
    <xf numFmtId="44" fontId="24" fillId="14" borderId="0" xfId="1" applyNumberFormat="1" applyFont="1" applyFill="1" applyAlignment="1">
      <alignment horizontal="left" vertical="center" indent="1"/>
    </xf>
    <xf numFmtId="0" fontId="24" fillId="14" borderId="0" xfId="1" applyFont="1" applyFill="1" applyAlignment="1">
      <alignment horizontal="center" vertical="center"/>
    </xf>
    <xf numFmtId="0" fontId="14" fillId="0" borderId="0" xfId="0" applyFont="1" applyAlignment="1">
      <alignment horizontal="left" indent="1"/>
    </xf>
    <xf numFmtId="0" fontId="3" fillId="0" borderId="0" xfId="1" applyFont="1" applyAlignment="1">
      <alignment vertical="center"/>
    </xf>
    <xf numFmtId="49" fontId="1" fillId="14" borderId="44" xfId="1" applyNumberFormat="1" applyFill="1" applyBorder="1" applyAlignment="1">
      <alignment horizontal="center" vertical="center" wrapText="1"/>
    </xf>
    <xf numFmtId="0" fontId="1" fillId="14" borderId="39" xfId="1" applyFill="1" applyBorder="1" applyAlignment="1">
      <alignment horizontal="left" vertical="center" wrapText="1" indent="1"/>
    </xf>
    <xf numFmtId="44" fontId="1" fillId="14" borderId="40" xfId="1" applyNumberFormat="1" applyFill="1" applyBorder="1" applyAlignment="1">
      <alignment vertical="center" wrapText="1"/>
    </xf>
    <xf numFmtId="49" fontId="1" fillId="14" borderId="41" xfId="1" applyNumberFormat="1" applyFill="1" applyBorder="1" applyAlignment="1">
      <alignment horizontal="center" vertical="center" wrapText="1"/>
    </xf>
    <xf numFmtId="49" fontId="23" fillId="15" borderId="89" xfId="1" applyNumberFormat="1" applyFont="1" applyFill="1" applyBorder="1" applyAlignment="1" applyProtection="1">
      <alignment horizontal="center" vertical="center" wrapText="1"/>
      <protection locked="0"/>
    </xf>
    <xf numFmtId="49" fontId="25" fillId="2" borderId="63" xfId="1" applyNumberFormat="1" applyFont="1" applyFill="1" applyBorder="1" applyAlignment="1" applyProtection="1">
      <alignment horizontal="center" vertical="center" wrapText="1"/>
      <protection locked="0"/>
    </xf>
    <xf numFmtId="0" fontId="32" fillId="17" borderId="0" xfId="7" applyFont="1" applyFill="1" applyAlignment="1" applyProtection="1">
      <alignment vertical="center"/>
    </xf>
    <xf numFmtId="0" fontId="0" fillId="0" borderId="0" xfId="0" applyAlignment="1">
      <alignment vertical="center"/>
    </xf>
    <xf numFmtId="0" fontId="35" fillId="17" borderId="0" xfId="0" applyFont="1" applyFill="1" applyAlignment="1">
      <alignment vertical="center"/>
    </xf>
    <xf numFmtId="0" fontId="38" fillId="17" borderId="0" xfId="0" applyFont="1" applyFill="1" applyAlignment="1">
      <alignment vertical="center"/>
    </xf>
    <xf numFmtId="0" fontId="13" fillId="12" borderId="17" xfId="0" applyFont="1" applyFill="1" applyBorder="1" applyAlignment="1">
      <alignment vertical="center" wrapText="1"/>
    </xf>
    <xf numFmtId="0" fontId="13" fillId="19" borderId="14" xfId="0" applyFont="1" applyFill="1" applyBorder="1" applyAlignment="1">
      <alignment vertical="center" wrapText="1"/>
    </xf>
    <xf numFmtId="0" fontId="13" fillId="19" borderId="15" xfId="0" applyFont="1" applyFill="1" applyBorder="1" applyAlignment="1">
      <alignment vertical="center"/>
    </xf>
    <xf numFmtId="0" fontId="13" fillId="19" borderId="15" xfId="0" applyFont="1" applyFill="1" applyBorder="1" applyAlignment="1">
      <alignment horizontal="left" vertical="center"/>
    </xf>
    <xf numFmtId="0" fontId="13" fillId="19" borderId="15" xfId="0" applyFont="1" applyFill="1" applyBorder="1" applyAlignment="1">
      <alignment horizontal="left" vertical="center" indent="2"/>
    </xf>
    <xf numFmtId="0" fontId="13" fillId="19" borderId="15" xfId="0" applyFont="1" applyFill="1" applyBorder="1" applyAlignment="1">
      <alignment vertical="center" wrapText="1"/>
    </xf>
    <xf numFmtId="0" fontId="13" fillId="19" borderId="16" xfId="0" applyFont="1" applyFill="1" applyBorder="1" applyAlignment="1">
      <alignment vertical="center"/>
    </xf>
    <xf numFmtId="0" fontId="0" fillId="12" borderId="18" xfId="0" applyFill="1" applyBorder="1" applyAlignment="1">
      <alignment vertical="center"/>
    </xf>
    <xf numFmtId="0" fontId="27" fillId="12" borderId="17" xfId="0" applyFont="1" applyFill="1" applyBorder="1" applyAlignment="1">
      <alignment vertical="center" wrapText="1"/>
    </xf>
    <xf numFmtId="0" fontId="27" fillId="19" borderId="17" xfId="0" applyFont="1" applyFill="1" applyBorder="1" applyAlignment="1">
      <alignment vertical="center" wrapText="1"/>
    </xf>
    <xf numFmtId="0" fontId="28" fillId="19" borderId="18" xfId="1" applyFont="1" applyFill="1" applyBorder="1" applyAlignment="1">
      <alignment vertical="center" wrapText="1"/>
    </xf>
    <xf numFmtId="0" fontId="13" fillId="19" borderId="17" xfId="0" applyFont="1" applyFill="1" applyBorder="1" applyAlignment="1">
      <alignment vertical="center" wrapText="1"/>
    </xf>
    <xf numFmtId="0" fontId="13" fillId="20" borderId="0" xfId="0" applyFont="1" applyFill="1" applyAlignment="1">
      <alignment vertical="center"/>
    </xf>
    <xf numFmtId="0" fontId="13" fillId="19" borderId="0" xfId="0" applyFont="1" applyFill="1" applyAlignment="1">
      <alignment vertical="center"/>
    </xf>
    <xf numFmtId="0" fontId="13" fillId="19" borderId="0" xfId="0" applyFont="1" applyFill="1" applyAlignment="1">
      <alignment horizontal="left" vertical="center"/>
    </xf>
    <xf numFmtId="0" fontId="13" fillId="19" borderId="0" xfId="0" applyFont="1" applyFill="1" applyAlignment="1">
      <alignment horizontal="left" vertical="center" indent="2"/>
    </xf>
    <xf numFmtId="0" fontId="13" fillId="19" borderId="0" xfId="0" applyFont="1" applyFill="1" applyAlignment="1">
      <alignment vertical="center" wrapText="1"/>
    </xf>
    <xf numFmtId="0" fontId="13" fillId="19" borderId="18" xfId="0" applyFont="1" applyFill="1" applyBorder="1" applyAlignment="1">
      <alignment vertical="center"/>
    </xf>
    <xf numFmtId="0" fontId="29" fillId="12" borderId="17" xfId="0" applyFont="1" applyFill="1" applyBorder="1" applyAlignment="1">
      <alignment vertical="center" wrapText="1"/>
    </xf>
    <xf numFmtId="0" fontId="29" fillId="19" borderId="17" xfId="0" applyFont="1" applyFill="1" applyBorder="1" applyAlignment="1">
      <alignment vertical="center" wrapText="1"/>
    </xf>
    <xf numFmtId="0" fontId="29" fillId="19" borderId="0" xfId="0" applyFont="1" applyFill="1" applyAlignment="1">
      <alignment vertical="center" wrapText="1"/>
    </xf>
    <xf numFmtId="0" fontId="29" fillId="19" borderId="18" xfId="0" applyFont="1" applyFill="1" applyBorder="1" applyAlignment="1">
      <alignment vertical="center" wrapText="1"/>
    </xf>
    <xf numFmtId="0" fontId="13" fillId="19" borderId="0" xfId="0" applyFont="1" applyFill="1" applyAlignment="1">
      <alignment horizontal="left" vertical="center" wrapText="1" indent="2"/>
    </xf>
    <xf numFmtId="0" fontId="18" fillId="3" borderId="15" xfId="0" applyFont="1" applyFill="1" applyBorder="1" applyAlignment="1">
      <alignment horizontal="left" vertical="center" wrapText="1" indent="2"/>
    </xf>
    <xf numFmtId="0" fontId="13" fillId="19" borderId="18" xfId="0" applyFont="1" applyFill="1" applyBorder="1" applyAlignment="1">
      <alignment vertical="center" wrapText="1"/>
    </xf>
    <xf numFmtId="0" fontId="18" fillId="3" borderId="0" xfId="0" applyFont="1" applyFill="1" applyAlignment="1">
      <alignment horizontal="left" vertical="center" wrapText="1" indent="2"/>
    </xf>
    <xf numFmtId="0" fontId="18" fillId="3" borderId="31" xfId="0" applyFont="1" applyFill="1" applyBorder="1" applyAlignment="1">
      <alignment horizontal="left" vertical="center" wrapText="1" indent="2"/>
    </xf>
    <xf numFmtId="0" fontId="18" fillId="3" borderId="32" xfId="0" applyFont="1" applyFill="1" applyBorder="1" applyAlignment="1">
      <alignment horizontal="left" vertical="center" wrapText="1" indent="2"/>
    </xf>
    <xf numFmtId="0" fontId="13" fillId="19" borderId="0" xfId="0" applyFont="1" applyFill="1" applyAlignment="1">
      <alignment horizontal="left" vertical="center" indent="4"/>
    </xf>
    <xf numFmtId="0" fontId="13" fillId="12" borderId="30" xfId="0" applyFont="1" applyFill="1" applyBorder="1" applyAlignment="1">
      <alignment vertical="center" wrapText="1"/>
    </xf>
    <xf numFmtId="0" fontId="13" fillId="12" borderId="31" xfId="0" applyFont="1" applyFill="1" applyBorder="1" applyAlignment="1">
      <alignment vertical="center" wrapText="1"/>
    </xf>
    <xf numFmtId="0" fontId="13" fillId="12" borderId="31" xfId="0" applyFont="1" applyFill="1" applyBorder="1" applyAlignment="1">
      <alignment horizontal="left" vertical="center" wrapText="1"/>
    </xf>
    <xf numFmtId="0" fontId="13" fillId="12" borderId="31" xfId="0" applyFont="1" applyFill="1" applyBorder="1" applyAlignment="1">
      <alignment horizontal="left" vertical="center" wrapText="1" indent="2"/>
    </xf>
    <xf numFmtId="0" fontId="0" fillId="12" borderId="32" xfId="0" applyFill="1" applyBorder="1" applyAlignment="1">
      <alignment vertical="center"/>
    </xf>
    <xf numFmtId="0" fontId="13" fillId="19" borderId="31" xfId="0" applyFont="1" applyFill="1" applyBorder="1" applyAlignment="1">
      <alignment vertical="center" wrapText="1"/>
    </xf>
    <xf numFmtId="0" fontId="13" fillId="21" borderId="17" xfId="0" applyFont="1" applyFill="1" applyBorder="1" applyAlignment="1">
      <alignment vertical="center" wrapText="1"/>
    </xf>
    <xf numFmtId="0" fontId="0" fillId="21" borderId="18" xfId="0" applyFill="1" applyBorder="1" applyAlignment="1">
      <alignment vertical="center"/>
    </xf>
    <xf numFmtId="0" fontId="29" fillId="21" borderId="17" xfId="0" applyFont="1" applyFill="1" applyBorder="1" applyAlignment="1">
      <alignment vertical="center" wrapText="1"/>
    </xf>
    <xf numFmtId="0" fontId="13" fillId="19" borderId="0" xfId="0" applyFont="1" applyFill="1" applyAlignment="1">
      <alignment horizontal="left" vertical="center" wrapText="1" indent="4"/>
    </xf>
    <xf numFmtId="0" fontId="19" fillId="19" borderId="17" xfId="0" applyFont="1" applyFill="1" applyBorder="1" applyAlignment="1">
      <alignment vertical="center" wrapText="1"/>
    </xf>
    <xf numFmtId="0" fontId="19" fillId="19" borderId="0" xfId="0" applyFont="1" applyFill="1" applyAlignment="1">
      <alignment vertical="center" wrapText="1"/>
    </xf>
    <xf numFmtId="0" fontId="13" fillId="19" borderId="30" xfId="0" applyFont="1" applyFill="1" applyBorder="1" applyAlignment="1">
      <alignment vertical="center" wrapText="1"/>
    </xf>
    <xf numFmtId="0" fontId="13" fillId="19" borderId="31" xfId="0" applyFont="1" applyFill="1" applyBorder="1" applyAlignment="1">
      <alignment horizontal="left" vertical="center"/>
    </xf>
    <xf numFmtId="0" fontId="13" fillId="19" borderId="31" xfId="0" applyFont="1" applyFill="1" applyBorder="1" applyAlignment="1">
      <alignment horizontal="left" vertical="center" indent="2"/>
    </xf>
    <xf numFmtId="0" fontId="13" fillId="19" borderId="32" xfId="0" applyFont="1" applyFill="1" applyBorder="1" applyAlignment="1">
      <alignment vertical="center" wrapText="1"/>
    </xf>
    <xf numFmtId="0" fontId="13" fillId="18" borderId="17" xfId="0" applyFont="1" applyFill="1" applyBorder="1" applyAlignment="1">
      <alignment vertical="center" wrapText="1"/>
    </xf>
    <xf numFmtId="0" fontId="0" fillId="18" borderId="18" xfId="0" applyFill="1" applyBorder="1" applyAlignment="1">
      <alignment vertical="center"/>
    </xf>
    <xf numFmtId="0" fontId="13" fillId="18" borderId="132" xfId="0" applyFont="1" applyFill="1" applyBorder="1" applyAlignment="1">
      <alignment vertical="center" wrapText="1"/>
    </xf>
    <xf numFmtId="0" fontId="13" fillId="19" borderId="31" xfId="0" applyFont="1" applyFill="1" applyBorder="1" applyAlignment="1">
      <alignment vertical="center"/>
    </xf>
    <xf numFmtId="0" fontId="13" fillId="19" borderId="31" xfId="0" applyFont="1" applyFill="1" applyBorder="1" applyAlignment="1">
      <alignment horizontal="left" vertical="center" indent="4"/>
    </xf>
    <xf numFmtId="0" fontId="13" fillId="19" borderId="31" xfId="0" applyFont="1" applyFill="1" applyBorder="1" applyAlignment="1">
      <alignment horizontal="left" vertical="center" wrapText="1" indent="2"/>
    </xf>
    <xf numFmtId="0" fontId="13" fillId="19" borderId="32" xfId="0" applyFont="1" applyFill="1" applyBorder="1" applyAlignment="1">
      <alignment vertical="center"/>
    </xf>
    <xf numFmtId="0" fontId="0" fillId="18" borderId="132" xfId="0" applyFill="1" applyBorder="1" applyAlignment="1">
      <alignment vertical="center"/>
    </xf>
    <xf numFmtId="0" fontId="0" fillId="19" borderId="0" xfId="0" applyFill="1" applyAlignment="1">
      <alignment vertical="center"/>
    </xf>
    <xf numFmtId="0" fontId="0" fillId="19" borderId="0" xfId="0" applyFill="1" applyAlignment="1">
      <alignment horizontal="left" vertical="center"/>
    </xf>
    <xf numFmtId="0" fontId="0" fillId="19" borderId="0" xfId="0" applyFill="1" applyAlignment="1">
      <alignment horizontal="left" vertical="center" indent="2"/>
    </xf>
    <xf numFmtId="0" fontId="0" fillId="0" borderId="0" xfId="0" applyAlignment="1">
      <alignment horizontal="left" vertical="center"/>
    </xf>
    <xf numFmtId="0" fontId="0" fillId="0" borderId="0" xfId="0" applyAlignment="1">
      <alignment horizontal="left" vertical="center" indent="2"/>
    </xf>
    <xf numFmtId="0" fontId="39" fillId="17" borderId="0" xfId="7" applyFont="1" applyFill="1" applyBorder="1" applyAlignment="1" applyProtection="1">
      <alignment horizontal="left" vertical="center"/>
    </xf>
    <xf numFmtId="0" fontId="39" fillId="17" borderId="0" xfId="7" applyFont="1" applyFill="1" applyBorder="1" applyAlignment="1" applyProtection="1">
      <alignment horizontal="left"/>
    </xf>
    <xf numFmtId="0" fontId="39" fillId="17" borderId="0" xfId="7" applyFont="1" applyFill="1" applyBorder="1" applyAlignment="1" applyProtection="1">
      <alignment vertical="center"/>
    </xf>
    <xf numFmtId="0" fontId="39" fillId="17" borderId="0" xfId="7" applyFont="1" applyFill="1" applyBorder="1" applyAlignment="1" applyProtection="1"/>
    <xf numFmtId="0" fontId="33" fillId="17" borderId="0" xfId="7" applyFont="1" applyFill="1" applyBorder="1" applyAlignment="1" applyProtection="1">
      <alignment horizontal="left" vertical="top" indent="2"/>
    </xf>
    <xf numFmtId="0" fontId="33" fillId="17" borderId="0" xfId="7" applyFont="1" applyFill="1" applyBorder="1" applyAlignment="1" applyProtection="1">
      <alignment horizontal="right" vertical="center"/>
    </xf>
    <xf numFmtId="0" fontId="33" fillId="17" borderId="0" xfId="0" applyFont="1" applyFill="1" applyAlignment="1">
      <alignment vertical="center"/>
    </xf>
    <xf numFmtId="0" fontId="33" fillId="17" borderId="0" xfId="7" applyFont="1" applyFill="1" applyBorder="1" applyAlignment="1" applyProtection="1">
      <alignment horizontal="left" vertical="center"/>
    </xf>
    <xf numFmtId="49" fontId="15" fillId="0" borderId="37" xfId="1" applyNumberFormat="1" applyFont="1" applyBorder="1" applyAlignment="1">
      <alignment horizontal="left" vertical="center" indent="1"/>
    </xf>
    <xf numFmtId="0" fontId="0" fillId="22" borderId="0" xfId="0" applyFill="1" applyAlignment="1">
      <alignment vertical="center"/>
    </xf>
    <xf numFmtId="0" fontId="33" fillId="17" borderId="30" xfId="0" applyFont="1" applyFill="1" applyBorder="1" applyAlignment="1">
      <alignment horizontal="left" vertical="center" wrapText="1"/>
    </xf>
    <xf numFmtId="0" fontId="33" fillId="17" borderId="31" xfId="0" applyFont="1" applyFill="1" applyBorder="1" applyAlignment="1">
      <alignment horizontal="left" vertical="center" wrapText="1"/>
    </xf>
    <xf numFmtId="0" fontId="31" fillId="19" borderId="0" xfId="1" applyFont="1" applyFill="1" applyAlignment="1">
      <alignment vertical="center" wrapText="1"/>
    </xf>
    <xf numFmtId="0" fontId="13" fillId="20" borderId="0" xfId="0" applyFont="1" applyFill="1" applyAlignment="1">
      <alignment vertical="center"/>
    </xf>
    <xf numFmtId="0" fontId="26" fillId="12" borderId="14" xfId="0" applyFont="1" applyFill="1" applyBorder="1" applyAlignment="1">
      <alignment horizontal="center" vertical="center" wrapText="1"/>
    </xf>
    <xf numFmtId="0" fontId="26" fillId="12" borderId="15" xfId="0" applyFont="1" applyFill="1" applyBorder="1" applyAlignment="1">
      <alignment horizontal="center" vertical="center" wrapText="1"/>
    </xf>
    <xf numFmtId="0" fontId="26" fillId="12" borderId="16" xfId="0" applyFont="1" applyFill="1" applyBorder="1" applyAlignment="1">
      <alignment horizontal="center" vertical="center" wrapText="1"/>
    </xf>
    <xf numFmtId="0" fontId="17" fillId="0" borderId="30" xfId="0" applyFont="1" applyBorder="1" applyAlignment="1">
      <alignment horizontal="left" vertical="center" wrapText="1" indent="2"/>
    </xf>
    <xf numFmtId="0" fontId="17" fillId="0" borderId="31" xfId="0" applyFont="1" applyBorder="1" applyAlignment="1">
      <alignment horizontal="left" vertical="center" wrapText="1" indent="2"/>
    </xf>
    <xf numFmtId="0" fontId="17" fillId="0" borderId="32" xfId="0" applyFont="1" applyBorder="1" applyAlignment="1">
      <alignment horizontal="left" vertical="center" wrapText="1" indent="2"/>
    </xf>
    <xf numFmtId="0" fontId="17" fillId="0" borderId="14" xfId="0" applyFont="1" applyBorder="1" applyAlignment="1">
      <alignment horizontal="left" vertical="center" wrapText="1" indent="2"/>
    </xf>
    <xf numFmtId="0" fontId="17" fillId="0" borderId="15" xfId="0" applyFont="1" applyBorder="1" applyAlignment="1">
      <alignment horizontal="left" vertical="center" wrapText="1" indent="2"/>
    </xf>
    <xf numFmtId="0" fontId="17" fillId="0" borderId="16" xfId="0" applyFont="1" applyBorder="1" applyAlignment="1">
      <alignment horizontal="left" vertical="center" wrapText="1" indent="2"/>
    </xf>
    <xf numFmtId="0" fontId="30" fillId="15" borderId="96" xfId="0" applyFont="1" applyFill="1" applyBorder="1" applyAlignment="1">
      <alignment horizontal="left" vertical="center" wrapText="1" indent="2"/>
    </xf>
    <xf numFmtId="0" fontId="30" fillId="15" borderId="97" xfId="0" applyFont="1" applyFill="1" applyBorder="1" applyAlignment="1">
      <alignment horizontal="left" vertical="center" wrapText="1" indent="2"/>
    </xf>
    <xf numFmtId="0" fontId="30" fillId="15" borderId="98" xfId="0" applyFont="1" applyFill="1" applyBorder="1" applyAlignment="1">
      <alignment horizontal="left" vertical="center" wrapText="1" indent="2"/>
    </xf>
    <xf numFmtId="0" fontId="18" fillId="3" borderId="14" xfId="0" applyFont="1" applyFill="1" applyBorder="1" applyAlignment="1">
      <alignment horizontal="left" vertical="center" wrapText="1" indent="2"/>
    </xf>
    <xf numFmtId="0" fontId="18" fillId="3" borderId="15" xfId="0" applyFont="1" applyFill="1" applyBorder="1" applyAlignment="1">
      <alignment horizontal="left" vertical="center" wrapText="1" indent="2"/>
    </xf>
    <xf numFmtId="0" fontId="18" fillId="3" borderId="17" xfId="0" applyFont="1" applyFill="1" applyBorder="1" applyAlignment="1">
      <alignment horizontal="left" vertical="center" wrapText="1" indent="2"/>
    </xf>
    <xf numFmtId="0" fontId="18" fillId="3" borderId="0" xfId="0" applyFont="1" applyFill="1" applyAlignment="1">
      <alignment horizontal="left" vertical="center" wrapText="1" indent="2"/>
    </xf>
    <xf numFmtId="0" fontId="18" fillId="3" borderId="16" xfId="0" applyFont="1" applyFill="1" applyBorder="1" applyAlignment="1">
      <alignment horizontal="left" vertical="center" wrapText="1" indent="2"/>
    </xf>
    <xf numFmtId="0" fontId="40" fillId="0" borderId="17" xfId="0" applyFont="1" applyBorder="1" applyAlignment="1">
      <alignment horizontal="left" vertical="center" wrapText="1" indent="2"/>
    </xf>
    <xf numFmtId="0" fontId="18" fillId="0" borderId="0" xfId="0" applyFont="1" applyAlignment="1">
      <alignment horizontal="left" vertical="center" wrapText="1" indent="2"/>
    </xf>
    <xf numFmtId="0" fontId="18" fillId="0" borderId="18" xfId="0" applyFont="1" applyBorder="1" applyAlignment="1">
      <alignment horizontal="left" vertical="center" wrapText="1" indent="2"/>
    </xf>
    <xf numFmtId="0" fontId="17" fillId="0" borderId="17" xfId="0" applyFont="1" applyBorder="1" applyAlignment="1">
      <alignment horizontal="left" vertical="center" wrapText="1" indent="2"/>
    </xf>
    <xf numFmtId="0" fontId="17" fillId="0" borderId="0" xfId="0" applyFont="1" applyAlignment="1">
      <alignment horizontal="left" vertical="center" wrapText="1" indent="2"/>
    </xf>
    <xf numFmtId="0" fontId="17" fillId="0" borderId="18" xfId="0" applyFont="1" applyBorder="1" applyAlignment="1">
      <alignment horizontal="left" vertical="center" wrapText="1" indent="2"/>
    </xf>
    <xf numFmtId="0" fontId="30" fillId="8" borderId="96" xfId="0" applyFont="1" applyFill="1" applyBorder="1" applyAlignment="1">
      <alignment horizontal="left" vertical="center" wrapText="1" indent="2"/>
    </xf>
    <xf numFmtId="0" fontId="30" fillId="8" borderId="97" xfId="0" applyFont="1" applyFill="1" applyBorder="1" applyAlignment="1">
      <alignment horizontal="left" vertical="center" wrapText="1" indent="2"/>
    </xf>
    <xf numFmtId="0" fontId="30" fillId="8" borderId="98" xfId="0" applyFont="1" applyFill="1" applyBorder="1" applyAlignment="1">
      <alignment horizontal="left" vertical="center" wrapText="1" indent="2"/>
    </xf>
    <xf numFmtId="0" fontId="30" fillId="8" borderId="15" xfId="0" applyFont="1" applyFill="1" applyBorder="1" applyAlignment="1">
      <alignment horizontal="left" vertical="center" wrapText="1" indent="2"/>
    </xf>
    <xf numFmtId="0" fontId="30" fillId="8" borderId="16" xfId="0" applyFont="1" applyFill="1" applyBorder="1" applyAlignment="1">
      <alignment horizontal="left" vertical="center" wrapText="1" indent="2"/>
    </xf>
    <xf numFmtId="0" fontId="18" fillId="0" borderId="30" xfId="0" applyFont="1" applyBorder="1" applyAlignment="1">
      <alignment horizontal="left" vertical="center" wrapText="1" indent="2"/>
    </xf>
    <xf numFmtId="0" fontId="18" fillId="0" borderId="31" xfId="0" applyFont="1" applyBorder="1" applyAlignment="1">
      <alignment horizontal="left" vertical="center" wrapText="1" indent="2"/>
    </xf>
    <xf numFmtId="0" fontId="18" fillId="0" borderId="32" xfId="0" applyFont="1" applyBorder="1" applyAlignment="1">
      <alignment horizontal="left" vertical="center" wrapText="1" indent="2"/>
    </xf>
    <xf numFmtId="0" fontId="17" fillId="0" borderId="133" xfId="0" applyFont="1" applyBorder="1" applyAlignment="1">
      <alignment horizontal="left" vertical="center" wrapText="1" indent="2"/>
    </xf>
    <xf numFmtId="0" fontId="17" fillId="0" borderId="134" xfId="0" applyFont="1" applyBorder="1" applyAlignment="1">
      <alignment horizontal="left" vertical="center" wrapText="1" indent="2"/>
    </xf>
    <xf numFmtId="0" fontId="17" fillId="0" borderId="135" xfId="0" applyFont="1" applyBorder="1" applyAlignment="1">
      <alignment horizontal="left" vertical="center" wrapText="1" indent="2"/>
    </xf>
    <xf numFmtId="0" fontId="26" fillId="18" borderId="17" xfId="0" applyFont="1" applyFill="1" applyBorder="1" applyAlignment="1">
      <alignment vertical="center" wrapText="1"/>
    </xf>
    <xf numFmtId="0" fontId="26" fillId="18" borderId="0" xfId="0" applyFont="1" applyFill="1" applyAlignment="1">
      <alignment vertical="center" wrapText="1"/>
    </xf>
    <xf numFmtId="0" fontId="26" fillId="18" borderId="18" xfId="0" applyFont="1" applyFill="1" applyBorder="1" applyAlignment="1">
      <alignment vertical="center" wrapText="1"/>
    </xf>
    <xf numFmtId="0" fontId="26" fillId="21" borderId="30" xfId="0" applyFont="1" applyFill="1" applyBorder="1" applyAlignment="1">
      <alignment vertical="center" wrapText="1"/>
    </xf>
    <xf numFmtId="0" fontId="26" fillId="21" borderId="31" xfId="0" applyFont="1" applyFill="1" applyBorder="1" applyAlignment="1">
      <alignment vertical="center" wrapText="1"/>
    </xf>
    <xf numFmtId="0" fontId="26" fillId="21" borderId="32" xfId="0" applyFont="1" applyFill="1" applyBorder="1" applyAlignment="1">
      <alignment vertical="center" wrapText="1"/>
    </xf>
    <xf numFmtId="0" fontId="18" fillId="3" borderId="18" xfId="0" applyFont="1" applyFill="1" applyBorder="1" applyAlignment="1">
      <alignment horizontal="left" vertical="center" wrapText="1" indent="2"/>
    </xf>
    <xf numFmtId="0" fontId="17" fillId="3" borderId="30" xfId="0" applyFont="1" applyFill="1" applyBorder="1" applyAlignment="1">
      <alignment horizontal="left" vertical="center" wrapText="1" indent="2"/>
    </xf>
    <xf numFmtId="0" fontId="17" fillId="3" borderId="31" xfId="0" applyFont="1" applyFill="1" applyBorder="1" applyAlignment="1">
      <alignment horizontal="left" vertical="center" wrapText="1" indent="2"/>
    </xf>
    <xf numFmtId="0" fontId="17" fillId="3" borderId="32" xfId="0" applyFont="1" applyFill="1" applyBorder="1" applyAlignment="1">
      <alignment horizontal="left" vertical="center" wrapText="1" indent="2"/>
    </xf>
    <xf numFmtId="0" fontId="17" fillId="3" borderId="14" xfId="0" applyFont="1" applyFill="1" applyBorder="1" applyAlignment="1">
      <alignment horizontal="left" vertical="center" wrapText="1" indent="2"/>
    </xf>
    <xf numFmtId="0" fontId="17" fillId="3" borderId="15" xfId="0" applyFont="1" applyFill="1" applyBorder="1" applyAlignment="1">
      <alignment horizontal="left" vertical="center" wrapText="1" indent="2"/>
    </xf>
    <xf numFmtId="0" fontId="17" fillId="3" borderId="16" xfId="0" applyFont="1" applyFill="1" applyBorder="1" applyAlignment="1">
      <alignment horizontal="left" vertical="center" wrapText="1" indent="2"/>
    </xf>
    <xf numFmtId="0" fontId="30" fillId="5" borderId="96" xfId="0" applyFont="1" applyFill="1" applyBorder="1" applyAlignment="1">
      <alignment horizontal="left" vertical="center" wrapText="1" indent="2"/>
    </xf>
    <xf numFmtId="0" fontId="30" fillId="5" borderId="97" xfId="0" applyFont="1" applyFill="1" applyBorder="1" applyAlignment="1">
      <alignment horizontal="left" vertical="center" wrapText="1" indent="2"/>
    </xf>
    <xf numFmtId="0" fontId="30" fillId="5" borderId="98" xfId="0" applyFont="1" applyFill="1" applyBorder="1" applyAlignment="1">
      <alignment horizontal="left" vertical="center" wrapText="1" indent="2"/>
    </xf>
    <xf numFmtId="0" fontId="17" fillId="0" borderId="96" xfId="0" applyFont="1" applyBorder="1" applyAlignment="1">
      <alignment horizontal="left" vertical="center" wrapText="1" indent="2"/>
    </xf>
    <xf numFmtId="0" fontId="17" fillId="0" borderId="97" xfId="0" applyFont="1" applyBorder="1" applyAlignment="1">
      <alignment horizontal="left" vertical="center" wrapText="1" indent="2"/>
    </xf>
    <xf numFmtId="0" fontId="17" fillId="0" borderId="98" xfId="0" applyFont="1" applyBorder="1" applyAlignment="1">
      <alignment horizontal="left" vertical="center" wrapText="1" indent="2"/>
    </xf>
    <xf numFmtId="0" fontId="34" fillId="18" borderId="14" xfId="0" applyFont="1" applyFill="1" applyBorder="1" applyAlignment="1">
      <alignment horizontal="center" vertical="center" wrapText="1"/>
    </xf>
    <xf numFmtId="0" fontId="34" fillId="18" borderId="15" xfId="0" applyFont="1" applyFill="1" applyBorder="1" applyAlignment="1">
      <alignment horizontal="center" vertical="center" wrapText="1"/>
    </xf>
    <xf numFmtId="0" fontId="34" fillId="18" borderId="16" xfId="0" applyFont="1" applyFill="1" applyBorder="1" applyAlignment="1">
      <alignment horizontal="center" vertical="center" wrapText="1"/>
    </xf>
    <xf numFmtId="0" fontId="18" fillId="3" borderId="30" xfId="0" applyFont="1" applyFill="1" applyBorder="1" applyAlignment="1">
      <alignment horizontal="left" vertical="center" wrapText="1" indent="2"/>
    </xf>
    <xf numFmtId="0" fontId="18" fillId="3" borderId="31" xfId="0" applyFont="1" applyFill="1" applyBorder="1" applyAlignment="1">
      <alignment horizontal="left" vertical="center" wrapText="1" indent="2"/>
    </xf>
    <xf numFmtId="0" fontId="32" fillId="17" borderId="0" xfId="7" applyFont="1" applyFill="1" applyAlignment="1" applyProtection="1">
      <alignment horizontal="left" vertical="center" wrapText="1" indent="1"/>
    </xf>
    <xf numFmtId="49" fontId="37" fillId="14" borderId="17" xfId="1" applyNumberFormat="1" applyFont="1" applyFill="1" applyBorder="1" applyAlignment="1">
      <alignment vertical="center"/>
    </xf>
    <xf numFmtId="49" fontId="37" fillId="14" borderId="0" xfId="1" applyNumberFormat="1" applyFont="1" applyFill="1" applyAlignment="1">
      <alignment vertical="center"/>
    </xf>
    <xf numFmtId="0" fontId="26" fillId="19" borderId="30" xfId="0" applyFont="1" applyFill="1" applyBorder="1" applyAlignment="1">
      <alignment horizontal="center" vertical="center" wrapText="1"/>
    </xf>
    <xf numFmtId="0" fontId="26" fillId="19" borderId="31" xfId="0" applyFont="1" applyFill="1" applyBorder="1" applyAlignment="1">
      <alignment horizontal="center" vertical="center" wrapText="1"/>
    </xf>
    <xf numFmtId="0" fontId="26" fillId="19" borderId="32" xfId="0" applyFont="1" applyFill="1" applyBorder="1" applyAlignment="1">
      <alignment horizontal="center" vertical="center" wrapText="1"/>
    </xf>
    <xf numFmtId="0" fontId="33" fillId="17" borderId="17" xfId="0" applyFont="1" applyFill="1" applyBorder="1" applyAlignment="1">
      <alignment horizontal="left" vertical="center" wrapText="1"/>
    </xf>
    <xf numFmtId="0" fontId="33" fillId="17" borderId="0" xfId="0" applyFont="1" applyFill="1" applyAlignment="1">
      <alignment horizontal="left" vertical="center" wrapText="1"/>
    </xf>
    <xf numFmtId="49" fontId="36" fillId="14" borderId="6" xfId="1" applyNumberFormat="1" applyFont="1" applyFill="1" applyBorder="1" applyAlignment="1">
      <alignment horizontal="left" vertical="center" wrapText="1"/>
    </xf>
    <xf numFmtId="0" fontId="34" fillId="21" borderId="14" xfId="0" applyFont="1" applyFill="1" applyBorder="1" applyAlignment="1">
      <alignment horizontal="center" vertical="center" wrapText="1"/>
    </xf>
    <xf numFmtId="0" fontId="34" fillId="21" borderId="15" xfId="0" applyFont="1" applyFill="1" applyBorder="1" applyAlignment="1">
      <alignment horizontal="center" vertical="center" wrapText="1"/>
    </xf>
    <xf numFmtId="0" fontId="34" fillId="21" borderId="16" xfId="0" applyFont="1" applyFill="1" applyBorder="1" applyAlignment="1">
      <alignment horizontal="center" vertical="center" wrapText="1"/>
    </xf>
    <xf numFmtId="0" fontId="41" fillId="0" borderId="14" xfId="0" applyFont="1" applyBorder="1" applyAlignment="1">
      <alignment horizontal="left" vertical="center" wrapText="1" indent="2"/>
    </xf>
    <xf numFmtId="0" fontId="41" fillId="0" borderId="15" xfId="0" applyFont="1" applyBorder="1" applyAlignment="1">
      <alignment horizontal="left" vertical="center" wrapText="1" indent="2"/>
    </xf>
    <xf numFmtId="0" fontId="41" fillId="0" borderId="16" xfId="0" applyFont="1" applyBorder="1" applyAlignment="1">
      <alignment horizontal="left" vertical="center" wrapText="1" indent="2"/>
    </xf>
    <xf numFmtId="164" fontId="1" fillId="11" borderId="43" xfId="1" applyNumberFormat="1" applyFill="1" applyBorder="1" applyAlignment="1" applyProtection="1">
      <alignment horizontal="center" vertical="center" wrapText="1"/>
      <protection locked="0"/>
    </xf>
    <xf numFmtId="164" fontId="1" fillId="11" borderId="103" xfId="1" applyNumberFormat="1" applyFill="1" applyBorder="1" applyAlignment="1" applyProtection="1">
      <alignment horizontal="center" vertical="center" wrapText="1"/>
      <protection locked="0"/>
    </xf>
    <xf numFmtId="49" fontId="1" fillId="11" borderId="44" xfId="1" applyNumberFormat="1" applyFill="1" applyBorder="1" applyAlignment="1" applyProtection="1">
      <alignment horizontal="center" vertical="center" wrapText="1"/>
      <protection locked="0"/>
    </xf>
    <xf numFmtId="49" fontId="1" fillId="11" borderId="74" xfId="1" applyNumberFormat="1" applyFill="1" applyBorder="1" applyAlignment="1" applyProtection="1">
      <alignment horizontal="center" vertical="center" wrapText="1"/>
      <protection locked="0"/>
    </xf>
    <xf numFmtId="49" fontId="23" fillId="15" borderId="42" xfId="1" applyNumberFormat="1" applyFont="1" applyFill="1" applyBorder="1" applyAlignment="1" applyProtection="1">
      <alignment horizontal="left" vertical="center" wrapText="1"/>
      <protection locked="0"/>
    </xf>
    <xf numFmtId="49" fontId="23" fillId="15" borderId="52" xfId="1" applyNumberFormat="1" applyFont="1" applyFill="1" applyBorder="1" applyAlignment="1" applyProtection="1">
      <alignment horizontal="left" vertical="center" wrapText="1"/>
      <protection locked="0"/>
    </xf>
    <xf numFmtId="49" fontId="23" fillId="15" borderId="51" xfId="1" applyNumberFormat="1" applyFont="1" applyFill="1" applyBorder="1" applyAlignment="1" applyProtection="1">
      <alignment horizontal="left" vertical="center" wrapText="1"/>
      <protection locked="0"/>
    </xf>
    <xf numFmtId="49" fontId="23" fillId="15" borderId="50" xfId="1" applyNumberFormat="1" applyFont="1" applyFill="1" applyBorder="1" applyAlignment="1" applyProtection="1">
      <alignment horizontal="left" vertical="center" wrapText="1"/>
      <protection locked="0"/>
    </xf>
    <xf numFmtId="164" fontId="1" fillId="11" borderId="73" xfId="1" applyNumberFormat="1" applyFill="1" applyBorder="1" applyAlignment="1" applyProtection="1">
      <alignment horizontal="center" vertical="center" wrapText="1"/>
      <protection locked="0"/>
    </xf>
    <xf numFmtId="49" fontId="1" fillId="11" borderId="42" xfId="1" applyNumberFormat="1" applyFill="1" applyBorder="1" applyAlignment="1" applyProtection="1">
      <alignment horizontal="center" vertical="center" wrapText="1"/>
      <protection locked="0"/>
    </xf>
    <xf numFmtId="49" fontId="1" fillId="11" borderId="51" xfId="1" applyNumberFormat="1" applyFill="1" applyBorder="1" applyAlignment="1" applyProtection="1">
      <alignment horizontal="center" vertical="center" wrapText="1"/>
      <protection locked="0"/>
    </xf>
    <xf numFmtId="49" fontId="7" fillId="0" borderId="89" xfId="1" applyNumberFormat="1" applyFont="1" applyBorder="1" applyAlignment="1" applyProtection="1">
      <alignment horizontal="right" vertical="center" wrapText="1"/>
      <protection locked="0"/>
    </xf>
    <xf numFmtId="49" fontId="7" fillId="0" borderId="90" xfId="1" applyNumberFormat="1" applyFont="1" applyBorder="1" applyAlignment="1" applyProtection="1">
      <alignment horizontal="right" vertical="center" wrapText="1"/>
      <protection locked="0"/>
    </xf>
    <xf numFmtId="49" fontId="23" fillId="2" borderId="9" xfId="1" applyNumberFormat="1" applyFont="1" applyFill="1" applyBorder="1" applyAlignment="1" applyProtection="1">
      <alignment horizontal="center" vertical="center" wrapText="1"/>
      <protection locked="0"/>
    </xf>
    <xf numFmtId="49" fontId="7" fillId="0" borderId="48" xfId="1" applyNumberFormat="1" applyFont="1" applyBorder="1" applyAlignment="1" applyProtection="1">
      <alignment horizontal="left" vertical="center" wrapText="1"/>
      <protection locked="0"/>
    </xf>
    <xf numFmtId="49" fontId="7" fillId="0" borderId="3" xfId="1" applyNumberFormat="1" applyFont="1" applyBorder="1" applyAlignment="1" applyProtection="1">
      <alignment horizontal="left" vertical="center" wrapText="1"/>
      <protection locked="0"/>
    </xf>
    <xf numFmtId="49" fontId="7" fillId="0" borderId="93" xfId="1" applyNumberFormat="1" applyFont="1" applyBorder="1" applyAlignment="1" applyProtection="1">
      <alignment horizontal="left" vertical="center" wrapText="1"/>
      <protection locked="0"/>
    </xf>
    <xf numFmtId="49" fontId="7" fillId="0" borderId="71" xfId="1" applyNumberFormat="1" applyFont="1" applyBorder="1" applyAlignment="1" applyProtection="1">
      <alignment horizontal="right" vertical="center" wrapText="1"/>
      <protection locked="0"/>
    </xf>
    <xf numFmtId="49" fontId="7" fillId="0" borderId="13" xfId="1" applyNumberFormat="1" applyFont="1" applyBorder="1" applyAlignment="1" applyProtection="1">
      <alignment horizontal="right" vertical="center" wrapText="1"/>
      <protection locked="0"/>
    </xf>
    <xf numFmtId="49" fontId="15" fillId="12" borderId="96" xfId="1" applyNumberFormat="1" applyFont="1" applyFill="1" applyBorder="1" applyAlignment="1" applyProtection="1">
      <alignment horizontal="center" vertical="center" wrapText="1"/>
      <protection locked="0"/>
    </xf>
    <xf numFmtId="49" fontId="15" fillId="12" borderId="97" xfId="1" applyNumberFormat="1" applyFont="1" applyFill="1" applyBorder="1" applyAlignment="1" applyProtection="1">
      <alignment horizontal="center" vertical="center" wrapText="1"/>
      <protection locked="0"/>
    </xf>
    <xf numFmtId="49" fontId="15" fillId="12" borderId="98" xfId="1" applyNumberFormat="1" applyFont="1" applyFill="1" applyBorder="1" applyAlignment="1" applyProtection="1">
      <alignment horizontal="center" vertical="center" wrapText="1"/>
      <protection locked="0"/>
    </xf>
    <xf numFmtId="49" fontId="23" fillId="15" borderId="105" xfId="1" applyNumberFormat="1" applyFont="1" applyFill="1" applyBorder="1" applyAlignment="1" applyProtection="1">
      <alignment horizontal="left" vertical="center" wrapText="1"/>
      <protection locked="0"/>
    </xf>
    <xf numFmtId="49" fontId="5" fillId="11" borderId="102" xfId="1" applyNumberFormat="1" applyFont="1" applyFill="1" applyBorder="1" applyAlignment="1" applyProtection="1">
      <alignment horizontal="center" vertical="center" wrapText="1"/>
      <protection locked="0"/>
    </xf>
    <xf numFmtId="49" fontId="5" fillId="11" borderId="16" xfId="1" applyNumberFormat="1" applyFont="1" applyFill="1" applyBorder="1" applyAlignment="1" applyProtection="1">
      <alignment horizontal="center" vertical="center" wrapText="1"/>
      <protection locked="0"/>
    </xf>
    <xf numFmtId="49" fontId="5" fillId="11" borderId="112" xfId="1" applyNumberFormat="1" applyFont="1" applyFill="1" applyBorder="1" applyAlignment="1" applyProtection="1">
      <alignment horizontal="center" vertical="center" wrapText="1"/>
      <protection locked="0"/>
    </xf>
    <xf numFmtId="49" fontId="5" fillId="11" borderId="69" xfId="1" applyNumberFormat="1" applyFont="1" applyFill="1" applyBorder="1" applyAlignment="1" applyProtection="1">
      <alignment horizontal="center" vertical="center" wrapText="1"/>
      <protection locked="0"/>
    </xf>
    <xf numFmtId="49" fontId="23" fillId="15" borderId="111" xfId="1" applyNumberFormat="1" applyFont="1" applyFill="1" applyBorder="1" applyAlignment="1" applyProtection="1">
      <alignment horizontal="left" vertical="center" wrapText="1"/>
      <protection locked="0"/>
    </xf>
    <xf numFmtId="49" fontId="5" fillId="11" borderId="95" xfId="1" applyNumberFormat="1" applyFont="1" applyFill="1" applyBorder="1" applyAlignment="1" applyProtection="1">
      <alignment horizontal="center" vertical="center" wrapText="1"/>
      <protection locked="0"/>
    </xf>
    <xf numFmtId="49" fontId="5" fillId="11" borderId="18" xfId="1" applyNumberFormat="1" applyFont="1" applyFill="1" applyBorder="1" applyAlignment="1" applyProtection="1">
      <alignment horizontal="center" vertical="center" wrapText="1"/>
      <protection locked="0"/>
    </xf>
    <xf numFmtId="49" fontId="5" fillId="11" borderId="92" xfId="1" applyNumberFormat="1" applyFont="1" applyFill="1" applyBorder="1" applyAlignment="1" applyProtection="1">
      <alignment horizontal="center" vertical="center" wrapText="1"/>
      <protection locked="0"/>
    </xf>
    <xf numFmtId="49" fontId="5" fillId="11" borderId="28" xfId="1" applyNumberFormat="1" applyFont="1" applyFill="1" applyBorder="1" applyAlignment="1" applyProtection="1">
      <alignment horizontal="center" vertical="center" wrapText="1"/>
      <protection locked="0"/>
    </xf>
    <xf numFmtId="49" fontId="5" fillId="11" borderId="61" xfId="1" applyNumberFormat="1" applyFont="1" applyFill="1" applyBorder="1" applyAlignment="1" applyProtection="1">
      <alignment horizontal="center" vertical="center" wrapText="1"/>
      <protection locked="0"/>
    </xf>
    <xf numFmtId="49" fontId="5" fillId="11" borderId="27" xfId="1" applyNumberFormat="1" applyFont="1" applyFill="1" applyBorder="1" applyAlignment="1" applyProtection="1">
      <alignment horizontal="center" vertical="center" wrapText="1"/>
      <protection locked="0"/>
    </xf>
    <xf numFmtId="49" fontId="5" fillId="11" borderId="101" xfId="1" applyNumberFormat="1" applyFont="1" applyFill="1" applyBorder="1" applyAlignment="1" applyProtection="1">
      <alignment horizontal="center" vertical="center" wrapText="1"/>
      <protection locked="0"/>
    </xf>
    <xf numFmtId="49" fontId="5" fillId="11" borderId="32" xfId="1" applyNumberFormat="1" applyFont="1" applyFill="1" applyBorder="1" applyAlignment="1" applyProtection="1">
      <alignment horizontal="center" vertical="center" wrapText="1"/>
      <protection locked="0"/>
    </xf>
    <xf numFmtId="49" fontId="23" fillId="12" borderId="53" xfId="1" applyNumberFormat="1" applyFont="1" applyFill="1" applyBorder="1" applyAlignment="1" applyProtection="1">
      <alignment horizontal="center" vertical="center" wrapText="1"/>
      <protection locked="0"/>
    </xf>
    <xf numFmtId="49" fontId="23" fillId="12" borderId="25" xfId="1" applyNumberFormat="1" applyFont="1" applyFill="1" applyBorder="1" applyAlignment="1" applyProtection="1">
      <alignment horizontal="center" vertical="center" wrapText="1"/>
      <protection locked="0"/>
    </xf>
    <xf numFmtId="49" fontId="23" fillId="12" borderId="54" xfId="1" applyNumberFormat="1" applyFont="1" applyFill="1" applyBorder="1" applyAlignment="1" applyProtection="1">
      <alignment horizontal="center" vertical="center" wrapText="1"/>
      <protection locked="0"/>
    </xf>
    <xf numFmtId="49" fontId="23" fillId="15" borderId="60" xfId="1" applyNumberFormat="1" applyFont="1" applyFill="1" applyBorder="1" applyAlignment="1" applyProtection="1">
      <alignment horizontal="left" vertical="center" wrapText="1"/>
      <protection locked="0"/>
    </xf>
    <xf numFmtId="49" fontId="23" fillId="15" borderId="56" xfId="1" applyNumberFormat="1" applyFont="1" applyFill="1" applyBorder="1" applyAlignment="1" applyProtection="1">
      <alignment horizontal="left" vertical="center" wrapText="1"/>
      <protection locked="0"/>
    </xf>
    <xf numFmtId="49" fontId="23" fillId="15" borderId="30" xfId="1" applyNumberFormat="1" applyFont="1" applyFill="1" applyBorder="1" applyAlignment="1" applyProtection="1">
      <alignment horizontal="left" vertical="center" wrapText="1"/>
      <protection locked="0"/>
    </xf>
    <xf numFmtId="164" fontId="3" fillId="0" borderId="55" xfId="1" applyNumberFormat="1" applyFont="1" applyBorder="1" applyAlignment="1">
      <alignment horizontal="center" vertical="center" wrapText="1"/>
    </xf>
    <xf numFmtId="44" fontId="3" fillId="0" borderId="57" xfId="1" applyNumberFormat="1" applyFont="1" applyBorder="1" applyAlignment="1">
      <alignment horizontal="center" vertical="center" wrapText="1"/>
    </xf>
    <xf numFmtId="44" fontId="3" fillId="0" borderId="31" xfId="1" applyNumberFormat="1" applyFont="1" applyBorder="1" applyAlignment="1">
      <alignment horizontal="center" vertical="center" wrapText="1"/>
    </xf>
    <xf numFmtId="44" fontId="3" fillId="0" borderId="32" xfId="1" applyNumberFormat="1" applyFont="1" applyBorder="1" applyAlignment="1">
      <alignment horizontal="center" vertical="center" wrapText="1"/>
    </xf>
    <xf numFmtId="44" fontId="23" fillId="2" borderId="24" xfId="1" applyNumberFormat="1" applyFont="1" applyFill="1" applyBorder="1" applyAlignment="1" applyProtection="1">
      <alignment horizontal="center" vertical="center" wrapText="1"/>
      <protection locked="0"/>
    </xf>
    <xf numFmtId="44" fontId="23" fillId="2" borderId="9" xfId="1" applyNumberFormat="1" applyFont="1" applyFill="1" applyBorder="1" applyAlignment="1" applyProtection="1">
      <alignment horizontal="center" vertical="center" wrapText="1"/>
      <protection locked="0"/>
    </xf>
    <xf numFmtId="44" fontId="23" fillId="2" borderId="70" xfId="1" applyNumberFormat="1" applyFont="1" applyFill="1" applyBorder="1" applyAlignment="1" applyProtection="1">
      <alignment horizontal="center" vertical="center" wrapText="1"/>
      <protection locked="0"/>
    </xf>
    <xf numFmtId="49" fontId="4" fillId="14" borderId="0" xfId="1" applyNumberFormat="1" applyFont="1" applyFill="1" applyAlignment="1" applyProtection="1">
      <alignment horizontal="left" vertical="center" wrapText="1"/>
      <protection locked="0"/>
    </xf>
    <xf numFmtId="49" fontId="11" fillId="14" borderId="0" xfId="1" applyNumberFormat="1" applyFont="1" applyFill="1" applyAlignment="1" applyProtection="1">
      <alignment horizontal="left" wrapText="1" indent="2"/>
      <protection locked="0"/>
    </xf>
    <xf numFmtId="49" fontId="1" fillId="11" borderId="100" xfId="1" applyNumberFormat="1" applyFill="1" applyBorder="1" applyAlignment="1" applyProtection="1">
      <alignment horizontal="center" vertical="center" wrapText="1"/>
      <protection locked="0"/>
    </xf>
    <xf numFmtId="49" fontId="7" fillId="16" borderId="42" xfId="1" applyNumberFormat="1" applyFont="1" applyFill="1" applyBorder="1" applyAlignment="1" applyProtection="1">
      <alignment horizontal="center" vertical="center" wrapText="1"/>
      <protection locked="0"/>
    </xf>
    <xf numFmtId="49" fontId="7" fillId="16" borderId="51" xfId="1" applyNumberFormat="1" applyFont="1" applyFill="1" applyBorder="1" applyAlignment="1" applyProtection="1">
      <alignment horizontal="center" vertical="center" wrapText="1"/>
      <protection locked="0"/>
    </xf>
    <xf numFmtId="164" fontId="7" fillId="11" borderId="61" xfId="1" applyNumberFormat="1" applyFont="1" applyFill="1" applyBorder="1" applyAlignment="1" applyProtection="1">
      <alignment horizontal="center" vertical="center" wrapText="1"/>
      <protection locked="0"/>
    </xf>
    <xf numFmtId="164" fontId="7" fillId="11" borderId="27" xfId="1" applyNumberFormat="1" applyFont="1" applyFill="1" applyBorder="1" applyAlignment="1" applyProtection="1">
      <alignment horizontal="center" vertical="center" wrapText="1"/>
      <protection locked="0"/>
    </xf>
    <xf numFmtId="164" fontId="7" fillId="11" borderId="92" xfId="1" applyNumberFormat="1" applyFont="1" applyFill="1" applyBorder="1" applyAlignment="1" applyProtection="1">
      <alignment horizontal="center" vertical="center" wrapText="1"/>
      <protection locked="0"/>
    </xf>
    <xf numFmtId="164" fontId="7" fillId="11" borderId="28" xfId="1" applyNumberFormat="1" applyFont="1" applyFill="1" applyBorder="1" applyAlignment="1" applyProtection="1">
      <alignment horizontal="center" vertical="center" wrapText="1"/>
      <protection locked="0"/>
    </xf>
    <xf numFmtId="44" fontId="23" fillId="4" borderId="50" xfId="1" applyNumberFormat="1" applyFont="1" applyFill="1" applyBorder="1" applyAlignment="1" applyProtection="1">
      <alignment horizontal="center" vertical="center" wrapText="1"/>
      <protection locked="0"/>
    </xf>
    <xf numFmtId="44" fontId="23" fillId="4" borderId="105" xfId="1" applyNumberFormat="1" applyFont="1" applyFill="1" applyBorder="1" applyAlignment="1" applyProtection="1">
      <alignment horizontal="center" vertical="center" wrapText="1"/>
      <protection locked="0"/>
    </xf>
    <xf numFmtId="44" fontId="23" fillId="4" borderId="106" xfId="1" applyNumberFormat="1" applyFont="1" applyFill="1" applyBorder="1" applyAlignment="1" applyProtection="1">
      <alignment horizontal="center" vertical="center" wrapText="1"/>
      <protection locked="0"/>
    </xf>
    <xf numFmtId="44" fontId="23" fillId="4" borderId="107" xfId="1" applyNumberFormat="1" applyFont="1" applyFill="1" applyBorder="1" applyAlignment="1" applyProtection="1">
      <alignment horizontal="center" vertical="center" wrapText="1"/>
      <protection locked="0"/>
    </xf>
    <xf numFmtId="49" fontId="23" fillId="4" borderId="108" xfId="1" applyNumberFormat="1" applyFont="1" applyFill="1" applyBorder="1" applyAlignment="1" applyProtection="1">
      <alignment horizontal="center" vertical="center" wrapText="1"/>
      <protection locked="0"/>
    </xf>
    <xf numFmtId="49" fontId="23" fillId="4" borderId="109" xfId="1" applyNumberFormat="1" applyFont="1" applyFill="1" applyBorder="1" applyAlignment="1" applyProtection="1">
      <alignment horizontal="center" vertical="center" wrapText="1"/>
      <protection locked="0"/>
    </xf>
    <xf numFmtId="44" fontId="3" fillId="0" borderId="94" xfId="1" applyNumberFormat="1" applyFont="1" applyBorder="1" applyAlignment="1">
      <alignment horizontal="center" vertical="center" wrapText="1"/>
    </xf>
    <xf numFmtId="44" fontId="3" fillId="0" borderId="110" xfId="1" applyNumberFormat="1" applyFont="1" applyBorder="1" applyAlignment="1">
      <alignment horizontal="center" vertical="center" wrapText="1"/>
    </xf>
    <xf numFmtId="44" fontId="3" fillId="0" borderId="104" xfId="1" applyNumberFormat="1" applyFont="1" applyBorder="1" applyAlignment="1">
      <alignment horizontal="center" vertical="center" wrapText="1"/>
    </xf>
    <xf numFmtId="44" fontId="3" fillId="14" borderId="94" xfId="1" applyNumberFormat="1" applyFont="1" applyFill="1" applyBorder="1" applyAlignment="1">
      <alignment horizontal="center" vertical="center" wrapText="1"/>
    </xf>
    <xf numFmtId="44" fontId="3" fillId="14" borderId="57" xfId="1" applyNumberFormat="1" applyFont="1" applyFill="1" applyBorder="1" applyAlignment="1">
      <alignment horizontal="center" vertical="center" wrapText="1"/>
    </xf>
    <xf numFmtId="44" fontId="3" fillId="14" borderId="110" xfId="1" applyNumberFormat="1" applyFont="1" applyFill="1" applyBorder="1" applyAlignment="1">
      <alignment horizontal="center" vertical="center" wrapText="1"/>
    </xf>
    <xf numFmtId="44" fontId="3" fillId="14" borderId="104" xfId="1" applyNumberFormat="1" applyFont="1" applyFill="1" applyBorder="1" applyAlignment="1">
      <alignment horizontal="center" vertical="center" wrapText="1"/>
    </xf>
    <xf numFmtId="44" fontId="5" fillId="0" borderId="94" xfId="1" applyNumberFormat="1" applyFont="1" applyBorder="1" applyAlignment="1">
      <alignment horizontal="center" vertical="center" wrapText="1"/>
    </xf>
    <xf numFmtId="44" fontId="5" fillId="0" borderId="57" xfId="1" applyNumberFormat="1" applyFont="1" applyBorder="1" applyAlignment="1">
      <alignment horizontal="center" vertical="center" wrapText="1"/>
    </xf>
    <xf numFmtId="44" fontId="5" fillId="0" borderId="101" xfId="1" applyNumberFormat="1" applyFont="1" applyBorder="1" applyAlignment="1">
      <alignment horizontal="center" vertical="center" wrapText="1"/>
    </xf>
    <xf numFmtId="44" fontId="5" fillId="0" borderId="32" xfId="1" applyNumberFormat="1" applyFont="1" applyBorder="1" applyAlignment="1">
      <alignment horizontal="center" vertical="center" wrapText="1"/>
    </xf>
    <xf numFmtId="49" fontId="3" fillId="11" borderId="102" xfId="1" applyNumberFormat="1" applyFont="1" applyFill="1" applyBorder="1" applyAlignment="1" applyProtection="1">
      <alignment horizontal="center" vertical="center" wrapText="1"/>
      <protection locked="0"/>
    </xf>
    <xf numFmtId="49" fontId="3" fillId="11" borderId="16" xfId="1" applyNumberFormat="1" applyFont="1" applyFill="1" applyBorder="1" applyAlignment="1" applyProtection="1">
      <alignment horizontal="center" vertical="center" wrapText="1"/>
      <protection locked="0"/>
    </xf>
    <xf numFmtId="49" fontId="3" fillId="11" borderId="92" xfId="1" applyNumberFormat="1" applyFont="1" applyFill="1" applyBorder="1" applyAlignment="1" applyProtection="1">
      <alignment horizontal="center" vertical="center" wrapText="1"/>
      <protection locked="0"/>
    </xf>
    <xf numFmtId="49" fontId="3" fillId="11" borderId="28" xfId="1" applyNumberFormat="1" applyFont="1" applyFill="1" applyBorder="1" applyAlignment="1" applyProtection="1">
      <alignment horizontal="center" vertical="center" wrapText="1"/>
      <protection locked="0"/>
    </xf>
    <xf numFmtId="49" fontId="3" fillId="11" borderId="61" xfId="1" applyNumberFormat="1" applyFont="1" applyFill="1" applyBorder="1" applyAlignment="1" applyProtection="1">
      <alignment horizontal="center" vertical="center" wrapText="1"/>
      <protection locked="0"/>
    </xf>
    <xf numFmtId="49" fontId="3" fillId="11" borderId="27" xfId="1" applyNumberFormat="1" applyFont="1" applyFill="1" applyBorder="1" applyAlignment="1" applyProtection="1">
      <alignment horizontal="center" vertical="center" wrapText="1"/>
      <protection locked="0"/>
    </xf>
    <xf numFmtId="49" fontId="3" fillId="11" borderId="101" xfId="1" applyNumberFormat="1" applyFont="1" applyFill="1" applyBorder="1" applyAlignment="1" applyProtection="1">
      <alignment horizontal="center" vertical="center" wrapText="1"/>
      <protection locked="0"/>
    </xf>
    <xf numFmtId="49" fontId="3" fillId="11" borderId="32" xfId="1" applyNumberFormat="1" applyFont="1" applyFill="1" applyBorder="1" applyAlignment="1" applyProtection="1">
      <alignment horizontal="center" vertical="center" wrapText="1"/>
      <protection locked="0"/>
    </xf>
    <xf numFmtId="49" fontId="1" fillId="3" borderId="36" xfId="1" applyNumberFormat="1" applyFill="1" applyBorder="1" applyAlignment="1" applyProtection="1">
      <alignment horizontal="center" vertical="center" wrapText="1"/>
      <protection locked="0"/>
    </xf>
    <xf numFmtId="49" fontId="1" fillId="3" borderId="37" xfId="1" applyNumberFormat="1" applyFill="1" applyBorder="1" applyAlignment="1" applyProtection="1">
      <alignment horizontal="center" vertical="center" wrapText="1"/>
      <protection locked="0"/>
    </xf>
    <xf numFmtId="49" fontId="1" fillId="3" borderId="38" xfId="1" applyNumberFormat="1" applyFill="1" applyBorder="1" applyAlignment="1" applyProtection="1">
      <alignment horizontal="center" vertical="center" wrapText="1"/>
      <protection locked="0"/>
    </xf>
    <xf numFmtId="49" fontId="8" fillId="8" borderId="68" xfId="1" applyNumberFormat="1" applyFont="1" applyFill="1" applyBorder="1" applyAlignment="1" applyProtection="1">
      <alignment horizontal="right" vertical="center" wrapText="1"/>
      <protection locked="0"/>
    </xf>
    <xf numFmtId="49" fontId="8" fillId="8" borderId="7" xfId="1" applyNumberFormat="1" applyFont="1" applyFill="1" applyBorder="1" applyAlignment="1" applyProtection="1">
      <alignment horizontal="right" vertical="center" wrapText="1"/>
      <protection locked="0"/>
    </xf>
    <xf numFmtId="49" fontId="23" fillId="2" borderId="9" xfId="1" applyNumberFormat="1" applyFont="1" applyFill="1" applyBorder="1" applyAlignment="1" applyProtection="1">
      <alignment horizontal="left" vertical="center" wrapText="1"/>
      <protection locked="0"/>
    </xf>
    <xf numFmtId="49" fontId="1" fillId="3" borderId="4" xfId="1" applyNumberFormat="1" applyFill="1" applyBorder="1" applyAlignment="1" applyProtection="1">
      <alignment horizontal="left" vertical="center" wrapText="1"/>
      <protection locked="0"/>
    </xf>
    <xf numFmtId="49" fontId="1" fillId="3" borderId="3" xfId="1" applyNumberFormat="1" applyFill="1" applyBorder="1" applyAlignment="1" applyProtection="1">
      <alignment horizontal="left" vertical="center" wrapText="1"/>
      <protection locked="0"/>
    </xf>
    <xf numFmtId="49" fontId="1" fillId="3" borderId="22" xfId="1" applyNumberFormat="1" applyFill="1" applyBorder="1" applyAlignment="1" applyProtection="1">
      <alignment horizontal="left" vertical="center" wrapText="1"/>
      <protection locked="0"/>
    </xf>
    <xf numFmtId="49" fontId="23" fillId="8" borderId="16" xfId="2" applyNumberFormat="1" applyFont="1" applyFill="1" applyBorder="1" applyAlignment="1" applyProtection="1">
      <alignment horizontal="center" vertical="center" wrapText="1"/>
      <protection locked="0"/>
    </xf>
    <xf numFmtId="49" fontId="23" fillId="8" borderId="69" xfId="2" applyNumberFormat="1" applyFont="1" applyFill="1" applyBorder="1" applyAlignment="1" applyProtection="1">
      <alignment horizontal="center" vertical="center" wrapText="1"/>
      <protection locked="0"/>
    </xf>
    <xf numFmtId="49" fontId="1" fillId="3" borderId="21" xfId="1" applyNumberFormat="1" applyFill="1" applyBorder="1" applyAlignment="1" applyProtection="1">
      <alignment horizontal="center" vertical="center" wrapText="1"/>
      <protection locked="0"/>
    </xf>
    <xf numFmtId="49" fontId="1" fillId="3" borderId="3" xfId="1" applyNumberFormat="1" applyFill="1" applyBorder="1" applyAlignment="1" applyProtection="1">
      <alignment horizontal="center" vertical="center" wrapText="1"/>
      <protection locked="0"/>
    </xf>
    <xf numFmtId="49" fontId="1" fillId="3" borderId="22" xfId="1" applyNumberFormat="1" applyFill="1" applyBorder="1" applyAlignment="1" applyProtection="1">
      <alignment horizontal="center" vertical="center" wrapText="1"/>
      <protection locked="0"/>
    </xf>
    <xf numFmtId="49" fontId="23" fillId="13" borderId="49" xfId="1" applyNumberFormat="1" applyFont="1" applyFill="1" applyBorder="1" applyAlignment="1" applyProtection="1">
      <alignment horizontal="center" vertical="center" wrapText="1"/>
      <protection locked="0"/>
    </xf>
    <xf numFmtId="49" fontId="23" fillId="13" borderId="99" xfId="1" applyNumberFormat="1" applyFont="1" applyFill="1" applyBorder="1" applyAlignment="1" applyProtection="1">
      <alignment horizontal="center" vertical="center" wrapText="1"/>
      <protection locked="0"/>
    </xf>
    <xf numFmtId="49" fontId="23" fillId="13" borderId="47" xfId="1" applyNumberFormat="1" applyFont="1" applyFill="1" applyBorder="1" applyAlignment="1" applyProtection="1">
      <alignment horizontal="center" vertical="center" wrapText="1"/>
      <protection locked="0"/>
    </xf>
    <xf numFmtId="44" fontId="5" fillId="4" borderId="33" xfId="1" applyNumberFormat="1" applyFont="1" applyFill="1" applyBorder="1" applyAlignment="1">
      <alignment horizontal="center" vertical="center" wrapText="1"/>
    </xf>
    <xf numFmtId="44" fontId="5" fillId="4" borderId="39" xfId="1" applyNumberFormat="1" applyFont="1" applyFill="1" applyBorder="1" applyAlignment="1">
      <alignment horizontal="center" vertical="center" wrapText="1"/>
    </xf>
    <xf numFmtId="44" fontId="5" fillId="7" borderId="34" xfId="1" applyNumberFormat="1" applyFont="1" applyFill="1" applyBorder="1" applyAlignment="1">
      <alignment horizontal="center" vertical="center" wrapText="1"/>
    </xf>
    <xf numFmtId="44" fontId="5" fillId="7" borderId="35" xfId="1" applyNumberFormat="1" applyFont="1" applyFill="1" applyBorder="1" applyAlignment="1">
      <alignment horizontal="center" vertical="center" wrapText="1"/>
    </xf>
    <xf numFmtId="44" fontId="5" fillId="7" borderId="40" xfId="1" applyNumberFormat="1" applyFont="1" applyFill="1" applyBorder="1" applyAlignment="1">
      <alignment horizontal="center" vertical="center" wrapText="1"/>
    </xf>
    <xf numFmtId="44" fontId="5" fillId="7" borderId="41" xfId="1" applyNumberFormat="1" applyFont="1" applyFill="1" applyBorder="1" applyAlignment="1">
      <alignment horizontal="center" vertical="center" wrapText="1"/>
    </xf>
    <xf numFmtId="44" fontId="5" fillId="4" borderId="33" xfId="1" applyNumberFormat="1" applyFont="1" applyFill="1" applyBorder="1" applyAlignment="1" applyProtection="1">
      <alignment horizontal="center" vertical="center" wrapText="1"/>
      <protection locked="0"/>
    </xf>
    <xf numFmtId="44" fontId="5" fillId="4" borderId="39" xfId="1" applyNumberFormat="1" applyFont="1" applyFill="1" applyBorder="1" applyAlignment="1" applyProtection="1">
      <alignment horizontal="center" vertical="center" wrapText="1"/>
      <protection locked="0"/>
    </xf>
    <xf numFmtId="44" fontId="5" fillId="0" borderId="34" xfId="1" applyNumberFormat="1" applyFont="1" applyBorder="1" applyAlignment="1">
      <alignment horizontal="center" vertical="center" wrapText="1"/>
    </xf>
    <xf numFmtId="44" fontId="5" fillId="0" borderId="35" xfId="1" applyNumberFormat="1" applyFont="1" applyBorder="1" applyAlignment="1">
      <alignment horizontal="center" vertical="center" wrapText="1"/>
    </xf>
    <xf numFmtId="44" fontId="5" fillId="0" borderId="40" xfId="1" applyNumberFormat="1" applyFont="1" applyBorder="1" applyAlignment="1">
      <alignment horizontal="center" vertical="center" wrapText="1"/>
    </xf>
    <xf numFmtId="44" fontId="5" fillId="0" borderId="41" xfId="1" applyNumberFormat="1" applyFont="1" applyBorder="1" applyAlignment="1">
      <alignment horizontal="center" vertical="center" wrapText="1"/>
    </xf>
    <xf numFmtId="44" fontId="5" fillId="0" borderId="102" xfId="1" applyNumberFormat="1" applyFont="1" applyBorder="1" applyAlignment="1">
      <alignment horizontal="center" vertical="center" wrapText="1"/>
    </xf>
    <xf numFmtId="44" fontId="5" fillId="0" borderId="16" xfId="1" applyNumberFormat="1" applyFont="1" applyBorder="1" applyAlignment="1">
      <alignment horizontal="center" vertical="center" wrapText="1"/>
    </xf>
    <xf numFmtId="49" fontId="23" fillId="10" borderId="96" xfId="1" applyNumberFormat="1" applyFont="1" applyFill="1" applyBorder="1" applyAlignment="1" applyProtection="1">
      <alignment horizontal="center" vertical="center" wrapText="1"/>
      <protection locked="0"/>
    </xf>
    <xf numFmtId="49" fontId="23" fillId="10" borderId="97" xfId="1" applyNumberFormat="1" applyFont="1" applyFill="1" applyBorder="1" applyAlignment="1" applyProtection="1">
      <alignment horizontal="center" vertical="center" wrapText="1"/>
      <protection locked="0"/>
    </xf>
    <xf numFmtId="49" fontId="23" fillId="10" borderId="98" xfId="1" applyNumberFormat="1" applyFont="1" applyFill="1" applyBorder="1" applyAlignment="1" applyProtection="1">
      <alignment horizontal="center" vertical="center" wrapText="1"/>
      <protection locked="0"/>
    </xf>
    <xf numFmtId="49" fontId="23" fillId="2" borderId="46" xfId="1" applyNumberFormat="1" applyFont="1" applyFill="1" applyBorder="1" applyAlignment="1" applyProtection="1">
      <alignment horizontal="left" vertical="center" wrapText="1"/>
      <protection locked="0"/>
    </xf>
    <xf numFmtId="49" fontId="23" fillId="2" borderId="83" xfId="1" applyNumberFormat="1" applyFont="1" applyFill="1" applyBorder="1" applyAlignment="1" applyProtection="1">
      <alignment horizontal="center" vertical="center" wrapText="1"/>
      <protection locked="0"/>
    </xf>
    <xf numFmtId="49" fontId="23" fillId="2" borderId="75" xfId="1" applyNumberFormat="1" applyFont="1" applyFill="1" applyBorder="1" applyAlignment="1" applyProtection="1">
      <alignment horizontal="center" vertical="center" wrapText="1"/>
      <protection locked="0"/>
    </xf>
    <xf numFmtId="49" fontId="23" fillId="2" borderId="84" xfId="1" applyNumberFormat="1" applyFont="1" applyFill="1" applyBorder="1" applyAlignment="1" applyProtection="1">
      <alignment horizontal="center" vertical="center" wrapText="1"/>
      <protection locked="0"/>
    </xf>
    <xf numFmtId="49" fontId="7" fillId="3" borderId="4" xfId="1" applyNumberFormat="1" applyFont="1" applyFill="1" applyBorder="1" applyAlignment="1" applyProtection="1">
      <alignment horizontal="left" vertical="center" wrapText="1"/>
      <protection locked="0"/>
    </xf>
    <xf numFmtId="49" fontId="7" fillId="3" borderId="3" xfId="1" applyNumberFormat="1" applyFont="1" applyFill="1" applyBorder="1" applyAlignment="1" applyProtection="1">
      <alignment horizontal="left" vertical="center" wrapText="1"/>
      <protection locked="0"/>
    </xf>
    <xf numFmtId="49" fontId="7" fillId="3" borderId="22" xfId="1" applyNumberFormat="1" applyFont="1" applyFill="1" applyBorder="1" applyAlignment="1" applyProtection="1">
      <alignment horizontal="left" vertical="center" wrapText="1"/>
      <protection locked="0"/>
    </xf>
    <xf numFmtId="49" fontId="5" fillId="10" borderId="11" xfId="1" applyNumberFormat="1" applyFont="1" applyFill="1" applyBorder="1" applyAlignment="1" applyProtection="1">
      <alignment horizontal="center" vertical="center" wrapText="1"/>
      <protection locked="0"/>
    </xf>
    <xf numFmtId="49" fontId="5" fillId="10" borderId="55" xfId="1" applyNumberFormat="1" applyFont="1" applyFill="1" applyBorder="1" applyAlignment="1" applyProtection="1">
      <alignment horizontal="center" vertical="center" wrapText="1"/>
      <protection locked="0"/>
    </xf>
    <xf numFmtId="49" fontId="5" fillId="10" borderId="12" xfId="1" applyNumberFormat="1" applyFont="1" applyFill="1" applyBorder="1" applyAlignment="1" applyProtection="1">
      <alignment horizontal="center" vertical="center" wrapText="1"/>
      <protection locked="0"/>
    </xf>
    <xf numFmtId="49" fontId="5" fillId="10" borderId="10" xfId="1" applyNumberFormat="1" applyFont="1" applyFill="1" applyBorder="1" applyAlignment="1" applyProtection="1">
      <alignment horizontal="center" vertical="center" wrapText="1"/>
      <protection locked="0"/>
    </xf>
    <xf numFmtId="44" fontId="5" fillId="10" borderId="55" xfId="2" applyFont="1" applyFill="1" applyBorder="1" applyAlignment="1" applyProtection="1">
      <alignment horizontal="center" vertical="center" wrapText="1"/>
    </xf>
    <xf numFmtId="44" fontId="5" fillId="10" borderId="10" xfId="2" applyFont="1" applyFill="1" applyBorder="1" applyAlignment="1" applyProtection="1">
      <alignment horizontal="center" vertical="center" wrapText="1"/>
    </xf>
    <xf numFmtId="49" fontId="5" fillId="8" borderId="14" xfId="1" applyNumberFormat="1" applyFont="1" applyFill="1" applyBorder="1" applyAlignment="1" applyProtection="1">
      <alignment horizontal="right" vertical="center" wrapText="1" indent="1"/>
      <protection locked="0"/>
    </xf>
    <xf numFmtId="49" fontId="5" fillId="8" borderId="15" xfId="1" applyNumberFormat="1" applyFont="1" applyFill="1" applyBorder="1" applyAlignment="1" applyProtection="1">
      <alignment horizontal="right" vertical="center" wrapText="1" indent="1"/>
      <protection locked="0"/>
    </xf>
    <xf numFmtId="49" fontId="5" fillId="8" borderId="30" xfId="1" applyNumberFormat="1" applyFont="1" applyFill="1" applyBorder="1" applyAlignment="1" applyProtection="1">
      <alignment horizontal="right" vertical="center" wrapText="1" indent="1"/>
      <protection locked="0"/>
    </xf>
    <xf numFmtId="49" fontId="5" fillId="8" borderId="31" xfId="1" applyNumberFormat="1" applyFont="1" applyFill="1" applyBorder="1" applyAlignment="1" applyProtection="1">
      <alignment horizontal="right" vertical="center" wrapText="1" indent="1"/>
      <protection locked="0"/>
    </xf>
    <xf numFmtId="44" fontId="5" fillId="8" borderId="16" xfId="2" applyFont="1" applyFill="1" applyBorder="1" applyAlignment="1" applyProtection="1">
      <alignment horizontal="center" vertical="center" wrapText="1"/>
    </xf>
    <xf numFmtId="44" fontId="5" fillId="8" borderId="32" xfId="2" applyFont="1" applyFill="1" applyBorder="1" applyAlignment="1" applyProtection="1">
      <alignment horizontal="center" vertical="center" wrapText="1"/>
    </xf>
    <xf numFmtId="44" fontId="5" fillId="9" borderId="130" xfId="1" applyNumberFormat="1" applyFont="1" applyFill="1" applyBorder="1" applyAlignment="1" applyProtection="1">
      <alignment horizontal="center" vertical="center" wrapText="1"/>
      <protection locked="0"/>
    </xf>
    <xf numFmtId="44" fontId="5" fillId="9" borderId="131" xfId="1" applyNumberFormat="1" applyFont="1" applyFill="1" applyBorder="1" applyAlignment="1" applyProtection="1">
      <alignment horizontal="center" vertical="center" wrapText="1"/>
      <protection locked="0"/>
    </xf>
    <xf numFmtId="44" fontId="5" fillId="0" borderId="130" xfId="1" applyNumberFormat="1" applyFont="1" applyBorder="1" applyAlignment="1">
      <alignment horizontal="center" vertical="center" wrapText="1"/>
    </xf>
    <xf numFmtId="44" fontId="5" fillId="0" borderId="131" xfId="1" applyNumberFormat="1" applyFont="1" applyBorder="1" applyAlignment="1">
      <alignment horizontal="center" vertical="center" wrapText="1"/>
    </xf>
    <xf numFmtId="44" fontId="5" fillId="7" borderId="16" xfId="2" applyFont="1" applyFill="1" applyBorder="1" applyAlignment="1" applyProtection="1">
      <alignment horizontal="center" vertical="center" wrapText="1"/>
    </xf>
    <xf numFmtId="44" fontId="5" fillId="7" borderId="32" xfId="2" applyFont="1" applyFill="1" applyBorder="1" applyAlignment="1" applyProtection="1">
      <alignment horizontal="center" vertical="center" wrapText="1"/>
    </xf>
    <xf numFmtId="49" fontId="1" fillId="0" borderId="53" xfId="1" applyNumberFormat="1" applyBorder="1" applyAlignment="1" applyProtection="1">
      <alignment horizontal="center" vertical="center" wrapText="1"/>
      <protection locked="0"/>
    </xf>
    <xf numFmtId="49" fontId="1" fillId="0" borderId="25" xfId="1" applyNumberFormat="1" applyBorder="1" applyAlignment="1" applyProtection="1">
      <alignment horizontal="center" vertical="center" wrapText="1"/>
      <protection locked="0"/>
    </xf>
    <xf numFmtId="49" fontId="5" fillId="7" borderId="14" xfId="1" applyNumberFormat="1" applyFont="1" applyFill="1" applyBorder="1" applyAlignment="1" applyProtection="1">
      <alignment horizontal="right" vertical="center" wrapText="1" indent="1"/>
      <protection locked="0"/>
    </xf>
    <xf numFmtId="49" fontId="5" fillId="7" borderId="15" xfId="1" applyNumberFormat="1" applyFont="1" applyFill="1" applyBorder="1" applyAlignment="1" applyProtection="1">
      <alignment horizontal="right" vertical="center" wrapText="1" indent="1"/>
      <protection locked="0"/>
    </xf>
    <xf numFmtId="49" fontId="5" fillId="7" borderId="30" xfId="1" applyNumberFormat="1" applyFont="1" applyFill="1" applyBorder="1" applyAlignment="1" applyProtection="1">
      <alignment horizontal="right" vertical="center" wrapText="1" indent="1"/>
      <protection locked="0"/>
    </xf>
    <xf numFmtId="49" fontId="5" fillId="7" borderId="31" xfId="1" applyNumberFormat="1" applyFont="1" applyFill="1" applyBorder="1" applyAlignment="1" applyProtection="1">
      <alignment horizontal="right" vertical="center" wrapText="1" indent="1"/>
      <protection locked="0"/>
    </xf>
    <xf numFmtId="44" fontId="5" fillId="9" borderId="128" xfId="1" applyNumberFormat="1" applyFont="1" applyFill="1" applyBorder="1" applyAlignment="1">
      <alignment horizontal="center" vertical="center" wrapText="1"/>
    </xf>
    <xf numFmtId="44" fontId="5" fillId="9" borderId="129" xfId="1" applyNumberFormat="1" applyFont="1" applyFill="1" applyBorder="1" applyAlignment="1">
      <alignment horizontal="center" vertical="center" wrapText="1"/>
    </xf>
    <xf numFmtId="44" fontId="5" fillId="0" borderId="79" xfId="1" applyNumberFormat="1" applyFont="1" applyBorder="1" applyAlignment="1">
      <alignment horizontal="center" vertical="center" wrapText="1"/>
    </xf>
    <xf numFmtId="44" fontId="5" fillId="0" borderId="80" xfId="1" applyNumberFormat="1" applyFont="1" applyBorder="1" applyAlignment="1">
      <alignment horizontal="center" vertical="center" wrapText="1"/>
    </xf>
    <xf numFmtId="44" fontId="5" fillId="0" borderId="81" xfId="1" applyNumberFormat="1" applyFont="1" applyBorder="1" applyAlignment="1">
      <alignment horizontal="center" vertical="center" wrapText="1"/>
    </xf>
    <xf numFmtId="44" fontId="5" fillId="0" borderId="82" xfId="1" applyNumberFormat="1" applyFont="1" applyBorder="1" applyAlignment="1">
      <alignment horizontal="center" vertical="center" wrapText="1"/>
    </xf>
    <xf numFmtId="49" fontId="1" fillId="0" borderId="111" xfId="1" applyNumberFormat="1" applyBorder="1" applyAlignment="1" applyProtection="1">
      <alignment horizontal="center" vertical="center" wrapText="1"/>
      <protection locked="0"/>
    </xf>
    <xf numFmtId="49" fontId="1" fillId="0" borderId="87" xfId="1" applyNumberFormat="1" applyBorder="1" applyAlignment="1" applyProtection="1">
      <alignment horizontal="center" vertical="center" wrapText="1"/>
      <protection locked="0"/>
    </xf>
    <xf numFmtId="44" fontId="5" fillId="4" borderId="45" xfId="1" applyNumberFormat="1" applyFont="1" applyFill="1" applyBorder="1" applyAlignment="1">
      <alignment horizontal="center" vertical="center" wrapText="1"/>
    </xf>
    <xf numFmtId="44" fontId="5" fillId="4" borderId="23" xfId="1" applyNumberFormat="1" applyFont="1" applyFill="1" applyBorder="1" applyAlignment="1">
      <alignment horizontal="center" vertical="center" wrapText="1"/>
    </xf>
    <xf numFmtId="44" fontId="7" fillId="4" borderId="14" xfId="1" applyNumberFormat="1" applyFont="1" applyFill="1" applyBorder="1" applyAlignment="1">
      <alignment horizontal="center" vertical="center" wrapText="1"/>
    </xf>
    <xf numFmtId="44" fontId="7" fillId="4" borderId="30" xfId="1" applyNumberFormat="1" applyFont="1" applyFill="1" applyBorder="1" applyAlignment="1">
      <alignment horizontal="center" vertical="center" wrapText="1"/>
    </xf>
    <xf numFmtId="49" fontId="23" fillId="2" borderId="6" xfId="1" applyNumberFormat="1" applyFont="1" applyFill="1" applyBorder="1" applyAlignment="1" applyProtection="1">
      <alignment horizontal="center" vertical="center" wrapText="1"/>
      <protection locked="0"/>
    </xf>
    <xf numFmtId="44" fontId="23" fillId="2" borderId="6" xfId="1" applyNumberFormat="1" applyFont="1" applyFill="1" applyBorder="1" applyAlignment="1" applyProtection="1">
      <alignment horizontal="center" vertical="center" wrapText="1"/>
      <protection locked="0"/>
    </xf>
    <xf numFmtId="44" fontId="23" fillId="2" borderId="28" xfId="1" applyNumberFormat="1" applyFont="1" applyFill="1" applyBorder="1" applyAlignment="1" applyProtection="1">
      <alignment horizontal="center" vertical="center" wrapText="1"/>
      <protection locked="0"/>
    </xf>
    <xf numFmtId="44" fontId="5" fillId="6" borderId="55" xfId="2" applyFont="1" applyFill="1" applyBorder="1" applyAlignment="1" applyProtection="1">
      <alignment horizontal="center" vertical="center" wrapText="1"/>
    </xf>
    <xf numFmtId="44" fontId="5" fillId="6" borderId="10" xfId="2" applyFont="1" applyFill="1" applyBorder="1" applyAlignment="1" applyProtection="1">
      <alignment horizontal="center" vertical="center" wrapText="1"/>
    </xf>
    <xf numFmtId="49" fontId="5" fillId="6" borderId="11" xfId="1" applyNumberFormat="1" applyFont="1" applyFill="1" applyBorder="1" applyAlignment="1" applyProtection="1">
      <alignment horizontal="center" vertical="center" wrapText="1"/>
      <protection locked="0"/>
    </xf>
    <xf numFmtId="49" fontId="5" fillId="6" borderId="55" xfId="1" applyNumberFormat="1" applyFont="1" applyFill="1" applyBorder="1" applyAlignment="1" applyProtection="1">
      <alignment horizontal="center" vertical="center" wrapText="1"/>
      <protection locked="0"/>
    </xf>
    <xf numFmtId="49" fontId="5" fillId="6" borderId="12" xfId="1" applyNumberFormat="1" applyFont="1" applyFill="1" applyBorder="1" applyAlignment="1" applyProtection="1">
      <alignment horizontal="center" vertical="center" wrapText="1"/>
      <protection locked="0"/>
    </xf>
    <xf numFmtId="49" fontId="5" fillId="6" borderId="10" xfId="1" applyNumberFormat="1" applyFont="1" applyFill="1" applyBorder="1" applyAlignment="1" applyProtection="1">
      <alignment horizontal="center" vertical="center" wrapText="1"/>
      <protection locked="0"/>
    </xf>
    <xf numFmtId="49" fontId="8" fillId="7" borderId="68" xfId="1" applyNumberFormat="1" applyFont="1" applyFill="1" applyBorder="1" applyAlignment="1" applyProtection="1">
      <alignment horizontal="right" vertical="center" wrapText="1"/>
      <protection locked="0"/>
    </xf>
    <xf numFmtId="49" fontId="8" fillId="7" borderId="7" xfId="1" applyNumberFormat="1" applyFont="1" applyFill="1" applyBorder="1" applyAlignment="1" applyProtection="1">
      <alignment horizontal="right" vertical="center" wrapText="1"/>
      <protection locked="0"/>
    </xf>
    <xf numFmtId="49" fontId="23" fillId="5" borderId="96" xfId="1" applyNumberFormat="1" applyFont="1" applyFill="1" applyBorder="1" applyAlignment="1" applyProtection="1">
      <alignment horizontal="center" vertical="center" wrapText="1"/>
      <protection locked="0"/>
    </xf>
    <xf numFmtId="49" fontId="23" fillId="5" borderId="97" xfId="1" applyNumberFormat="1" applyFont="1" applyFill="1" applyBorder="1" applyAlignment="1" applyProtection="1">
      <alignment horizontal="center" vertical="center" wrapText="1"/>
      <protection locked="0"/>
    </xf>
    <xf numFmtId="49" fontId="23" fillId="5" borderId="98" xfId="1" applyNumberFormat="1" applyFont="1" applyFill="1" applyBorder="1" applyAlignment="1" applyProtection="1">
      <alignment horizontal="center" vertical="center" wrapText="1"/>
      <protection locked="0"/>
    </xf>
    <xf numFmtId="49" fontId="23" fillId="7" borderId="16" xfId="2" applyNumberFormat="1" applyFont="1" applyFill="1" applyBorder="1" applyAlignment="1" applyProtection="1">
      <alignment horizontal="center" vertical="center" wrapText="1"/>
      <protection locked="0"/>
    </xf>
    <xf numFmtId="49" fontId="23" fillId="7" borderId="69" xfId="2" applyNumberFormat="1" applyFont="1" applyFill="1" applyBorder="1" applyAlignment="1" applyProtection="1">
      <alignment horizontal="center" vertical="center" wrapText="1"/>
      <protection locked="0"/>
    </xf>
    <xf numFmtId="0" fontId="4" fillId="14" borderId="0" xfId="1" applyFont="1" applyFill="1" applyAlignment="1">
      <alignment horizontal="left" vertical="center" wrapText="1"/>
    </xf>
    <xf numFmtId="44" fontId="3" fillId="0" borderId="113" xfId="1" applyNumberFormat="1" applyFont="1" applyBorder="1" applyAlignment="1">
      <alignment horizontal="center" vertical="center"/>
    </xf>
    <xf numFmtId="44" fontId="3" fillId="0" borderId="114" xfId="1" applyNumberFormat="1" applyFont="1" applyBorder="1" applyAlignment="1">
      <alignment horizontal="center" vertical="center"/>
    </xf>
    <xf numFmtId="44" fontId="3" fillId="0" borderId="115" xfId="1" applyNumberFormat="1" applyFont="1" applyBorder="1" applyAlignment="1">
      <alignment horizontal="center" vertical="center"/>
    </xf>
    <xf numFmtId="44" fontId="3" fillId="0" borderId="91" xfId="1" applyNumberFormat="1" applyFont="1" applyBorder="1" applyAlignment="1">
      <alignment horizontal="center" vertical="center"/>
    </xf>
    <xf numFmtId="0" fontId="23" fillId="15" borderId="50" xfId="1" applyFont="1" applyFill="1" applyBorder="1" applyAlignment="1">
      <alignment horizontal="left" vertical="center" wrapText="1" indent="1"/>
    </xf>
    <xf numFmtId="0" fontId="23" fillId="15" borderId="52" xfId="1" applyFont="1" applyFill="1" applyBorder="1" applyAlignment="1">
      <alignment horizontal="left" vertical="center" wrapText="1" indent="1"/>
    </xf>
    <xf numFmtId="0" fontId="5" fillId="14" borderId="14" xfId="1" applyFont="1" applyFill="1" applyBorder="1" applyAlignment="1">
      <alignment horizontal="center" vertical="center" wrapText="1"/>
    </xf>
    <xf numFmtId="0" fontId="5" fillId="14" borderId="16" xfId="1" applyFont="1" applyFill="1" applyBorder="1" applyAlignment="1">
      <alignment horizontal="center" vertical="center" wrapText="1"/>
    </xf>
    <xf numFmtId="0" fontId="5" fillId="14" borderId="30" xfId="1" applyFont="1" applyFill="1" applyBorder="1" applyAlignment="1">
      <alignment horizontal="center" vertical="center" wrapText="1"/>
    </xf>
    <xf numFmtId="0" fontId="5" fillId="14" borderId="32" xfId="1" applyFont="1" applyFill="1" applyBorder="1" applyAlignment="1">
      <alignment horizontal="center" vertical="center" wrapText="1"/>
    </xf>
    <xf numFmtId="44" fontId="3" fillId="0" borderId="113" xfId="6" applyFont="1" applyBorder="1" applyAlignment="1" applyProtection="1">
      <alignment horizontal="center" vertical="center"/>
    </xf>
    <xf numFmtId="44" fontId="3" fillId="0" borderId="114" xfId="6" applyFont="1" applyBorder="1" applyAlignment="1" applyProtection="1">
      <alignment horizontal="center" vertical="center"/>
    </xf>
    <xf numFmtId="0" fontId="23" fillId="5" borderId="116" xfId="1" applyFont="1" applyFill="1" applyBorder="1" applyAlignment="1">
      <alignment horizontal="center" vertical="center"/>
    </xf>
    <xf numFmtId="0" fontId="23" fillId="5" borderId="117" xfId="1" applyFont="1" applyFill="1" applyBorder="1" applyAlignment="1">
      <alignment horizontal="center" vertical="center"/>
    </xf>
    <xf numFmtId="0" fontId="23" fillId="5" borderId="119" xfId="1" applyFont="1" applyFill="1" applyBorder="1" applyAlignment="1">
      <alignment horizontal="center" vertical="center"/>
    </xf>
    <xf numFmtId="0" fontId="23" fillId="13" borderId="116" xfId="1" applyFont="1" applyFill="1" applyBorder="1" applyAlignment="1">
      <alignment horizontal="center" vertical="center"/>
    </xf>
    <xf numFmtId="0" fontId="23" fillId="13" borderId="118" xfId="1" applyFont="1" applyFill="1" applyBorder="1" applyAlignment="1">
      <alignment horizontal="center" vertical="center"/>
    </xf>
    <xf numFmtId="44" fontId="5" fillId="6" borderId="122" xfId="1" applyNumberFormat="1" applyFont="1" applyFill="1" applyBorder="1" applyAlignment="1">
      <alignment horizontal="center" vertical="center"/>
    </xf>
    <xf numFmtId="44" fontId="5" fillId="6" borderId="123" xfId="1" applyNumberFormat="1" applyFont="1" applyFill="1" applyBorder="1" applyAlignment="1">
      <alignment horizontal="center" vertical="center"/>
    </xf>
    <xf numFmtId="0" fontId="5" fillId="6" borderId="120" xfId="1" applyFont="1" applyFill="1" applyBorder="1" applyAlignment="1">
      <alignment horizontal="right" vertical="center" indent="1"/>
    </xf>
    <xf numFmtId="0" fontId="5" fillId="6" borderId="121" xfId="1" applyFont="1" applyFill="1" applyBorder="1" applyAlignment="1">
      <alignment horizontal="right" vertical="center" indent="1"/>
    </xf>
    <xf numFmtId="0" fontId="5" fillId="6" borderId="124" xfId="1" applyFont="1" applyFill="1" applyBorder="1" applyAlignment="1">
      <alignment horizontal="right" vertical="center" indent="1"/>
    </xf>
    <xf numFmtId="44" fontId="5" fillId="0" borderId="120" xfId="1" applyNumberFormat="1" applyFont="1" applyBorder="1" applyAlignment="1">
      <alignment horizontal="center" vertical="center"/>
    </xf>
    <xf numFmtId="44" fontId="5" fillId="0" borderId="123" xfId="1" applyNumberFormat="1" applyFont="1" applyBorder="1" applyAlignment="1">
      <alignment horizontal="center" vertical="center"/>
    </xf>
    <xf numFmtId="0" fontId="5" fillId="0" borderId="120" xfId="1" applyFont="1" applyBorder="1" applyAlignment="1">
      <alignment horizontal="right" vertical="center" indent="1"/>
    </xf>
    <xf numFmtId="0" fontId="5" fillId="0" borderId="121" xfId="1" applyFont="1" applyBorder="1" applyAlignment="1">
      <alignment horizontal="right" vertical="center" indent="1"/>
    </xf>
    <xf numFmtId="0" fontId="5" fillId="9" borderId="120" xfId="1" applyFont="1" applyFill="1" applyBorder="1" applyAlignment="1">
      <alignment horizontal="right" vertical="center" indent="1"/>
    </xf>
    <xf numFmtId="0" fontId="5" fillId="9" borderId="121" xfId="1" applyFont="1" applyFill="1" applyBorder="1" applyAlignment="1">
      <alignment horizontal="right" vertical="center" indent="1"/>
    </xf>
    <xf numFmtId="44" fontId="5" fillId="9" borderId="122" xfId="1" applyNumberFormat="1" applyFont="1" applyFill="1" applyBorder="1" applyAlignment="1">
      <alignment horizontal="center" vertical="center"/>
    </xf>
    <xf numFmtId="44" fontId="5" fillId="9" borderId="123" xfId="1" applyNumberFormat="1" applyFont="1" applyFill="1" applyBorder="1" applyAlignment="1">
      <alignment horizontal="center" vertical="center"/>
    </xf>
    <xf numFmtId="0" fontId="5" fillId="7" borderId="89" xfId="1" applyFont="1" applyFill="1" applyBorder="1" applyAlignment="1">
      <alignment horizontal="right" vertical="center" indent="1"/>
    </xf>
    <xf numFmtId="0" fontId="5" fillId="7" borderId="90" xfId="1" applyFont="1" applyFill="1" applyBorder="1" applyAlignment="1">
      <alignment horizontal="right" vertical="center" indent="1"/>
    </xf>
    <xf numFmtId="0" fontId="5" fillId="7" borderId="71" xfId="1" applyFont="1" applyFill="1" applyBorder="1" applyAlignment="1">
      <alignment horizontal="right" vertical="center" indent="1"/>
    </xf>
    <xf numFmtId="0" fontId="5" fillId="7" borderId="13" xfId="1" applyFont="1" applyFill="1" applyBorder="1" applyAlignment="1">
      <alignment horizontal="right" vertical="center" indent="1"/>
    </xf>
    <xf numFmtId="0" fontId="23" fillId="12" borderId="53" xfId="1" applyFont="1" applyFill="1" applyBorder="1" applyAlignment="1">
      <alignment horizontal="center" vertical="center"/>
    </xf>
    <xf numFmtId="0" fontId="23" fillId="12" borderId="25" xfId="1" applyFont="1" applyFill="1" applyBorder="1" applyAlignment="1">
      <alignment horizontal="center" vertical="center"/>
    </xf>
    <xf numFmtId="0" fontId="23" fillId="12" borderId="54" xfId="1" applyFont="1" applyFill="1" applyBorder="1" applyAlignment="1">
      <alignment horizontal="center" vertical="center"/>
    </xf>
    <xf numFmtId="0" fontId="23" fillId="7" borderId="71" xfId="1" applyFont="1" applyFill="1" applyBorder="1" applyAlignment="1">
      <alignment horizontal="right" vertical="center" indent="1"/>
    </xf>
    <xf numFmtId="0" fontId="23" fillId="7" borderId="13" xfId="1" applyFont="1" applyFill="1" applyBorder="1" applyAlignment="1">
      <alignment horizontal="right" vertical="center" indent="1"/>
    </xf>
    <xf numFmtId="44" fontId="1" fillId="14" borderId="48" xfId="1" applyNumberFormat="1" applyFill="1" applyBorder="1" applyAlignment="1">
      <alignment horizontal="center" vertical="center" wrapText="1"/>
    </xf>
    <xf numFmtId="44" fontId="1" fillId="14" borderId="22" xfId="1" applyNumberFormat="1" applyFill="1" applyBorder="1" applyAlignment="1">
      <alignment horizontal="center" vertical="center" wrapText="1"/>
    </xf>
    <xf numFmtId="44" fontId="3" fillId="0" borderId="90" xfId="1" applyNumberFormat="1" applyFont="1" applyBorder="1" applyAlignment="1">
      <alignment horizontal="center" vertical="center" wrapText="1"/>
    </xf>
    <xf numFmtId="44" fontId="3" fillId="0" borderId="91" xfId="1" applyNumberFormat="1" applyFont="1" applyBorder="1" applyAlignment="1">
      <alignment horizontal="center" vertical="center" wrapText="1"/>
    </xf>
    <xf numFmtId="0" fontId="12" fillId="0" borderId="136" xfId="7" applyBorder="1" applyAlignment="1">
      <alignment horizontal="left" vertical="center" wrapText="1" indent="1"/>
    </xf>
    <xf numFmtId="0" fontId="12" fillId="0" borderId="137" xfId="7" applyBorder="1" applyAlignment="1">
      <alignment horizontal="left" vertical="center" wrapText="1" indent="1"/>
    </xf>
    <xf numFmtId="0" fontId="12" fillId="0" borderId="138" xfId="7" applyBorder="1" applyAlignment="1">
      <alignment horizontal="left" vertical="center" wrapText="1" indent="1"/>
    </xf>
    <xf numFmtId="0" fontId="12" fillId="0" borderId="136" xfId="7" applyBorder="1" applyAlignment="1">
      <alignment horizontal="left" vertical="center" indent="1"/>
    </xf>
    <xf numFmtId="0" fontId="12" fillId="0" borderId="137" xfId="7" applyBorder="1" applyAlignment="1">
      <alignment horizontal="left" vertical="center" indent="1"/>
    </xf>
    <xf numFmtId="0" fontId="12" fillId="0" borderId="138" xfId="7" applyBorder="1" applyAlignment="1">
      <alignment horizontal="left" vertical="center" indent="1"/>
    </xf>
  </cellXfs>
  <cellStyles count="8">
    <cellStyle name="Currency" xfId="6" builtinId="4"/>
    <cellStyle name="Currency 2" xfId="2" xr:uid="{00000000-0005-0000-0000-000000000000}"/>
    <cellStyle name="Currency 2 2" xfId="5" xr:uid="{00000000-0005-0000-0000-000001000000}"/>
    <cellStyle name="Hyperlink" xfId="7" builtinId="8"/>
    <cellStyle name="Normal" xfId="0" builtinId="0"/>
    <cellStyle name="Normal 2" xfId="1" xr:uid="{00000000-0005-0000-0000-000003000000}"/>
    <cellStyle name="Normal 2 2" xfId="3" xr:uid="{00000000-0005-0000-0000-000004000000}"/>
    <cellStyle name="Normal 2 2 2" xfId="4" xr:uid="{00000000-0005-0000-0000-000005000000}"/>
  </cellStyles>
  <dxfs count="12">
    <dxf>
      <font>
        <color rgb="FF9C0006"/>
      </font>
      <fill>
        <patternFill>
          <bgColor rgb="FFFFC7CE"/>
        </patternFill>
      </fill>
    </dxf>
    <dxf>
      <font>
        <color rgb="FF006100"/>
      </font>
      <fill>
        <patternFill>
          <bgColor rgb="FFC6EFCE"/>
        </patternFill>
      </fill>
    </dxf>
    <dxf>
      <font>
        <color rgb="FF9C0006"/>
      </font>
      <fill>
        <patternFill patternType="none">
          <bgColor auto="1"/>
        </patternFill>
      </fill>
    </dxf>
    <dxf>
      <font>
        <color rgb="FF006100"/>
      </font>
      <fill>
        <patternFill patternType="none">
          <bgColor auto="1"/>
        </patternFill>
      </fill>
    </dxf>
    <dxf>
      <font>
        <color rgb="FF006100"/>
      </font>
      <fill>
        <patternFill>
          <bgColor rgb="FFC6EFCE"/>
        </patternFill>
      </fill>
    </dxf>
    <dxf>
      <font>
        <color rgb="FF9C0006"/>
      </font>
      <fill>
        <patternFill>
          <bgColor rgb="FFFFC7CE"/>
        </patternFill>
      </fill>
    </dxf>
    <dxf>
      <font>
        <color rgb="FF9C0006"/>
      </font>
      <fill>
        <patternFill patternType="none">
          <bgColor auto="1"/>
        </patternFill>
      </fill>
    </dxf>
    <dxf>
      <font>
        <color rgb="FF006100"/>
      </font>
      <fill>
        <patternFill patternType="none">
          <bgColor auto="1"/>
        </patternFill>
      </fill>
    </dxf>
    <dxf>
      <font>
        <color rgb="FF9C0006"/>
      </font>
      <fill>
        <patternFill>
          <bgColor rgb="FFFFC7CE"/>
        </patternFill>
      </fill>
    </dxf>
    <dxf>
      <font>
        <color rgb="FF006100"/>
      </font>
      <fill>
        <patternFill>
          <bgColor rgb="FFC6EFCE"/>
        </patternFill>
      </fill>
    </dxf>
    <dxf>
      <font>
        <color theme="9" tint="-0.24994659260841701"/>
      </font>
    </dxf>
    <dxf>
      <font>
        <color rgb="FFC00000"/>
      </font>
    </dxf>
  </dxfs>
  <tableStyles count="0" defaultTableStyle="TableStyleMedium2" defaultPivotStyle="PivotStyleLight16"/>
  <colors>
    <mruColors>
      <color rgb="FF0066FF"/>
      <color rgb="FFFFCCFF"/>
      <color rgb="FFCC99FF"/>
      <color rgb="FFFFE1FF"/>
      <color rgb="FFFFFFCC"/>
      <color rgb="FF0000FF"/>
      <color rgb="FFFFFF66"/>
      <color rgb="FFFFFF99"/>
      <color rgb="FF05908D"/>
      <color rgb="FFDEFEF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8</xdr:col>
      <xdr:colOff>1889760</xdr:colOff>
      <xdr:row>0</xdr:row>
      <xdr:rowOff>60960</xdr:rowOff>
    </xdr:from>
    <xdr:to>
      <xdr:col>9</xdr:col>
      <xdr:colOff>1974940</xdr:colOff>
      <xdr:row>0</xdr:row>
      <xdr:rowOff>330960</xdr:rowOff>
    </xdr:to>
    <xdr:pic>
      <xdr:nvPicPr>
        <xdr:cNvPr id="3" name="Picture 2">
          <a:extLst>
            <a:ext uri="{FF2B5EF4-FFF2-40B4-BE49-F238E27FC236}">
              <a16:creationId xmlns:a16="http://schemas.microsoft.com/office/drawing/2014/main" id="{C64E4FD0-2636-48FD-9E72-86C5E2FD4F1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574780" y="60960"/>
          <a:ext cx="2188300" cy="27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bfi.org.uk/get-funding-support/create-films-tv-or-new-formats-storytelling/future-takes/applying-bfi-film4-future-takes" TargetMode="External"/><Relationship Id="rId2" Type="http://schemas.openxmlformats.org/officeDocument/2006/relationships/hyperlink" Target="https://www.bfi.org.uk/get-funding-support/get-access-support-apply-bfi-funds" TargetMode="External"/><Relationship Id="rId1" Type="http://schemas.openxmlformats.org/officeDocument/2006/relationships/hyperlink" Target="https://inbfi.sharepoint.com/sites/LFFilmmaking/Drafts%20-%20Deliverables,%20Guidance%20&amp;%20Agreements/Draft%20Templates/Current%20Hourly%20Rate:%20https:/www.london.gov.uk/programmes-strategies/business-and-economy/london-living-wage/" TargetMode="External"/><Relationship Id="rId4" Type="http://schemas.openxmlformats.org/officeDocument/2006/relationships/hyperlink" Target="https://www.bfi.org.uk/get-funding-support/create-films-tv-or-new-formats-storytelling/future-takes/applying-bfi-film4-future-take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D7214-F8F9-4B90-B243-CBEC06521EF7}">
  <sheetPr>
    <tabColor theme="0" tint="-0.14999847407452621"/>
  </sheetPr>
  <dimension ref="A1:O109"/>
  <sheetViews>
    <sheetView tabSelected="1" workbookViewId="0">
      <pane ySplit="1" topLeftCell="A37" activePane="bottomLeft" state="frozen"/>
      <selection pane="bottomLeft" activeCell="E48" sqref="E48:K48"/>
    </sheetView>
  </sheetViews>
  <sheetFormatPr defaultColWidth="0" defaultRowHeight="0" customHeight="1" zeroHeight="1" x14ac:dyDescent="0.3"/>
  <cols>
    <col min="1" max="3" width="2.21875" style="231" customWidth="1"/>
    <col min="4" max="4" width="2.21875" style="290" customWidth="1"/>
    <col min="5" max="5" width="45.77734375" style="291" customWidth="1"/>
    <col min="6" max="6" width="2.21875" style="291" customWidth="1"/>
    <col min="7" max="7" width="45.77734375" style="290" customWidth="1"/>
    <col min="8" max="8" width="2.21875" style="290" customWidth="1"/>
    <col min="9" max="9" width="45.77734375" style="290" customWidth="1"/>
    <col min="10" max="10" width="2.21875" style="290" customWidth="1"/>
    <col min="11" max="11" width="45.77734375" style="231" customWidth="1"/>
    <col min="12" max="14" width="2.21875" style="231" customWidth="1"/>
    <col min="15" max="15" width="0" style="231" hidden="1" customWidth="1"/>
    <col min="16" max="16384" width="8.77734375" style="231" hidden="1"/>
  </cols>
  <sheetData>
    <row r="1" spans="1:14" ht="25.2" customHeight="1" x14ac:dyDescent="0.3">
      <c r="A1" s="364" t="s">
        <v>0</v>
      </c>
      <c r="B1" s="364"/>
      <c r="C1" s="364"/>
      <c r="D1" s="364"/>
      <c r="E1" s="364"/>
      <c r="F1" s="364"/>
      <c r="G1" s="364"/>
      <c r="H1" s="364"/>
      <c r="I1" s="364"/>
      <c r="J1" s="364"/>
      <c r="K1" s="364"/>
      <c r="L1" s="364"/>
      <c r="M1" s="364"/>
      <c r="N1" s="230"/>
    </row>
    <row r="2" spans="1:14" ht="34.950000000000003" customHeight="1" x14ac:dyDescent="0.3">
      <c r="A2" s="365" t="s">
        <v>1</v>
      </c>
      <c r="B2" s="366"/>
      <c r="C2" s="366"/>
      <c r="D2" s="366"/>
      <c r="E2" s="366"/>
      <c r="F2" s="366"/>
      <c r="G2" s="366"/>
      <c r="H2" s="366"/>
      <c r="I2" s="366"/>
      <c r="J2" s="366"/>
      <c r="K2" s="366"/>
      <c r="L2" s="366"/>
      <c r="M2" s="366"/>
      <c r="N2" s="366"/>
    </row>
    <row r="3" spans="1:14" ht="25.2" customHeight="1" x14ac:dyDescent="0.3">
      <c r="A3" s="372" t="s">
        <v>2</v>
      </c>
      <c r="B3" s="372"/>
      <c r="C3" s="372"/>
      <c r="D3" s="372"/>
      <c r="E3" s="372"/>
      <c r="F3" s="372"/>
      <c r="G3" s="372"/>
      <c r="H3" s="372"/>
      <c r="I3" s="372"/>
      <c r="J3" s="372"/>
      <c r="K3" s="372"/>
      <c r="L3" s="372"/>
      <c r="M3" s="372"/>
      <c r="N3" s="372"/>
    </row>
    <row r="4" spans="1:14" ht="25.2" customHeight="1" thickBot="1" x14ac:dyDescent="0.35">
      <c r="A4" s="367" t="s">
        <v>0</v>
      </c>
      <c r="B4" s="368"/>
      <c r="C4" s="368"/>
      <c r="D4" s="368"/>
      <c r="E4" s="368"/>
      <c r="F4" s="368"/>
      <c r="G4" s="368"/>
      <c r="H4" s="368"/>
      <c r="I4" s="368"/>
      <c r="J4" s="368"/>
      <c r="K4" s="368"/>
      <c r="L4" s="368"/>
      <c r="M4" s="368"/>
      <c r="N4" s="369"/>
    </row>
    <row r="5" spans="1:14" ht="10.199999999999999" customHeight="1" thickTop="1" x14ac:dyDescent="0.3">
      <c r="A5" s="370"/>
      <c r="B5" s="371"/>
      <c r="C5" s="371"/>
      <c r="D5" s="371"/>
      <c r="E5" s="371"/>
      <c r="F5" s="371"/>
      <c r="G5" s="371"/>
      <c r="H5" s="371"/>
      <c r="I5" s="371"/>
      <c r="J5" s="371"/>
      <c r="K5" s="371"/>
      <c r="L5" s="371"/>
      <c r="M5" s="371"/>
      <c r="N5" s="371"/>
    </row>
    <row r="6" spans="1:14" ht="19.95" customHeight="1" x14ac:dyDescent="0.45">
      <c r="A6" s="232"/>
      <c r="B6" s="233"/>
      <c r="C6" s="233"/>
      <c r="D6" s="233"/>
      <c r="E6" s="292" t="s">
        <v>3</v>
      </c>
      <c r="F6" s="292"/>
      <c r="G6" s="293" t="str">
        <f>A41</f>
        <v>Budget Breakdown</v>
      </c>
      <c r="H6" s="293"/>
      <c r="I6" s="294" t="str">
        <f>A87</f>
        <v>Access Budget</v>
      </c>
      <c r="J6" s="294"/>
      <c r="K6" s="295"/>
      <c r="L6" s="232"/>
      <c r="M6" s="232"/>
      <c r="N6" s="232"/>
    </row>
    <row r="7" spans="1:14" ht="19.95" customHeight="1" x14ac:dyDescent="0.3">
      <c r="A7" s="232"/>
      <c r="B7" s="232"/>
      <c r="C7" s="232"/>
      <c r="D7" s="232"/>
      <c r="E7" s="296" t="str">
        <f>D24</f>
        <v>Project &amp; Team Information</v>
      </c>
      <c r="F7" s="296"/>
      <c r="G7" s="296" t="str">
        <f>D46</f>
        <v>Completing the budget</v>
      </c>
      <c r="H7" s="296"/>
      <c r="I7" s="296" t="str">
        <f>D92</f>
        <v>Updating the access budget</v>
      </c>
      <c r="J7" s="296"/>
      <c r="K7" s="296"/>
      <c r="L7" s="232"/>
      <c r="M7" s="232"/>
      <c r="N7" s="232"/>
    </row>
    <row r="8" spans="1:14" ht="19.95" customHeight="1" x14ac:dyDescent="0.3">
      <c r="A8" s="232"/>
      <c r="B8" s="232"/>
      <c r="C8" s="232"/>
      <c r="D8" s="232"/>
      <c r="E8" s="296" t="str">
        <f>D31</f>
        <v>Finance Plan</v>
      </c>
      <c r="F8" s="296"/>
      <c r="G8" s="296" t="str">
        <f>D50</f>
        <v>Additional support</v>
      </c>
      <c r="H8" s="296"/>
      <c r="I8" s="296" t="str">
        <f>D96</f>
        <v>Example costs</v>
      </c>
      <c r="J8" s="296"/>
      <c r="K8" s="296"/>
      <c r="L8" s="232"/>
      <c r="M8" s="232"/>
      <c r="N8" s="232"/>
    </row>
    <row r="9" spans="1:14" ht="19.95" customHeight="1" x14ac:dyDescent="0.3">
      <c r="A9" s="232"/>
      <c r="B9" s="232"/>
      <c r="C9" s="232"/>
      <c r="D9" s="232"/>
      <c r="E9" s="296" t="str">
        <f>D35</f>
        <v>In kind support</v>
      </c>
      <c r="F9" s="296"/>
      <c r="G9" s="296" t="str">
        <f>D55</f>
        <v>London Living Wage</v>
      </c>
      <c r="H9" s="296"/>
      <c r="I9" s="297"/>
      <c r="J9" s="297"/>
      <c r="K9" s="296"/>
      <c r="L9" s="232"/>
      <c r="M9" s="232"/>
      <c r="N9" s="232"/>
    </row>
    <row r="10" spans="1:14" ht="19.95" customHeight="1" x14ac:dyDescent="0.3">
      <c r="A10" s="232"/>
      <c r="B10" s="232"/>
      <c r="C10" s="232"/>
      <c r="D10" s="232"/>
      <c r="E10" s="298"/>
      <c r="F10" s="298"/>
      <c r="G10" s="296" t="str">
        <f>D59</f>
        <v>Student Placements</v>
      </c>
      <c r="H10" s="296"/>
      <c r="I10" s="297"/>
      <c r="J10" s="297"/>
      <c r="K10" s="298"/>
      <c r="L10" s="232"/>
      <c r="M10" s="232"/>
      <c r="N10" s="232"/>
    </row>
    <row r="11" spans="1:14" ht="19.95" customHeight="1" x14ac:dyDescent="0.3">
      <c r="A11" s="232"/>
      <c r="B11" s="232"/>
      <c r="C11" s="232"/>
      <c r="D11" s="232"/>
      <c r="E11" s="298"/>
      <c r="F11" s="298"/>
      <c r="G11" s="296" t="str">
        <f>D64</f>
        <v>Above the line / core team fees</v>
      </c>
      <c r="H11" s="296"/>
      <c r="I11" s="297"/>
      <c r="J11" s="297"/>
      <c r="K11" s="298"/>
      <c r="L11" s="232"/>
      <c r="M11" s="232"/>
      <c r="N11" s="232"/>
    </row>
    <row r="12" spans="1:14" ht="19.95" customHeight="1" x14ac:dyDescent="0.3">
      <c r="A12" s="232"/>
      <c r="B12" s="232"/>
      <c r="C12" s="232"/>
      <c r="D12" s="232"/>
      <c r="E12" s="298"/>
      <c r="F12" s="298"/>
      <c r="G12" s="296" t="str">
        <f>D67</f>
        <v>Flat rates</v>
      </c>
      <c r="H12" s="296"/>
      <c r="I12" s="299"/>
      <c r="J12" s="299"/>
      <c r="K12" s="298"/>
      <c r="L12" s="232"/>
      <c r="M12" s="232"/>
      <c r="N12" s="232"/>
    </row>
    <row r="13" spans="1:14" ht="19.95" customHeight="1" x14ac:dyDescent="0.3">
      <c r="A13" s="232"/>
      <c r="B13" s="232"/>
      <c r="C13" s="232"/>
      <c r="D13" s="232"/>
      <c r="E13" s="298"/>
      <c r="F13" s="298"/>
      <c r="G13" s="296" t="str">
        <f>D71</f>
        <v>Deliverables</v>
      </c>
      <c r="H13" s="296"/>
      <c r="I13" s="299"/>
      <c r="J13" s="299"/>
      <c r="K13" s="298"/>
      <c r="L13" s="232"/>
      <c r="M13" s="232"/>
      <c r="N13" s="232"/>
    </row>
    <row r="14" spans="1:14" ht="19.95" customHeight="1" x14ac:dyDescent="0.3">
      <c r="A14" s="232"/>
      <c r="B14" s="232"/>
      <c r="C14" s="232"/>
      <c r="D14" s="232"/>
      <c r="E14" s="298"/>
      <c r="F14" s="298"/>
      <c r="G14" s="296" t="str">
        <f>D75</f>
        <v>Legal Fees</v>
      </c>
      <c r="H14" s="296"/>
      <c r="I14" s="299"/>
      <c r="J14" s="299"/>
      <c r="K14" s="298"/>
      <c r="L14" s="232"/>
      <c r="M14" s="232"/>
      <c r="N14" s="232"/>
    </row>
    <row r="15" spans="1:14" ht="19.95" customHeight="1" x14ac:dyDescent="0.3">
      <c r="A15" s="232"/>
      <c r="B15" s="232"/>
      <c r="C15" s="232"/>
      <c r="D15" s="232"/>
      <c r="E15" s="298"/>
      <c r="F15" s="298"/>
      <c r="G15" s="296" t="str">
        <f>D79</f>
        <v>Insurance</v>
      </c>
      <c r="H15" s="296"/>
      <c r="I15" s="299"/>
      <c r="J15" s="299"/>
      <c r="K15" s="298"/>
      <c r="L15" s="232"/>
      <c r="M15" s="232"/>
      <c r="N15" s="232"/>
    </row>
    <row r="16" spans="1:14" ht="19.95" customHeight="1" x14ac:dyDescent="0.3">
      <c r="A16" s="232"/>
      <c r="B16" s="232"/>
      <c r="C16" s="232"/>
      <c r="D16" s="232"/>
      <c r="E16" s="298"/>
      <c r="F16" s="298"/>
      <c r="G16" s="296" t="str">
        <f>D82</f>
        <v>Contingency</v>
      </c>
      <c r="H16" s="296"/>
      <c r="I16" s="299"/>
      <c r="J16" s="299"/>
      <c r="K16" s="298"/>
      <c r="L16" s="232"/>
      <c r="M16" s="232"/>
      <c r="N16" s="232"/>
    </row>
    <row r="17" spans="1:14" ht="19.95" customHeight="1" x14ac:dyDescent="0.3">
      <c r="A17" s="232"/>
      <c r="B17" s="232"/>
      <c r="C17" s="232"/>
      <c r="D17" s="232"/>
      <c r="E17" s="298"/>
      <c r="F17" s="298"/>
      <c r="G17" s="299"/>
      <c r="H17" s="296"/>
      <c r="I17" s="299"/>
      <c r="J17" s="299"/>
      <c r="K17" s="298"/>
      <c r="L17" s="232"/>
      <c r="M17" s="232"/>
      <c r="N17" s="232"/>
    </row>
    <row r="18" spans="1:14" ht="10.199999999999999" customHeight="1" thickBot="1" x14ac:dyDescent="0.35">
      <c r="A18" s="302"/>
      <c r="B18" s="303"/>
      <c r="C18" s="303"/>
      <c r="D18" s="303"/>
      <c r="E18" s="303"/>
      <c r="F18" s="303"/>
      <c r="G18" s="303"/>
      <c r="H18" s="303"/>
      <c r="I18" s="303"/>
      <c r="J18" s="303"/>
      <c r="K18" s="303"/>
      <c r="L18" s="303"/>
      <c r="M18" s="303"/>
      <c r="N18" s="303"/>
    </row>
    <row r="19" spans="1:14" ht="25.2" customHeight="1" thickTop="1" thickBot="1" x14ac:dyDescent="0.35">
      <c r="A19" s="306" t="s">
        <v>3</v>
      </c>
      <c r="B19" s="307"/>
      <c r="C19" s="307"/>
      <c r="D19" s="307"/>
      <c r="E19" s="307"/>
      <c r="F19" s="307"/>
      <c r="G19" s="307"/>
      <c r="H19" s="307"/>
      <c r="I19" s="307"/>
      <c r="J19" s="307"/>
      <c r="K19" s="307"/>
      <c r="L19" s="307"/>
      <c r="M19" s="307"/>
      <c r="N19" s="308"/>
    </row>
    <row r="20" spans="1:14" ht="10.199999999999999" customHeight="1" thickTop="1" x14ac:dyDescent="0.3">
      <c r="A20" s="234"/>
      <c r="B20" s="235"/>
      <c r="C20" s="236"/>
      <c r="D20" s="237"/>
      <c r="E20" s="238"/>
      <c r="F20" s="238"/>
      <c r="G20" s="237"/>
      <c r="H20" s="237"/>
      <c r="I20" s="237"/>
      <c r="J20" s="237"/>
      <c r="K20" s="239"/>
      <c r="L20" s="239"/>
      <c r="M20" s="240"/>
      <c r="N20" s="241"/>
    </row>
    <row r="21" spans="1:14" ht="55.2" customHeight="1" x14ac:dyDescent="0.3">
      <c r="A21" s="242"/>
      <c r="B21" s="243"/>
      <c r="C21" s="304" t="s">
        <v>4</v>
      </c>
      <c r="D21" s="304"/>
      <c r="E21" s="304"/>
      <c r="F21" s="304"/>
      <c r="G21" s="304"/>
      <c r="H21" s="304"/>
      <c r="I21" s="304"/>
      <c r="J21" s="304"/>
      <c r="K21" s="304"/>
      <c r="L21" s="304"/>
      <c r="M21" s="244"/>
      <c r="N21" s="241"/>
    </row>
    <row r="22" spans="1:14" ht="4.95" customHeight="1" x14ac:dyDescent="0.3">
      <c r="A22" s="234"/>
      <c r="B22" s="245"/>
      <c r="C22" s="305"/>
      <c r="D22" s="305"/>
      <c r="E22" s="305"/>
      <c r="F22" s="305"/>
      <c r="G22" s="305"/>
      <c r="H22" s="305"/>
      <c r="I22" s="305"/>
      <c r="J22" s="305"/>
      <c r="K22" s="305"/>
      <c r="L22" s="246"/>
      <c r="M22" s="244"/>
      <c r="N22" s="241"/>
    </row>
    <row r="23" spans="1:14" ht="10.199999999999999" customHeight="1" thickBot="1" x14ac:dyDescent="0.35">
      <c r="A23" s="234"/>
      <c r="B23" s="245"/>
      <c r="C23" s="247"/>
      <c r="D23" s="248"/>
      <c r="E23" s="249"/>
      <c r="F23" s="249"/>
      <c r="G23" s="248"/>
      <c r="H23" s="248"/>
      <c r="I23" s="248"/>
      <c r="J23" s="248"/>
      <c r="K23" s="250"/>
      <c r="L23" s="250"/>
      <c r="M23" s="251"/>
      <c r="N23" s="241"/>
    </row>
    <row r="24" spans="1:14" ht="25.2" customHeight="1" thickTop="1" thickBot="1" x14ac:dyDescent="0.35">
      <c r="A24" s="252"/>
      <c r="B24" s="253"/>
      <c r="C24" s="254"/>
      <c r="D24" s="315" t="s">
        <v>5</v>
      </c>
      <c r="E24" s="316"/>
      <c r="F24" s="316"/>
      <c r="G24" s="316"/>
      <c r="H24" s="316"/>
      <c r="I24" s="316"/>
      <c r="J24" s="316"/>
      <c r="K24" s="317"/>
      <c r="L24" s="254"/>
      <c r="M24" s="255"/>
      <c r="N24" s="241"/>
    </row>
    <row r="25" spans="1:14" ht="25.2" customHeight="1" thickTop="1" x14ac:dyDescent="0.3">
      <c r="A25" s="234"/>
      <c r="B25" s="245"/>
      <c r="C25" s="250"/>
      <c r="D25" s="256"/>
      <c r="E25" s="318" t="s">
        <v>6</v>
      </c>
      <c r="F25" s="319"/>
      <c r="G25" s="319"/>
      <c r="H25" s="257"/>
      <c r="I25" s="319" t="s">
        <v>7</v>
      </c>
      <c r="J25" s="319"/>
      <c r="K25" s="322"/>
      <c r="L25" s="250"/>
      <c r="M25" s="258"/>
      <c r="N25" s="241"/>
    </row>
    <row r="26" spans="1:14" ht="25.2" customHeight="1" x14ac:dyDescent="0.3">
      <c r="A26" s="234"/>
      <c r="B26" s="245"/>
      <c r="C26" s="250"/>
      <c r="D26" s="256"/>
      <c r="E26" s="320" t="s">
        <v>8</v>
      </c>
      <c r="F26" s="321"/>
      <c r="G26" s="321"/>
      <c r="H26" s="259"/>
      <c r="I26" s="321" t="s">
        <v>9</v>
      </c>
      <c r="J26" s="321"/>
      <c r="K26" s="346"/>
      <c r="L26" s="250"/>
      <c r="M26" s="258"/>
      <c r="N26" s="241"/>
    </row>
    <row r="27" spans="1:14" ht="25.2" customHeight="1" x14ac:dyDescent="0.3">
      <c r="A27" s="234"/>
      <c r="B27" s="245"/>
      <c r="C27" s="250"/>
      <c r="D27" s="256"/>
      <c r="E27" s="320" t="s">
        <v>10</v>
      </c>
      <c r="F27" s="321"/>
      <c r="G27" s="321"/>
      <c r="H27" s="259"/>
      <c r="I27" s="321" t="s">
        <v>11</v>
      </c>
      <c r="J27" s="321"/>
      <c r="K27" s="346"/>
      <c r="L27" s="250"/>
      <c r="M27" s="258"/>
      <c r="N27" s="241"/>
    </row>
    <row r="28" spans="1:14" ht="25.2" customHeight="1" x14ac:dyDescent="0.3">
      <c r="A28" s="234"/>
      <c r="B28" s="245"/>
      <c r="C28" s="250"/>
      <c r="D28" s="256"/>
      <c r="E28" s="320" t="s">
        <v>12</v>
      </c>
      <c r="F28" s="321"/>
      <c r="G28" s="321"/>
      <c r="H28" s="259"/>
      <c r="I28" s="321" t="s">
        <v>13</v>
      </c>
      <c r="J28" s="321"/>
      <c r="K28" s="346"/>
      <c r="L28" s="250"/>
      <c r="M28" s="258"/>
      <c r="N28" s="241"/>
    </row>
    <row r="29" spans="1:14" ht="25.2" customHeight="1" thickBot="1" x14ac:dyDescent="0.35">
      <c r="A29" s="234"/>
      <c r="B29" s="245"/>
      <c r="C29" s="250"/>
      <c r="D29" s="256"/>
      <c r="E29" s="362" t="s">
        <v>14</v>
      </c>
      <c r="F29" s="363"/>
      <c r="G29" s="363"/>
      <c r="H29" s="260"/>
      <c r="I29" s="260"/>
      <c r="J29" s="260"/>
      <c r="K29" s="261"/>
      <c r="L29" s="250"/>
      <c r="M29" s="258"/>
      <c r="N29" s="241"/>
    </row>
    <row r="30" spans="1:14" ht="10.199999999999999" customHeight="1" thickTop="1" thickBot="1" x14ac:dyDescent="0.35">
      <c r="A30" s="234"/>
      <c r="B30" s="245"/>
      <c r="C30" s="247"/>
      <c r="D30" s="249"/>
      <c r="E30" s="262"/>
      <c r="F30" s="262"/>
      <c r="G30" s="249"/>
      <c r="H30" s="249"/>
      <c r="I30" s="249"/>
      <c r="J30" s="249"/>
      <c r="K30" s="256"/>
      <c r="L30" s="250"/>
      <c r="M30" s="251"/>
      <c r="N30" s="241"/>
    </row>
    <row r="31" spans="1:14" ht="25.2" customHeight="1" thickTop="1" thickBot="1" x14ac:dyDescent="0.35">
      <c r="A31" s="252"/>
      <c r="B31" s="253"/>
      <c r="C31" s="254"/>
      <c r="D31" s="315" t="s">
        <v>15</v>
      </c>
      <c r="E31" s="316"/>
      <c r="F31" s="316"/>
      <c r="G31" s="316"/>
      <c r="H31" s="316"/>
      <c r="I31" s="316"/>
      <c r="J31" s="316"/>
      <c r="K31" s="317"/>
      <c r="L31" s="254"/>
      <c r="M31" s="255"/>
      <c r="N31" s="241"/>
    </row>
    <row r="32" spans="1:14" ht="25.2" customHeight="1" thickTop="1" x14ac:dyDescent="0.3">
      <c r="A32" s="234"/>
      <c r="B32" s="245"/>
      <c r="C32" s="250"/>
      <c r="D32" s="256"/>
      <c r="E32" s="318" t="s">
        <v>16</v>
      </c>
      <c r="F32" s="319"/>
      <c r="G32" s="319"/>
      <c r="H32" s="319"/>
      <c r="I32" s="319"/>
      <c r="J32" s="319"/>
      <c r="K32" s="322"/>
      <c r="L32" s="250"/>
      <c r="M32" s="258"/>
      <c r="N32" s="241"/>
    </row>
    <row r="33" spans="1:14" ht="52.5" customHeight="1" x14ac:dyDescent="0.3">
      <c r="A33" s="234"/>
      <c r="B33" s="245"/>
      <c r="C33" s="250"/>
      <c r="D33" s="256"/>
      <c r="E33" s="323" t="s">
        <v>17</v>
      </c>
      <c r="F33" s="324"/>
      <c r="G33" s="324"/>
      <c r="H33" s="324"/>
      <c r="I33" s="324"/>
      <c r="J33" s="324"/>
      <c r="K33" s="325"/>
      <c r="L33" s="250"/>
      <c r="M33" s="258"/>
      <c r="N33" s="241"/>
    </row>
    <row r="34" spans="1:14" ht="10.199999999999999" customHeight="1" x14ac:dyDescent="0.3">
      <c r="A34" s="234"/>
      <c r="B34" s="245"/>
      <c r="C34" s="247"/>
      <c r="D34" s="249"/>
      <c r="E34" s="262"/>
      <c r="F34" s="262"/>
      <c r="G34" s="249"/>
      <c r="H34" s="249"/>
      <c r="I34" s="249"/>
      <c r="J34" s="249"/>
      <c r="K34" s="256"/>
      <c r="L34" s="250"/>
      <c r="M34" s="251"/>
      <c r="N34" s="241"/>
    </row>
    <row r="35" spans="1:14" ht="25.2" customHeight="1" thickTop="1" thickBot="1" x14ac:dyDescent="0.35">
      <c r="A35" s="252"/>
      <c r="B35" s="253"/>
      <c r="C35" s="254"/>
      <c r="D35" s="315" t="s">
        <v>18</v>
      </c>
      <c r="E35" s="316"/>
      <c r="F35" s="316"/>
      <c r="G35" s="316"/>
      <c r="H35" s="316"/>
      <c r="I35" s="316"/>
      <c r="J35" s="316"/>
      <c r="K35" s="317"/>
      <c r="L35" s="254"/>
      <c r="M35" s="255"/>
      <c r="N35" s="241"/>
    </row>
    <row r="36" spans="1:14" ht="40.200000000000003" customHeight="1" thickTop="1" x14ac:dyDescent="0.3">
      <c r="A36" s="234"/>
      <c r="B36" s="245"/>
      <c r="C36" s="247"/>
      <c r="D36" s="256"/>
      <c r="E36" s="312" t="s">
        <v>19</v>
      </c>
      <c r="F36" s="313"/>
      <c r="G36" s="313"/>
      <c r="H36" s="313"/>
      <c r="I36" s="313"/>
      <c r="J36" s="313"/>
      <c r="K36" s="314"/>
      <c r="L36" s="250"/>
      <c r="M36" s="251"/>
      <c r="N36" s="241"/>
    </row>
    <row r="37" spans="1:14" ht="40.200000000000003" customHeight="1" thickBot="1" x14ac:dyDescent="0.35">
      <c r="A37" s="234"/>
      <c r="B37" s="245"/>
      <c r="C37" s="247"/>
      <c r="D37" s="256"/>
      <c r="E37" s="309" t="s">
        <v>20</v>
      </c>
      <c r="F37" s="310"/>
      <c r="G37" s="310"/>
      <c r="H37" s="310"/>
      <c r="I37" s="310"/>
      <c r="J37" s="310"/>
      <c r="K37" s="311"/>
      <c r="L37" s="250"/>
      <c r="M37" s="251"/>
      <c r="N37" s="241"/>
    </row>
    <row r="38" spans="1:14" ht="10.199999999999999" customHeight="1" thickTop="1" x14ac:dyDescent="0.3">
      <c r="A38" s="234"/>
      <c r="B38" s="245"/>
      <c r="C38" s="247"/>
      <c r="D38" s="248"/>
      <c r="E38" s="249"/>
      <c r="F38" s="249"/>
      <c r="G38" s="248"/>
      <c r="H38" s="248"/>
      <c r="I38" s="248"/>
      <c r="J38" s="248"/>
      <c r="K38" s="250"/>
      <c r="L38" s="250"/>
      <c r="M38" s="251"/>
      <c r="N38" s="241"/>
    </row>
    <row r="39" spans="1:14" ht="10.199999999999999" customHeight="1" thickBot="1" x14ac:dyDescent="0.35">
      <c r="A39" s="263"/>
      <c r="B39" s="264"/>
      <c r="C39" s="264"/>
      <c r="D39" s="265"/>
      <c r="E39" s="266"/>
      <c r="F39" s="266"/>
      <c r="G39" s="265"/>
      <c r="H39" s="265"/>
      <c r="I39" s="265"/>
      <c r="J39" s="265"/>
      <c r="K39" s="264"/>
      <c r="L39" s="264"/>
      <c r="M39" s="264"/>
      <c r="N39" s="267"/>
    </row>
    <row r="40" spans="1:14" ht="10.199999999999999" customHeight="1" thickTop="1" thickBot="1" x14ac:dyDescent="0.35">
      <c r="A40" s="268"/>
      <c r="B40" s="250"/>
      <c r="C40" s="250"/>
      <c r="D40" s="250"/>
      <c r="E40" s="256"/>
      <c r="F40" s="256"/>
      <c r="G40" s="250"/>
      <c r="H40" s="250"/>
      <c r="I40" s="250"/>
      <c r="J40" s="250"/>
      <c r="K40" s="250"/>
      <c r="L40" s="250"/>
      <c r="M40" s="250"/>
      <c r="N40" s="250"/>
    </row>
    <row r="41" spans="1:14" ht="25.2" customHeight="1" thickTop="1" thickBot="1" x14ac:dyDescent="0.35">
      <c r="A41" s="373" t="s">
        <v>21</v>
      </c>
      <c r="B41" s="374"/>
      <c r="C41" s="374"/>
      <c r="D41" s="374"/>
      <c r="E41" s="374"/>
      <c r="F41" s="374"/>
      <c r="G41" s="374"/>
      <c r="H41" s="374"/>
      <c r="I41" s="374"/>
      <c r="J41" s="374"/>
      <c r="K41" s="374"/>
      <c r="L41" s="374"/>
      <c r="M41" s="374"/>
      <c r="N41" s="375"/>
    </row>
    <row r="42" spans="1:14" ht="10.199999999999999" customHeight="1" thickTop="1" x14ac:dyDescent="0.3">
      <c r="A42" s="269"/>
      <c r="B42" s="235"/>
      <c r="C42" s="236"/>
      <c r="D42" s="237"/>
      <c r="E42" s="238"/>
      <c r="F42" s="238"/>
      <c r="G42" s="237"/>
      <c r="H42" s="237"/>
      <c r="I42" s="237"/>
      <c r="J42" s="237"/>
      <c r="K42" s="239"/>
      <c r="L42" s="239"/>
      <c r="M42" s="240"/>
      <c r="N42" s="270"/>
    </row>
    <row r="43" spans="1:14" ht="55.2" customHeight="1" x14ac:dyDescent="0.3">
      <c r="A43" s="269"/>
      <c r="B43" s="243"/>
      <c r="C43" s="304" t="s">
        <v>22</v>
      </c>
      <c r="D43" s="304"/>
      <c r="E43" s="304"/>
      <c r="F43" s="304"/>
      <c r="G43" s="304"/>
      <c r="H43" s="304"/>
      <c r="I43" s="304"/>
      <c r="J43" s="304"/>
      <c r="K43" s="304"/>
      <c r="L43" s="304"/>
      <c r="M43" s="244"/>
      <c r="N43" s="270"/>
    </row>
    <row r="44" spans="1:14" ht="4.95" customHeight="1" x14ac:dyDescent="0.3">
      <c r="A44" s="269"/>
      <c r="B44" s="245"/>
      <c r="C44" s="305"/>
      <c r="D44" s="305"/>
      <c r="E44" s="305"/>
      <c r="F44" s="305"/>
      <c r="G44" s="305"/>
      <c r="H44" s="305"/>
      <c r="I44" s="305"/>
      <c r="J44" s="305"/>
      <c r="K44" s="305"/>
      <c r="L44" s="246"/>
      <c r="M44" s="244"/>
      <c r="N44" s="270"/>
    </row>
    <row r="45" spans="1:14" ht="10.199999999999999" customHeight="1" x14ac:dyDescent="0.3">
      <c r="A45" s="269"/>
      <c r="B45" s="245"/>
      <c r="C45" s="247"/>
      <c r="D45" s="248"/>
      <c r="E45" s="249"/>
      <c r="F45" s="249"/>
      <c r="G45" s="248"/>
      <c r="H45" s="248"/>
      <c r="I45" s="248"/>
      <c r="J45" s="248"/>
      <c r="K45" s="250"/>
      <c r="L45" s="250"/>
      <c r="M45" s="251"/>
      <c r="N45" s="270"/>
    </row>
    <row r="46" spans="1:14" ht="25.2" customHeight="1" x14ac:dyDescent="0.3">
      <c r="A46" s="271"/>
      <c r="B46" s="253"/>
      <c r="C46" s="254"/>
      <c r="D46" s="329" t="s">
        <v>23</v>
      </c>
      <c r="E46" s="332"/>
      <c r="F46" s="332"/>
      <c r="G46" s="332"/>
      <c r="H46" s="332"/>
      <c r="I46" s="332"/>
      <c r="J46" s="332"/>
      <c r="K46" s="333"/>
      <c r="L46" s="254"/>
      <c r="M46" s="255"/>
      <c r="N46" s="270"/>
    </row>
    <row r="47" spans="1:14" ht="40.200000000000003" customHeight="1" x14ac:dyDescent="0.3">
      <c r="A47" s="269"/>
      <c r="B47" s="245"/>
      <c r="C47" s="250"/>
      <c r="D47" s="256"/>
      <c r="E47" s="337" t="s">
        <v>24</v>
      </c>
      <c r="F47" s="338"/>
      <c r="G47" s="338"/>
      <c r="H47" s="338"/>
      <c r="I47" s="338"/>
      <c r="J47" s="338"/>
      <c r="K47" s="339"/>
      <c r="L47" s="250"/>
      <c r="M47" s="258"/>
      <c r="N47" s="270"/>
    </row>
    <row r="48" spans="1:14" ht="25.2" customHeight="1" x14ac:dyDescent="0.3">
      <c r="A48" s="269"/>
      <c r="B48" s="245"/>
      <c r="C48" s="250"/>
      <c r="D48" s="256"/>
      <c r="E48" s="602" t="s">
        <v>270</v>
      </c>
      <c r="F48" s="603"/>
      <c r="G48" s="603"/>
      <c r="H48" s="603"/>
      <c r="I48" s="603"/>
      <c r="J48" s="603"/>
      <c r="K48" s="604"/>
      <c r="L48" s="250"/>
      <c r="M48" s="258"/>
      <c r="N48" s="270"/>
    </row>
    <row r="49" spans="1:14" ht="10.199999999999999" customHeight="1" x14ac:dyDescent="0.3">
      <c r="A49" s="269"/>
      <c r="B49" s="245"/>
      <c r="C49" s="250"/>
      <c r="D49" s="256"/>
      <c r="E49" s="272"/>
      <c r="F49" s="272"/>
      <c r="G49" s="256"/>
      <c r="H49" s="256"/>
      <c r="I49" s="256"/>
      <c r="J49" s="256"/>
      <c r="K49" s="256"/>
      <c r="L49" s="250"/>
      <c r="M49" s="258"/>
      <c r="N49" s="270"/>
    </row>
    <row r="50" spans="1:14" ht="25.2" customHeight="1" x14ac:dyDescent="0.3">
      <c r="A50" s="271"/>
      <c r="B50" s="253"/>
      <c r="C50" s="254"/>
      <c r="D50" s="329" t="s">
        <v>25</v>
      </c>
      <c r="E50" s="330"/>
      <c r="F50" s="330"/>
      <c r="G50" s="330"/>
      <c r="H50" s="330"/>
      <c r="I50" s="330"/>
      <c r="J50" s="330"/>
      <c r="K50" s="331"/>
      <c r="L50" s="254"/>
      <c r="M50" s="255"/>
      <c r="N50" s="270"/>
    </row>
    <row r="51" spans="1:14" ht="40.200000000000003" customHeight="1" x14ac:dyDescent="0.3">
      <c r="A51" s="269"/>
      <c r="B51" s="245"/>
      <c r="C51" s="250"/>
      <c r="D51" s="256"/>
      <c r="E51" s="326" t="s">
        <v>26</v>
      </c>
      <c r="F51" s="327"/>
      <c r="G51" s="327"/>
      <c r="H51" s="327"/>
      <c r="I51" s="327"/>
      <c r="J51" s="327"/>
      <c r="K51" s="328"/>
      <c r="L51" s="250"/>
      <c r="M51" s="258"/>
      <c r="N51" s="270"/>
    </row>
    <row r="52" spans="1:14" ht="25.2" customHeight="1" thickBot="1" x14ac:dyDescent="0.35">
      <c r="A52" s="269"/>
      <c r="B52" s="245"/>
      <c r="C52" s="250"/>
      <c r="D52" s="256"/>
      <c r="E52" s="334" t="s">
        <v>27</v>
      </c>
      <c r="F52" s="335"/>
      <c r="G52" s="335"/>
      <c r="H52" s="335"/>
      <c r="I52" s="335"/>
      <c r="J52" s="335"/>
      <c r="K52" s="336"/>
      <c r="L52" s="250"/>
      <c r="M52" s="258"/>
      <c r="N52" s="270"/>
    </row>
    <row r="53" spans="1:14" ht="10.199999999999999" customHeight="1" x14ac:dyDescent="0.3">
      <c r="A53" s="269"/>
      <c r="B53" s="245"/>
      <c r="C53" s="250"/>
      <c r="D53" s="256"/>
      <c r="E53" s="272"/>
      <c r="F53" s="272"/>
      <c r="G53" s="256"/>
      <c r="H53" s="256"/>
      <c r="I53" s="256"/>
      <c r="J53" s="256"/>
      <c r="K53" s="256"/>
      <c r="L53" s="250"/>
      <c r="M53" s="258"/>
      <c r="N53" s="270"/>
    </row>
    <row r="54" spans="1:14" ht="10.199999999999999" customHeight="1" x14ac:dyDescent="0.3">
      <c r="A54" s="269"/>
      <c r="B54" s="245"/>
      <c r="C54" s="247"/>
      <c r="D54" s="249"/>
      <c r="E54" s="262"/>
      <c r="F54" s="262"/>
      <c r="G54" s="249"/>
      <c r="H54" s="249"/>
      <c r="I54" s="249"/>
      <c r="J54" s="249"/>
      <c r="K54" s="256"/>
      <c r="L54" s="250"/>
      <c r="M54" s="251"/>
      <c r="N54" s="270"/>
    </row>
    <row r="55" spans="1:14" ht="25.2" customHeight="1" thickTop="1" thickBot="1" x14ac:dyDescent="0.35">
      <c r="A55" s="271"/>
      <c r="B55" s="253"/>
      <c r="C55" s="254"/>
      <c r="D55" s="329" t="s">
        <v>28</v>
      </c>
      <c r="E55" s="330"/>
      <c r="F55" s="330"/>
      <c r="G55" s="330"/>
      <c r="H55" s="330"/>
      <c r="I55" s="330"/>
      <c r="J55" s="330"/>
      <c r="K55" s="331"/>
      <c r="L55" s="254"/>
      <c r="M55" s="255"/>
      <c r="N55" s="270"/>
    </row>
    <row r="56" spans="1:14" ht="55.2" customHeight="1" thickTop="1" x14ac:dyDescent="0.3">
      <c r="A56" s="269"/>
      <c r="B56" s="245"/>
      <c r="C56" s="250"/>
      <c r="D56" s="256"/>
      <c r="E56" s="312" t="s">
        <v>29</v>
      </c>
      <c r="F56" s="313"/>
      <c r="G56" s="313"/>
      <c r="H56" s="313"/>
      <c r="I56" s="313"/>
      <c r="J56" s="313"/>
      <c r="K56" s="314"/>
      <c r="L56" s="250"/>
      <c r="M56" s="258"/>
      <c r="N56" s="270"/>
    </row>
    <row r="57" spans="1:14" ht="25.2" customHeight="1" thickBot="1" x14ac:dyDescent="0.35">
      <c r="A57" s="269"/>
      <c r="B57" s="245"/>
      <c r="C57" s="250"/>
      <c r="D57" s="256"/>
      <c r="E57" s="334" t="s">
        <v>30</v>
      </c>
      <c r="F57" s="335"/>
      <c r="G57" s="335"/>
      <c r="H57" s="335"/>
      <c r="I57" s="335"/>
      <c r="J57" s="335"/>
      <c r="K57" s="336"/>
      <c r="L57" s="250"/>
      <c r="M57" s="258"/>
      <c r="N57" s="270"/>
    </row>
    <row r="58" spans="1:14" ht="10.199999999999999" customHeight="1" thickTop="1" thickBot="1" x14ac:dyDescent="0.35">
      <c r="A58" s="269"/>
      <c r="B58" s="245"/>
      <c r="C58" s="250"/>
      <c r="D58" s="256"/>
      <c r="E58" s="272"/>
      <c r="F58" s="272"/>
      <c r="G58" s="256"/>
      <c r="H58" s="256"/>
      <c r="I58" s="256"/>
      <c r="J58" s="256"/>
      <c r="K58" s="256"/>
      <c r="L58" s="250"/>
      <c r="M58" s="258"/>
      <c r="N58" s="270"/>
    </row>
    <row r="59" spans="1:14" ht="25.2" customHeight="1" thickTop="1" thickBot="1" x14ac:dyDescent="0.35">
      <c r="A59" s="271"/>
      <c r="B59" s="253"/>
      <c r="C59" s="254"/>
      <c r="D59" s="329" t="s">
        <v>31</v>
      </c>
      <c r="E59" s="330"/>
      <c r="F59" s="330"/>
      <c r="G59" s="330"/>
      <c r="H59" s="330"/>
      <c r="I59" s="330"/>
      <c r="J59" s="330"/>
      <c r="K59" s="331"/>
      <c r="L59" s="254"/>
      <c r="M59" s="255"/>
      <c r="N59" s="270"/>
    </row>
    <row r="60" spans="1:14" ht="55.2" customHeight="1" x14ac:dyDescent="0.3">
      <c r="A60" s="269"/>
      <c r="B60" s="245"/>
      <c r="C60" s="250"/>
      <c r="D60" s="256"/>
      <c r="E60" s="312" t="s">
        <v>32</v>
      </c>
      <c r="F60" s="313"/>
      <c r="G60" s="313"/>
      <c r="H60" s="313"/>
      <c r="I60" s="313"/>
      <c r="J60" s="313"/>
      <c r="K60" s="314"/>
      <c r="L60" s="250"/>
      <c r="M60" s="258"/>
      <c r="N60" s="270"/>
    </row>
    <row r="61" spans="1:14" ht="40.200000000000003" customHeight="1" x14ac:dyDescent="0.3">
      <c r="A61" s="269"/>
      <c r="B61" s="245"/>
      <c r="C61" s="250"/>
      <c r="D61" s="256"/>
      <c r="E61" s="326" t="s">
        <v>33</v>
      </c>
      <c r="F61" s="327"/>
      <c r="G61" s="327"/>
      <c r="H61" s="327"/>
      <c r="I61" s="327"/>
      <c r="J61" s="327"/>
      <c r="K61" s="328"/>
      <c r="L61" s="250"/>
      <c r="M61" s="258"/>
      <c r="N61" s="270"/>
    </row>
    <row r="62" spans="1:14" ht="10.199999999999999" customHeight="1" thickBot="1" x14ac:dyDescent="0.35">
      <c r="A62" s="269"/>
      <c r="B62" s="245"/>
      <c r="C62" s="250"/>
      <c r="D62" s="256"/>
      <c r="E62" s="309"/>
      <c r="F62" s="310"/>
      <c r="G62" s="310"/>
      <c r="H62" s="310"/>
      <c r="I62" s="310"/>
      <c r="J62" s="310"/>
      <c r="K62" s="311"/>
      <c r="L62" s="250"/>
      <c r="M62" s="258"/>
      <c r="N62" s="270"/>
    </row>
    <row r="63" spans="1:14" ht="10.199999999999999" customHeight="1" x14ac:dyDescent="0.3">
      <c r="A63" s="269"/>
      <c r="B63" s="245"/>
      <c r="C63" s="250"/>
      <c r="D63" s="256"/>
      <c r="E63" s="272"/>
      <c r="F63" s="272"/>
      <c r="G63" s="256"/>
      <c r="H63" s="256"/>
      <c r="I63" s="256"/>
      <c r="J63" s="256"/>
      <c r="K63" s="256"/>
      <c r="L63" s="250"/>
      <c r="M63" s="258"/>
      <c r="N63" s="270"/>
    </row>
    <row r="64" spans="1:14" ht="25.2" customHeight="1" thickTop="1" thickBot="1" x14ac:dyDescent="0.35">
      <c r="A64" s="271"/>
      <c r="B64" s="253"/>
      <c r="C64" s="254"/>
      <c r="D64" s="329" t="s">
        <v>34</v>
      </c>
      <c r="E64" s="330"/>
      <c r="F64" s="330"/>
      <c r="G64" s="330"/>
      <c r="H64" s="330"/>
      <c r="I64" s="330"/>
      <c r="J64" s="330"/>
      <c r="K64" s="331"/>
      <c r="L64" s="254"/>
      <c r="M64" s="255"/>
      <c r="N64" s="270"/>
    </row>
    <row r="65" spans="1:14" ht="25.2" customHeight="1" thickTop="1" thickBot="1" x14ac:dyDescent="0.35">
      <c r="A65" s="269"/>
      <c r="B65" s="245"/>
      <c r="C65" s="250"/>
      <c r="D65" s="256"/>
      <c r="E65" s="309" t="s">
        <v>35</v>
      </c>
      <c r="F65" s="310"/>
      <c r="G65" s="310"/>
      <c r="H65" s="310"/>
      <c r="I65" s="310"/>
      <c r="J65" s="310"/>
      <c r="K65" s="311"/>
      <c r="L65" s="250"/>
      <c r="M65" s="258"/>
      <c r="N65" s="270"/>
    </row>
    <row r="66" spans="1:14" ht="10.199999999999999" customHeight="1" thickTop="1" thickBot="1" x14ac:dyDescent="0.35">
      <c r="A66" s="269"/>
      <c r="B66" s="245"/>
      <c r="C66" s="250"/>
      <c r="D66" s="256"/>
      <c r="E66" s="272"/>
      <c r="F66" s="272"/>
      <c r="G66" s="256"/>
      <c r="H66" s="256"/>
      <c r="I66" s="256"/>
      <c r="J66" s="256"/>
      <c r="K66" s="256"/>
      <c r="L66" s="250"/>
      <c r="M66" s="258"/>
      <c r="N66" s="270"/>
    </row>
    <row r="67" spans="1:14" ht="25.2" customHeight="1" thickTop="1" thickBot="1" x14ac:dyDescent="0.35">
      <c r="A67" s="271"/>
      <c r="B67" s="253"/>
      <c r="C67" s="254"/>
      <c r="D67" s="329" t="s">
        <v>36</v>
      </c>
      <c r="E67" s="330"/>
      <c r="F67" s="330"/>
      <c r="G67" s="330"/>
      <c r="H67" s="330"/>
      <c r="I67" s="330"/>
      <c r="J67" s="330"/>
      <c r="K67" s="331"/>
      <c r="L67" s="254"/>
      <c r="M67" s="255"/>
      <c r="N67" s="270"/>
    </row>
    <row r="68" spans="1:14" ht="40.200000000000003" customHeight="1" thickTop="1" x14ac:dyDescent="0.3">
      <c r="A68" s="269"/>
      <c r="B68" s="245"/>
      <c r="C68" s="250"/>
      <c r="D68" s="256"/>
      <c r="E68" s="312" t="s">
        <v>37</v>
      </c>
      <c r="F68" s="313"/>
      <c r="G68" s="313"/>
      <c r="H68" s="313"/>
      <c r="I68" s="313"/>
      <c r="J68" s="313"/>
      <c r="K68" s="314"/>
      <c r="L68" s="250"/>
      <c r="M68" s="258"/>
      <c r="N68" s="270"/>
    </row>
    <row r="69" spans="1:14" ht="25.2" customHeight="1" thickBot="1" x14ac:dyDescent="0.35">
      <c r="A69" s="269"/>
      <c r="B69" s="245"/>
      <c r="C69" s="250"/>
      <c r="D69" s="256"/>
      <c r="E69" s="309" t="s">
        <v>38</v>
      </c>
      <c r="F69" s="310"/>
      <c r="G69" s="310"/>
      <c r="H69" s="310"/>
      <c r="I69" s="310"/>
      <c r="J69" s="310"/>
      <c r="K69" s="311"/>
      <c r="L69" s="250"/>
      <c r="M69" s="258"/>
      <c r="N69" s="270"/>
    </row>
    <row r="70" spans="1:14" ht="10.199999999999999" customHeight="1" x14ac:dyDescent="0.3">
      <c r="A70" s="269"/>
      <c r="B70" s="245"/>
      <c r="C70" s="250"/>
      <c r="D70" s="256"/>
      <c r="E70" s="272"/>
      <c r="F70" s="272"/>
      <c r="G70" s="256"/>
      <c r="H70" s="256"/>
      <c r="I70" s="256"/>
      <c r="J70" s="256"/>
      <c r="K70" s="256"/>
      <c r="L70" s="250"/>
      <c r="M70" s="258"/>
      <c r="N70" s="270"/>
    </row>
    <row r="71" spans="1:14" ht="25.2" customHeight="1" x14ac:dyDescent="0.3">
      <c r="A71" s="271"/>
      <c r="B71" s="253"/>
      <c r="C71" s="254"/>
      <c r="D71" s="329" t="s">
        <v>39</v>
      </c>
      <c r="E71" s="332"/>
      <c r="F71" s="332"/>
      <c r="G71" s="332"/>
      <c r="H71" s="332"/>
      <c r="I71" s="332"/>
      <c r="J71" s="332"/>
      <c r="K71" s="333"/>
      <c r="L71" s="254"/>
      <c r="M71" s="255"/>
      <c r="N71" s="270"/>
    </row>
    <row r="72" spans="1:14" ht="55.2" customHeight="1" x14ac:dyDescent="0.3">
      <c r="A72" s="269"/>
      <c r="B72" s="245"/>
      <c r="C72" s="250"/>
      <c r="D72" s="256"/>
      <c r="E72" s="337" t="s">
        <v>40</v>
      </c>
      <c r="F72" s="338"/>
      <c r="G72" s="338"/>
      <c r="H72" s="338"/>
      <c r="I72" s="338"/>
      <c r="J72" s="338"/>
      <c r="K72" s="339"/>
      <c r="L72" s="250"/>
      <c r="M72" s="258"/>
      <c r="N72" s="270"/>
    </row>
    <row r="73" spans="1:14" ht="25.2" customHeight="1" x14ac:dyDescent="0.3">
      <c r="A73" s="269"/>
      <c r="B73" s="245"/>
      <c r="C73" s="250"/>
      <c r="D73" s="256"/>
      <c r="E73" s="599" t="s">
        <v>41</v>
      </c>
      <c r="F73" s="600"/>
      <c r="G73" s="600"/>
      <c r="H73" s="600"/>
      <c r="I73" s="600"/>
      <c r="J73" s="600"/>
      <c r="K73" s="601"/>
      <c r="L73" s="250"/>
      <c r="M73" s="258"/>
      <c r="N73" s="270"/>
    </row>
    <row r="74" spans="1:14" ht="10.199999999999999" customHeight="1" x14ac:dyDescent="0.3">
      <c r="A74" s="269"/>
      <c r="B74" s="273"/>
      <c r="C74" s="274"/>
      <c r="D74" s="256"/>
      <c r="E74" s="272"/>
      <c r="F74" s="272"/>
      <c r="G74" s="256"/>
      <c r="H74" s="256"/>
      <c r="I74" s="256"/>
      <c r="J74" s="256"/>
      <c r="K74" s="256"/>
      <c r="L74" s="250"/>
      <c r="M74" s="258"/>
      <c r="N74" s="270"/>
    </row>
    <row r="75" spans="1:14" ht="25.2" customHeight="1" thickTop="1" thickBot="1" x14ac:dyDescent="0.35">
      <c r="A75" s="271"/>
      <c r="B75" s="253"/>
      <c r="C75" s="254"/>
      <c r="D75" s="329" t="s">
        <v>42</v>
      </c>
      <c r="E75" s="330"/>
      <c r="F75" s="330"/>
      <c r="G75" s="330"/>
      <c r="H75" s="330"/>
      <c r="I75" s="330"/>
      <c r="J75" s="330"/>
      <c r="K75" s="331"/>
      <c r="L75" s="254"/>
      <c r="M75" s="255"/>
      <c r="N75" s="270"/>
    </row>
    <row r="76" spans="1:14" s="301" customFormat="1" ht="55.2" customHeight="1" x14ac:dyDescent="0.3">
      <c r="A76" s="271"/>
      <c r="B76" s="253"/>
      <c r="C76" s="254"/>
      <c r="D76" s="256"/>
      <c r="E76" s="376" t="s">
        <v>43</v>
      </c>
      <c r="F76" s="377"/>
      <c r="G76" s="377"/>
      <c r="H76" s="377"/>
      <c r="I76" s="377"/>
      <c r="J76" s="377"/>
      <c r="K76" s="378"/>
      <c r="L76" s="250"/>
      <c r="M76" s="258"/>
      <c r="N76" s="270"/>
    </row>
    <row r="77" spans="1:14" ht="40.200000000000003" customHeight="1" thickBot="1" x14ac:dyDescent="0.35">
      <c r="A77" s="269"/>
      <c r="B77" s="273"/>
      <c r="C77" s="274"/>
      <c r="D77" s="256"/>
      <c r="E77" s="309" t="s">
        <v>44</v>
      </c>
      <c r="F77" s="310"/>
      <c r="G77" s="310"/>
      <c r="H77" s="310"/>
      <c r="I77" s="310"/>
      <c r="J77" s="310"/>
      <c r="K77" s="311"/>
      <c r="L77" s="250"/>
      <c r="M77" s="258"/>
      <c r="N77" s="270"/>
    </row>
    <row r="78" spans="1:14" ht="10.199999999999999" customHeight="1" thickTop="1" thickBot="1" x14ac:dyDescent="0.35">
      <c r="A78" s="269"/>
      <c r="B78" s="245"/>
      <c r="C78" s="250"/>
      <c r="D78" s="256"/>
      <c r="E78" s="272"/>
      <c r="F78" s="272"/>
      <c r="G78" s="256"/>
      <c r="H78" s="256"/>
      <c r="I78" s="256"/>
      <c r="J78" s="256"/>
      <c r="K78" s="256"/>
      <c r="L78" s="250"/>
      <c r="M78" s="258"/>
      <c r="N78" s="270"/>
    </row>
    <row r="79" spans="1:14" ht="25.2" customHeight="1" thickTop="1" thickBot="1" x14ac:dyDescent="0.35">
      <c r="A79" s="271"/>
      <c r="B79" s="253"/>
      <c r="C79" s="254"/>
      <c r="D79" s="329" t="s">
        <v>45</v>
      </c>
      <c r="E79" s="330"/>
      <c r="F79" s="330"/>
      <c r="G79" s="330"/>
      <c r="H79" s="330"/>
      <c r="I79" s="330"/>
      <c r="J79" s="330"/>
      <c r="K79" s="331"/>
      <c r="L79" s="254"/>
      <c r="M79" s="255"/>
      <c r="N79" s="270"/>
    </row>
    <row r="80" spans="1:14" s="301" customFormat="1" ht="55.2" customHeight="1" thickTop="1" thickBot="1" x14ac:dyDescent="0.35">
      <c r="A80" s="269"/>
      <c r="B80" s="245"/>
      <c r="C80" s="247"/>
      <c r="D80" s="249"/>
      <c r="E80" s="356" t="s">
        <v>46</v>
      </c>
      <c r="F80" s="357"/>
      <c r="G80" s="357"/>
      <c r="H80" s="357"/>
      <c r="I80" s="357"/>
      <c r="J80" s="357"/>
      <c r="K80" s="358"/>
      <c r="L80" s="250"/>
      <c r="M80" s="258"/>
      <c r="N80" s="270"/>
    </row>
    <row r="81" spans="1:14" ht="10.199999999999999" customHeight="1" thickTop="1" thickBot="1" x14ac:dyDescent="0.35">
      <c r="A81" s="269"/>
      <c r="B81" s="245"/>
      <c r="C81" s="247"/>
      <c r="D81" s="249"/>
      <c r="E81" s="262"/>
      <c r="F81" s="262"/>
      <c r="G81" s="249"/>
      <c r="H81" s="249"/>
      <c r="I81" s="249"/>
      <c r="J81" s="249"/>
      <c r="K81" s="256"/>
      <c r="L81" s="250"/>
      <c r="M81" s="251"/>
      <c r="N81" s="270"/>
    </row>
    <row r="82" spans="1:14" ht="25.2" customHeight="1" thickTop="1" thickBot="1" x14ac:dyDescent="0.35">
      <c r="A82" s="271"/>
      <c r="B82" s="253"/>
      <c r="C82" s="254"/>
      <c r="D82" s="329" t="s">
        <v>47</v>
      </c>
      <c r="E82" s="330"/>
      <c r="F82" s="330"/>
      <c r="G82" s="330"/>
      <c r="H82" s="330"/>
      <c r="I82" s="330"/>
      <c r="J82" s="330"/>
      <c r="K82" s="331"/>
      <c r="L82" s="254"/>
      <c r="M82" s="255"/>
      <c r="N82" s="270"/>
    </row>
    <row r="83" spans="1:14" ht="51.75" customHeight="1" x14ac:dyDescent="0.3">
      <c r="A83" s="269"/>
      <c r="B83" s="245"/>
      <c r="C83" s="250"/>
      <c r="D83" s="256"/>
      <c r="E83" s="356" t="s">
        <v>48</v>
      </c>
      <c r="F83" s="357"/>
      <c r="G83" s="357"/>
      <c r="H83" s="357"/>
      <c r="I83" s="357"/>
      <c r="J83" s="357"/>
      <c r="K83" s="358"/>
      <c r="L83" s="250"/>
      <c r="M83" s="258"/>
      <c r="N83" s="270"/>
    </row>
    <row r="84" spans="1:14" ht="10.199999999999999" customHeight="1" thickTop="1" thickBot="1" x14ac:dyDescent="0.35">
      <c r="A84" s="269"/>
      <c r="B84" s="275"/>
      <c r="C84" s="268"/>
      <c r="D84" s="276"/>
      <c r="E84" s="277"/>
      <c r="F84" s="277"/>
      <c r="G84" s="276"/>
      <c r="H84" s="276"/>
      <c r="I84" s="276"/>
      <c r="J84" s="276"/>
      <c r="K84" s="268"/>
      <c r="L84" s="268"/>
      <c r="M84" s="278"/>
      <c r="N84" s="270"/>
    </row>
    <row r="85" spans="1:14" ht="10.199999999999999" customHeight="1" thickTop="1" thickBot="1" x14ac:dyDescent="0.35">
      <c r="A85" s="343"/>
      <c r="B85" s="344"/>
      <c r="C85" s="344"/>
      <c r="D85" s="344"/>
      <c r="E85" s="344"/>
      <c r="F85" s="344"/>
      <c r="G85" s="344"/>
      <c r="H85" s="344"/>
      <c r="I85" s="344"/>
      <c r="J85" s="344"/>
      <c r="K85" s="344"/>
      <c r="L85" s="344"/>
      <c r="M85" s="344"/>
      <c r="N85" s="345"/>
    </row>
    <row r="86" spans="1:14" ht="10.199999999999999" customHeight="1" thickTop="1" thickBot="1" x14ac:dyDescent="0.35">
      <c r="A86" s="268"/>
      <c r="B86" s="250"/>
      <c r="C86" s="250"/>
      <c r="D86" s="250"/>
      <c r="E86" s="256"/>
      <c r="F86" s="256"/>
      <c r="G86" s="250"/>
      <c r="H86" s="250"/>
      <c r="I86" s="250"/>
      <c r="J86" s="250"/>
      <c r="K86" s="250"/>
      <c r="L86" s="250"/>
      <c r="M86" s="250"/>
      <c r="N86" s="250"/>
    </row>
    <row r="87" spans="1:14" ht="25.2" customHeight="1" thickTop="1" thickBot="1" x14ac:dyDescent="0.35">
      <c r="A87" s="359" t="s">
        <v>49</v>
      </c>
      <c r="B87" s="360"/>
      <c r="C87" s="360"/>
      <c r="D87" s="360"/>
      <c r="E87" s="360"/>
      <c r="F87" s="360"/>
      <c r="G87" s="360"/>
      <c r="H87" s="360"/>
      <c r="I87" s="360"/>
      <c r="J87" s="360"/>
      <c r="K87" s="360"/>
      <c r="L87" s="360"/>
      <c r="M87" s="360"/>
      <c r="N87" s="361"/>
    </row>
    <row r="88" spans="1:14" ht="10.199999999999999" customHeight="1" thickTop="1" x14ac:dyDescent="0.3">
      <c r="A88" s="279"/>
      <c r="B88" s="235"/>
      <c r="C88" s="236"/>
      <c r="D88" s="237"/>
      <c r="E88" s="238"/>
      <c r="F88" s="238"/>
      <c r="G88" s="237"/>
      <c r="H88" s="237"/>
      <c r="I88" s="237"/>
      <c r="J88" s="237"/>
      <c r="K88" s="239"/>
      <c r="L88" s="239"/>
      <c r="M88" s="240"/>
      <c r="N88" s="280"/>
    </row>
    <row r="89" spans="1:14" ht="70.2" customHeight="1" x14ac:dyDescent="0.3">
      <c r="A89" s="279"/>
      <c r="B89" s="243"/>
      <c r="C89" s="304" t="s">
        <v>50</v>
      </c>
      <c r="D89" s="304"/>
      <c r="E89" s="304"/>
      <c r="F89" s="304"/>
      <c r="G89" s="304"/>
      <c r="H89" s="304"/>
      <c r="I89" s="304"/>
      <c r="J89" s="304"/>
      <c r="K89" s="304"/>
      <c r="L89" s="304"/>
      <c r="M89" s="244"/>
      <c r="N89" s="280"/>
    </row>
    <row r="90" spans="1:14" ht="4.95" customHeight="1" x14ac:dyDescent="0.3">
      <c r="A90" s="279"/>
      <c r="B90" s="245"/>
      <c r="C90" s="305"/>
      <c r="D90" s="305"/>
      <c r="E90" s="305"/>
      <c r="F90" s="305"/>
      <c r="G90" s="305"/>
      <c r="H90" s="305"/>
      <c r="I90" s="305"/>
      <c r="J90" s="305"/>
      <c r="K90" s="305"/>
      <c r="L90" s="246"/>
      <c r="M90" s="244"/>
      <c r="N90" s="280"/>
    </row>
    <row r="91" spans="1:14" ht="10.199999999999999" customHeight="1" thickBot="1" x14ac:dyDescent="0.35">
      <c r="A91" s="279"/>
      <c r="B91" s="245"/>
      <c r="C91" s="247"/>
      <c r="D91" s="248"/>
      <c r="E91" s="249"/>
      <c r="F91" s="249"/>
      <c r="G91" s="248"/>
      <c r="H91" s="248"/>
      <c r="I91" s="248"/>
      <c r="J91" s="248"/>
      <c r="K91" s="250"/>
      <c r="L91" s="250"/>
      <c r="M91" s="251"/>
      <c r="N91" s="280"/>
    </row>
    <row r="92" spans="1:14" ht="25.2" customHeight="1" thickTop="1" thickBot="1" x14ac:dyDescent="0.35">
      <c r="A92" s="279"/>
      <c r="B92" s="245"/>
      <c r="C92" s="250"/>
      <c r="D92" s="353" t="s">
        <v>51</v>
      </c>
      <c r="E92" s="354"/>
      <c r="F92" s="354"/>
      <c r="G92" s="354"/>
      <c r="H92" s="354"/>
      <c r="I92" s="354"/>
      <c r="J92" s="354"/>
      <c r="K92" s="355"/>
      <c r="L92" s="250"/>
      <c r="M92" s="258"/>
      <c r="N92" s="280"/>
    </row>
    <row r="93" spans="1:14" ht="55.2" customHeight="1" thickTop="1" x14ac:dyDescent="0.3">
      <c r="A93" s="279"/>
      <c r="B93" s="245"/>
      <c r="C93" s="250"/>
      <c r="D93" s="256"/>
      <c r="E93" s="350" t="s">
        <v>52</v>
      </c>
      <c r="F93" s="351"/>
      <c r="G93" s="351"/>
      <c r="H93" s="351"/>
      <c r="I93" s="351"/>
      <c r="J93" s="351"/>
      <c r="K93" s="352"/>
      <c r="L93" s="250"/>
      <c r="M93" s="258"/>
      <c r="N93" s="280"/>
    </row>
    <row r="94" spans="1:14" ht="25.2" customHeight="1" thickBot="1" x14ac:dyDescent="0.35">
      <c r="A94" s="279"/>
      <c r="B94" s="245"/>
      <c r="C94" s="250"/>
      <c r="D94" s="256"/>
      <c r="E94" s="347" t="s">
        <v>53</v>
      </c>
      <c r="F94" s="348"/>
      <c r="G94" s="348"/>
      <c r="H94" s="348"/>
      <c r="I94" s="348"/>
      <c r="J94" s="348"/>
      <c r="K94" s="349"/>
      <c r="L94" s="250"/>
      <c r="M94" s="258"/>
      <c r="N94" s="280"/>
    </row>
    <row r="95" spans="1:14" ht="10.199999999999999" customHeight="1" thickTop="1" thickBot="1" x14ac:dyDescent="0.35">
      <c r="A95" s="279"/>
      <c r="B95" s="245"/>
      <c r="C95" s="247"/>
      <c r="D95" s="249"/>
      <c r="E95" s="262"/>
      <c r="F95" s="262"/>
      <c r="G95" s="249"/>
      <c r="H95" s="249"/>
      <c r="I95" s="249"/>
      <c r="J95" s="249"/>
      <c r="K95" s="256"/>
      <c r="L95" s="250"/>
      <c r="M95" s="251"/>
      <c r="N95" s="280"/>
    </row>
    <row r="96" spans="1:14" ht="25.2" customHeight="1" thickTop="1" thickBot="1" x14ac:dyDescent="0.35">
      <c r="A96" s="279"/>
      <c r="B96" s="245"/>
      <c r="C96" s="250"/>
      <c r="D96" s="353" t="s">
        <v>54</v>
      </c>
      <c r="E96" s="354"/>
      <c r="F96" s="354"/>
      <c r="G96" s="354"/>
      <c r="H96" s="354"/>
      <c r="I96" s="354"/>
      <c r="J96" s="354"/>
      <c r="K96" s="355"/>
      <c r="L96" s="250"/>
      <c r="M96" s="258"/>
      <c r="N96" s="280"/>
    </row>
    <row r="97" spans="1:14" ht="40.200000000000003" customHeight="1" thickTop="1" x14ac:dyDescent="0.3">
      <c r="A97" s="279"/>
      <c r="B97" s="245"/>
      <c r="C97" s="250"/>
      <c r="D97" s="256"/>
      <c r="E97" s="350" t="s">
        <v>55</v>
      </c>
      <c r="F97" s="351"/>
      <c r="G97" s="351"/>
      <c r="H97" s="351"/>
      <c r="I97" s="351"/>
      <c r="J97" s="351"/>
      <c r="K97" s="352"/>
      <c r="L97" s="250"/>
      <c r="M97" s="258"/>
      <c r="N97" s="280"/>
    </row>
    <row r="98" spans="1:14" ht="25.2" customHeight="1" x14ac:dyDescent="0.3">
      <c r="A98" s="279"/>
      <c r="B98" s="245"/>
      <c r="C98" s="250"/>
      <c r="D98" s="256"/>
      <c r="E98" s="320" t="s">
        <v>56</v>
      </c>
      <c r="F98" s="321"/>
      <c r="G98" s="321"/>
      <c r="H98" s="321"/>
      <c r="I98" s="321"/>
      <c r="J98" s="321"/>
      <c r="K98" s="346"/>
      <c r="L98" s="250"/>
      <c r="M98" s="258"/>
      <c r="N98" s="280"/>
    </row>
    <row r="99" spans="1:14" ht="25.2" customHeight="1" x14ac:dyDescent="0.3">
      <c r="A99" s="279"/>
      <c r="B99" s="245"/>
      <c r="C99" s="250"/>
      <c r="D99" s="256"/>
      <c r="E99" s="320" t="s">
        <v>57</v>
      </c>
      <c r="F99" s="321"/>
      <c r="G99" s="321"/>
      <c r="H99" s="321"/>
      <c r="I99" s="321"/>
      <c r="J99" s="321"/>
      <c r="K99" s="346"/>
      <c r="L99" s="250"/>
      <c r="M99" s="258"/>
      <c r="N99" s="280"/>
    </row>
    <row r="100" spans="1:14" ht="25.2" customHeight="1" x14ac:dyDescent="0.3">
      <c r="A100" s="279"/>
      <c r="B100" s="245"/>
      <c r="C100" s="250"/>
      <c r="D100" s="256"/>
      <c r="E100" s="320" t="s">
        <v>58</v>
      </c>
      <c r="F100" s="321"/>
      <c r="G100" s="321"/>
      <c r="H100" s="321"/>
      <c r="I100" s="321"/>
      <c r="J100" s="321"/>
      <c r="K100" s="346"/>
      <c r="L100" s="250"/>
      <c r="M100" s="258"/>
      <c r="N100" s="280"/>
    </row>
    <row r="101" spans="1:14" ht="25.2" customHeight="1" thickBot="1" x14ac:dyDescent="0.35">
      <c r="A101" s="279"/>
      <c r="B101" s="245"/>
      <c r="C101" s="250"/>
      <c r="D101" s="256"/>
      <c r="E101" s="347" t="s">
        <v>59</v>
      </c>
      <c r="F101" s="348"/>
      <c r="G101" s="348"/>
      <c r="H101" s="348"/>
      <c r="I101" s="348"/>
      <c r="J101" s="348"/>
      <c r="K101" s="349"/>
      <c r="L101" s="250"/>
      <c r="M101" s="258"/>
      <c r="N101" s="280"/>
    </row>
    <row r="102" spans="1:14" ht="10.199999999999999" customHeight="1" thickTop="1" thickBot="1" x14ac:dyDescent="0.35">
      <c r="A102" s="281"/>
      <c r="B102" s="275"/>
      <c r="C102" s="282"/>
      <c r="D102" s="277"/>
      <c r="E102" s="283"/>
      <c r="F102" s="283"/>
      <c r="G102" s="277"/>
      <c r="H102" s="277"/>
      <c r="I102" s="277"/>
      <c r="J102" s="277"/>
      <c r="K102" s="284"/>
      <c r="L102" s="268"/>
      <c r="M102" s="285"/>
      <c r="N102" s="286"/>
    </row>
    <row r="103" spans="1:14" ht="10.199999999999999" customHeight="1" thickTop="1" x14ac:dyDescent="0.3">
      <c r="A103" s="340"/>
      <c r="B103" s="341"/>
      <c r="C103" s="341"/>
      <c r="D103" s="341"/>
      <c r="E103" s="341"/>
      <c r="F103" s="341"/>
      <c r="G103" s="341"/>
      <c r="H103" s="341"/>
      <c r="I103" s="341"/>
      <c r="J103" s="341"/>
      <c r="K103" s="341"/>
      <c r="L103" s="341"/>
      <c r="M103" s="341"/>
      <c r="N103" s="342"/>
    </row>
    <row r="104" spans="1:14" s="287" customFormat="1" ht="10.199999999999999" customHeight="1" x14ac:dyDescent="0.3">
      <c r="D104" s="288"/>
      <c r="E104" s="289"/>
      <c r="F104" s="289"/>
      <c r="G104" s="288"/>
      <c r="H104" s="288"/>
      <c r="I104" s="288"/>
      <c r="J104" s="288"/>
    </row>
    <row r="105" spans="1:14" ht="10.199999999999999" customHeight="1" x14ac:dyDescent="0.3"/>
    <row r="106" spans="1:14" ht="10.199999999999999" customHeight="1" x14ac:dyDescent="0.3"/>
    <row r="107" spans="1:14" ht="10.199999999999999" customHeight="1" x14ac:dyDescent="0.3"/>
    <row r="108" spans="1:14" ht="10.199999999999999" customHeight="1" x14ac:dyDescent="0.3"/>
    <row r="109" spans="1:14" ht="10.199999999999999" customHeight="1" x14ac:dyDescent="0.3"/>
  </sheetData>
  <mergeCells count="70">
    <mergeCell ref="E68:K68"/>
    <mergeCell ref="E73:K73"/>
    <mergeCell ref="E76:K76"/>
    <mergeCell ref="E69:K69"/>
    <mergeCell ref="E62:K62"/>
    <mergeCell ref="D67:K67"/>
    <mergeCell ref="E65:K65"/>
    <mergeCell ref="D64:K64"/>
    <mergeCell ref="A1:M1"/>
    <mergeCell ref="A2:N2"/>
    <mergeCell ref="A4:N4"/>
    <mergeCell ref="A5:N5"/>
    <mergeCell ref="A3:N3"/>
    <mergeCell ref="E29:G29"/>
    <mergeCell ref="I25:K25"/>
    <mergeCell ref="I26:K26"/>
    <mergeCell ref="I27:K27"/>
    <mergeCell ref="I28:K28"/>
    <mergeCell ref="E77:K77"/>
    <mergeCell ref="D71:K71"/>
    <mergeCell ref="E80:K80"/>
    <mergeCell ref="A87:N87"/>
    <mergeCell ref="E83:K83"/>
    <mergeCell ref="D82:K82"/>
    <mergeCell ref="D79:K79"/>
    <mergeCell ref="D75:K75"/>
    <mergeCell ref="E72:K72"/>
    <mergeCell ref="A103:N103"/>
    <mergeCell ref="A85:N85"/>
    <mergeCell ref="C89:L89"/>
    <mergeCell ref="C90:K90"/>
    <mergeCell ref="E98:K98"/>
    <mergeCell ref="E99:K99"/>
    <mergeCell ref="E100:K100"/>
    <mergeCell ref="E101:K101"/>
    <mergeCell ref="E97:K97"/>
    <mergeCell ref="E93:K93"/>
    <mergeCell ref="D96:K96"/>
    <mergeCell ref="E94:K94"/>
    <mergeCell ref="D92:K92"/>
    <mergeCell ref="D35:K35"/>
    <mergeCell ref="E60:K60"/>
    <mergeCell ref="E61:K61"/>
    <mergeCell ref="E51:K51"/>
    <mergeCell ref="D55:K55"/>
    <mergeCell ref="D59:K59"/>
    <mergeCell ref="D46:K46"/>
    <mergeCell ref="E52:K52"/>
    <mergeCell ref="E56:K56"/>
    <mergeCell ref="E47:K47"/>
    <mergeCell ref="E48:K48"/>
    <mergeCell ref="D50:K50"/>
    <mergeCell ref="A41:N41"/>
    <mergeCell ref="E57:K57"/>
    <mergeCell ref="A18:N18"/>
    <mergeCell ref="C43:L43"/>
    <mergeCell ref="C44:K44"/>
    <mergeCell ref="A19:N19"/>
    <mergeCell ref="C22:K22"/>
    <mergeCell ref="C21:L21"/>
    <mergeCell ref="E37:K37"/>
    <mergeCell ref="E36:K36"/>
    <mergeCell ref="D31:K31"/>
    <mergeCell ref="E25:G25"/>
    <mergeCell ref="E26:G26"/>
    <mergeCell ref="E27:G27"/>
    <mergeCell ref="E28:G28"/>
    <mergeCell ref="D24:K24"/>
    <mergeCell ref="E32:K32"/>
    <mergeCell ref="E33:K33"/>
  </mergeCells>
  <hyperlinks>
    <hyperlink ref="E57" r:id="rId1" display="Current Hourly Rate: https:/www.london.gov.uk/programmes-strategies/business-and-economy/london-living-wage/" xr:uid="{7D691F81-19CA-42A8-BDA7-87D1CB971C00}"/>
    <hyperlink ref="E52" r:id="rId2" display="Get access support to apply for BFI funds: https://www.bfi.org.uk/get-funding-support/get-access-support-apply-bfi-funds" xr:uid="{1F79570F-BE1A-4FD3-812D-B62368A6BB89}"/>
    <hyperlink ref="E6" location="Guidance!A34" display="Information &amp; Finance Plan" xr:uid="{63714560-8884-4E98-B639-B44D851A9D94}"/>
    <hyperlink ref="E8" location="Guidance!A35" display="Guidance!A35" xr:uid="{E21FBDAA-6277-4E65-ACD5-E536167B415B}"/>
    <hyperlink ref="E9" location="Guidance!A52" display="Guidance!A52" xr:uid="{6E00B9CE-34F1-4688-97FC-3D8DC3E45FF8}"/>
    <hyperlink ref="E7" location="Guidance!A38" display="Guidance!A38" xr:uid="{1A8FB5A8-AD72-468C-B51A-2FE2BB1AE9AC}"/>
    <hyperlink ref="G6" location="Guidance!A56" display="Guidance!A56" xr:uid="{9A3CEFC4-BC36-4C1F-9FF1-86D8358ED919}"/>
    <hyperlink ref="G8" location="Guidance!A63" display="Guidance!A63" xr:uid="{9DA57255-07F1-4ADD-8033-9016AE460E40}"/>
    <hyperlink ref="G9" location="Guidance!A73" display="Guidance!A73" xr:uid="{DB8FAF1A-66EF-451F-A281-C74C10668F7E}"/>
    <hyperlink ref="G10" location="Guidance!A76" display="Guidance!A76" xr:uid="{67B749C3-0B1E-4509-9B7D-720BF1803B10}"/>
    <hyperlink ref="G11" location="Guidance!A85" display="Guidance!A85" xr:uid="{12BF4280-B940-4FF2-8ADB-DF43B4A4DC6D}"/>
    <hyperlink ref="G12" location="Guidance!A88" display="Guidance!A88" xr:uid="{B9CAFD31-5581-42DD-92F2-487796679357}"/>
    <hyperlink ref="G13" location="Guidance!A91" display="Guidance!A91" xr:uid="{A8C957FE-1B40-42D5-A3DC-CF811A212BE0}"/>
    <hyperlink ref="G14" location="Guidance!A97" display="Guidance!A97" xr:uid="{91ED2CB7-4A3C-4DC1-998B-4E1B517DF3FB}"/>
    <hyperlink ref="G15" location="Guidance!A100" display="Guidance!A100" xr:uid="{D347A35D-A200-4EA0-8023-C821E8C5803B}"/>
    <hyperlink ref="G16" location="Guidance!A103" display="Guidance!A103" xr:uid="{CE797A08-F86A-40DE-8BB1-213F3B418264}"/>
    <hyperlink ref="I8" location="Guidance!A120" display="Guidance!A120" xr:uid="{B9A94F10-3271-4B35-B5CF-8BC9740BD506}"/>
    <hyperlink ref="I7" location="Guidance!A112" display="Guidance!A112" xr:uid="{C9AF5E06-0EF2-4CC3-A45B-EE180E1BA21D}"/>
    <hyperlink ref="I6" location="Guidance!A108" display="Guidance!A108" xr:uid="{1B0DA144-489B-4530-9CF1-E3F6E91AE96A}"/>
    <hyperlink ref="A1:D1" location="Guidance!A3" display="Contents" xr:uid="{590CAA4F-F85D-4E90-853C-865BECD8A44D}"/>
    <hyperlink ref="A1" location="Guidance!A3" display="Contents" xr:uid="{86DA8F04-7E6F-4C34-9819-8F1DCCBEC9A4}"/>
    <hyperlink ref="G7" location="Guidance!A60" display="Guidance!A60" xr:uid="{D374D8C9-02CB-475D-9BA5-E70DCE796CD9}"/>
    <hyperlink ref="E73:K73" r:id="rId3" location="delivery-materials" display="Deliverables List |" xr:uid="{5D7C6195-7B26-4531-A56E-838040E75CA4}"/>
    <hyperlink ref="E48:K48" r:id="rId4" location="use-funding-for" display="There is a breakdown of what the BFI require within the budget in section 4. What you can use the funding for in the funding guidelines." xr:uid="{57950FA9-ED7E-4974-BD50-891E75D08699}"/>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5"/>
    <pageSetUpPr fitToPage="1"/>
  </sheetPr>
  <dimension ref="A1:AS289"/>
  <sheetViews>
    <sheetView showGridLines="0" showZeros="0" zoomScaleNormal="100" workbookViewId="0">
      <pane ySplit="5" topLeftCell="A150" activePane="bottomLeft" state="frozen"/>
      <selection pane="bottomLeft" activeCell="F166" sqref="F166:F170"/>
    </sheetView>
  </sheetViews>
  <sheetFormatPr defaultColWidth="0" defaultRowHeight="0" customHeight="1" zeroHeight="1" x14ac:dyDescent="0.25"/>
  <cols>
    <col min="1" max="1" width="0.77734375" style="29" customWidth="1"/>
    <col min="2" max="2" width="23.5546875" style="29" customWidth="1"/>
    <col min="3" max="3" width="14.21875" style="49" customWidth="1"/>
    <col min="4" max="4" width="12.21875" style="29" customWidth="1"/>
    <col min="5" max="5" width="0.77734375" style="171" customWidth="1"/>
    <col min="6" max="6" width="10" style="55" customWidth="1"/>
    <col min="7" max="7" width="33.77734375" style="47" bestFit="1" customWidth="1"/>
    <col min="8" max="8" width="9.5546875" style="50" bestFit="1" customWidth="1"/>
    <col min="9" max="9" width="6" style="49" bestFit="1" customWidth="1"/>
    <col min="10" max="10" width="8.77734375" style="40" bestFit="1" customWidth="1"/>
    <col min="11" max="11" width="13.77734375" style="35" customWidth="1"/>
    <col min="12" max="12" width="30.21875" style="66" customWidth="1"/>
    <col min="13" max="13" width="12.77734375" style="25" bestFit="1" customWidth="1"/>
    <col min="14" max="14" width="10.21875" style="134" bestFit="1" customWidth="1"/>
    <col min="15" max="15" width="23.21875" style="29" customWidth="1"/>
    <col min="16" max="16" width="2.21875" style="74" customWidth="1"/>
    <col min="17" max="45" width="9.21875" style="75" hidden="1" customWidth="1"/>
    <col min="46" max="16384" width="0" style="75" hidden="1"/>
  </cols>
  <sheetData>
    <row r="1" spans="2:16" s="72" customFormat="1" ht="34.950000000000003" customHeight="1" x14ac:dyDescent="0.3">
      <c r="B1" s="428" t="s">
        <v>60</v>
      </c>
      <c r="C1" s="428"/>
      <c r="D1" s="428"/>
      <c r="E1" s="428"/>
      <c r="F1" s="428"/>
      <c r="G1" s="428"/>
      <c r="H1" s="428"/>
      <c r="I1" s="428"/>
      <c r="J1" s="428"/>
      <c r="K1" s="428"/>
      <c r="L1" s="428"/>
      <c r="M1" s="144"/>
      <c r="N1" s="144"/>
      <c r="O1" s="145"/>
      <c r="P1" s="145"/>
    </row>
    <row r="2" spans="2:16" s="83" customFormat="1" ht="16.2" thickBot="1" x14ac:dyDescent="0.35">
      <c r="B2" s="429"/>
      <c r="C2" s="429"/>
      <c r="D2" s="429"/>
      <c r="E2" s="429"/>
      <c r="F2" s="429"/>
      <c r="G2" s="429"/>
      <c r="H2" s="429"/>
      <c r="I2" s="429"/>
      <c r="J2" s="429"/>
      <c r="K2" s="429"/>
      <c r="L2" s="429"/>
      <c r="M2" s="84"/>
      <c r="N2" s="129"/>
      <c r="O2" s="1"/>
      <c r="P2" s="1"/>
    </row>
    <row r="3" spans="2:16" s="29" customFormat="1" ht="15" customHeight="1" thickTop="1" thickBot="1" x14ac:dyDescent="0.35">
      <c r="B3" s="398" t="s">
        <v>5</v>
      </c>
      <c r="C3" s="399"/>
      <c r="D3" s="400"/>
      <c r="E3" s="83"/>
      <c r="F3" s="493" t="s">
        <v>21</v>
      </c>
      <c r="G3" s="494"/>
      <c r="H3" s="494"/>
      <c r="I3" s="494"/>
      <c r="J3" s="494"/>
      <c r="K3" s="494"/>
      <c r="L3" s="495"/>
      <c r="M3" s="476" t="s">
        <v>61</v>
      </c>
      <c r="N3" s="477"/>
      <c r="O3" s="478"/>
    </row>
    <row r="4" spans="2:16" s="29" customFormat="1" ht="15" customHeight="1" thickTop="1" x14ac:dyDescent="0.3">
      <c r="B4" s="386" t="s">
        <v>62</v>
      </c>
      <c r="C4" s="402"/>
      <c r="D4" s="403"/>
      <c r="E4" s="72"/>
      <c r="F4" s="146" t="s">
        <v>63</v>
      </c>
      <c r="G4" s="147" t="s">
        <v>64</v>
      </c>
      <c r="H4" s="148" t="s">
        <v>65</v>
      </c>
      <c r="I4" s="147" t="s">
        <v>66</v>
      </c>
      <c r="J4" s="147" t="s">
        <v>67</v>
      </c>
      <c r="K4" s="148" t="s">
        <v>68</v>
      </c>
      <c r="L4" s="471" t="s">
        <v>69</v>
      </c>
      <c r="M4" s="437" t="s">
        <v>70</v>
      </c>
      <c r="N4" s="439" t="s">
        <v>71</v>
      </c>
      <c r="O4" s="441" t="s">
        <v>69</v>
      </c>
    </row>
    <row r="5" spans="2:16" s="29" customFormat="1" ht="15" customHeight="1" thickBot="1" x14ac:dyDescent="0.35">
      <c r="B5" s="401"/>
      <c r="C5" s="404"/>
      <c r="D5" s="405"/>
      <c r="E5" s="83"/>
      <c r="F5" s="465" t="s">
        <v>72</v>
      </c>
      <c r="G5" s="466"/>
      <c r="H5" s="139">
        <v>5</v>
      </c>
      <c r="I5" s="140" t="s">
        <v>73</v>
      </c>
      <c r="J5" s="141">
        <v>500</v>
      </c>
      <c r="K5" s="142">
        <f>H5*J5</f>
        <v>2500</v>
      </c>
      <c r="L5" s="472"/>
      <c r="M5" s="438"/>
      <c r="N5" s="440"/>
      <c r="O5" s="442"/>
    </row>
    <row r="6" spans="2:16" s="29" customFormat="1" ht="15" customHeight="1" x14ac:dyDescent="0.3">
      <c r="B6" s="406" t="s">
        <v>74</v>
      </c>
      <c r="C6" s="407"/>
      <c r="D6" s="408"/>
      <c r="E6" s="72"/>
      <c r="F6" s="149">
        <v>1</v>
      </c>
      <c r="G6" s="467" t="s">
        <v>75</v>
      </c>
      <c r="H6" s="467"/>
      <c r="I6" s="467"/>
      <c r="J6" s="467"/>
      <c r="K6" s="467"/>
      <c r="L6" s="150"/>
      <c r="M6" s="425"/>
      <c r="N6" s="426"/>
      <c r="O6" s="427"/>
    </row>
    <row r="7" spans="2:16" s="29" customFormat="1" ht="15" customHeight="1" x14ac:dyDescent="0.3">
      <c r="B7" s="385"/>
      <c r="C7" s="409"/>
      <c r="D7" s="410"/>
      <c r="E7" s="72"/>
      <c r="F7" s="54">
        <v>1.1000000000000001</v>
      </c>
      <c r="G7" s="89" t="s">
        <v>76</v>
      </c>
      <c r="H7" s="57"/>
      <c r="I7" s="42"/>
      <c r="J7" s="37"/>
      <c r="K7" s="76">
        <f>J7*H7</f>
        <v>0</v>
      </c>
      <c r="L7" s="60"/>
      <c r="M7" s="27"/>
      <c r="N7" s="130">
        <f>K7-M7</f>
        <v>0</v>
      </c>
      <c r="O7" s="67"/>
    </row>
    <row r="8" spans="2:16" s="29" customFormat="1" ht="15" customHeight="1" x14ac:dyDescent="0.3">
      <c r="B8" s="383" t="s">
        <v>77</v>
      </c>
      <c r="C8" s="411"/>
      <c r="D8" s="412"/>
      <c r="E8" s="83"/>
      <c r="F8" s="51">
        <v>1.2</v>
      </c>
      <c r="G8" s="43" t="s">
        <v>78</v>
      </c>
      <c r="H8" s="57"/>
      <c r="I8" s="42"/>
      <c r="J8" s="37"/>
      <c r="K8" s="76">
        <f>J8*H8</f>
        <v>0</v>
      </c>
      <c r="L8" s="60"/>
      <c r="M8" s="27"/>
      <c r="N8" s="130">
        <f>K8-M8</f>
        <v>0</v>
      </c>
      <c r="O8" s="67"/>
    </row>
    <row r="9" spans="2:16" s="29" customFormat="1" ht="15" customHeight="1" thickBot="1" x14ac:dyDescent="0.35">
      <c r="B9" s="385"/>
      <c r="C9" s="409"/>
      <c r="D9" s="410"/>
      <c r="E9" s="83"/>
      <c r="F9" s="51"/>
      <c r="G9" s="43"/>
      <c r="H9" s="58"/>
      <c r="I9" s="44"/>
      <c r="J9" s="38"/>
      <c r="K9" s="85"/>
      <c r="L9" s="60"/>
      <c r="M9" s="28"/>
      <c r="N9" s="131"/>
      <c r="O9" s="68"/>
    </row>
    <row r="10" spans="2:16" s="29" customFormat="1" ht="14.4" thickTop="1" thickBot="1" x14ac:dyDescent="0.35">
      <c r="B10" s="383" t="s">
        <v>79</v>
      </c>
      <c r="C10" s="411"/>
      <c r="D10" s="412"/>
      <c r="E10" s="83"/>
      <c r="F10" s="396" t="s">
        <v>80</v>
      </c>
      <c r="G10" s="397"/>
      <c r="H10" s="397"/>
      <c r="I10" s="397"/>
      <c r="J10" s="397"/>
      <c r="K10" s="33">
        <f>SUM(K7:K9)</f>
        <v>0</v>
      </c>
      <c r="L10" s="62"/>
      <c r="M10" s="80">
        <f>SUM(M7:M9)</f>
        <v>0</v>
      </c>
      <c r="N10" s="81">
        <f>SUM(N7:N9)</f>
        <v>0</v>
      </c>
      <c r="O10" s="70"/>
    </row>
    <row r="11" spans="2:16" s="29" customFormat="1" ht="15" customHeight="1" x14ac:dyDescent="0.3">
      <c r="B11" s="385"/>
      <c r="C11" s="409"/>
      <c r="D11" s="410"/>
      <c r="E11" s="83"/>
      <c r="F11" s="149">
        <v>2</v>
      </c>
      <c r="G11" s="467" t="s">
        <v>81</v>
      </c>
      <c r="H11" s="467"/>
      <c r="I11" s="467"/>
      <c r="J11" s="467"/>
      <c r="K11" s="467"/>
      <c r="L11" s="150"/>
      <c r="M11" s="425"/>
      <c r="N11" s="426"/>
      <c r="O11" s="427"/>
    </row>
    <row r="12" spans="2:16" s="29" customFormat="1" ht="15" customHeight="1" x14ac:dyDescent="0.3">
      <c r="B12" s="383" t="s">
        <v>82</v>
      </c>
      <c r="C12" s="411"/>
      <c r="D12" s="412"/>
      <c r="E12" s="151"/>
      <c r="F12" s="54">
        <v>2.1</v>
      </c>
      <c r="G12" s="89" t="s">
        <v>83</v>
      </c>
      <c r="H12" s="57"/>
      <c r="I12" s="42"/>
      <c r="J12" s="37"/>
      <c r="K12" s="76">
        <f>H12*J12</f>
        <v>0</v>
      </c>
      <c r="L12" s="60"/>
      <c r="M12" s="27"/>
      <c r="N12" s="130">
        <f>K12-M12</f>
        <v>0</v>
      </c>
      <c r="O12" s="67"/>
    </row>
    <row r="13" spans="2:16" s="29" customFormat="1" ht="15" customHeight="1" thickBot="1" x14ac:dyDescent="0.35">
      <c r="B13" s="384"/>
      <c r="C13" s="413"/>
      <c r="D13" s="414"/>
      <c r="E13" s="83"/>
      <c r="F13" s="51">
        <v>2.2000000000000002</v>
      </c>
      <c r="G13" s="43" t="s">
        <v>84</v>
      </c>
      <c r="H13" s="57"/>
      <c r="I13" s="42"/>
      <c r="J13" s="37"/>
      <c r="K13" s="76">
        <f>H13*J13</f>
        <v>0</v>
      </c>
      <c r="L13" s="60"/>
      <c r="M13" s="27"/>
      <c r="N13" s="130">
        <f>K13-M13</f>
        <v>0</v>
      </c>
      <c r="O13" s="67"/>
    </row>
    <row r="14" spans="2:16" s="29" customFormat="1" ht="15" customHeight="1" thickTop="1" thickBot="1" x14ac:dyDescent="0.35">
      <c r="B14" s="386" t="s">
        <v>85</v>
      </c>
      <c r="C14" s="454"/>
      <c r="D14" s="455"/>
      <c r="E14" s="83"/>
      <c r="F14" s="51"/>
      <c r="G14" s="43"/>
      <c r="H14" s="58"/>
      <c r="I14" s="44"/>
      <c r="J14" s="38"/>
      <c r="K14" s="85"/>
      <c r="L14" s="60"/>
      <c r="M14" s="28"/>
      <c r="N14" s="131"/>
      <c r="O14" s="68"/>
    </row>
    <row r="15" spans="2:16" s="29" customFormat="1" ht="14.4" thickTop="1" thickBot="1" x14ac:dyDescent="0.35">
      <c r="B15" s="385"/>
      <c r="C15" s="456"/>
      <c r="D15" s="457"/>
      <c r="E15" s="90"/>
      <c r="F15" s="396" t="s">
        <v>80</v>
      </c>
      <c r="G15" s="397"/>
      <c r="H15" s="397"/>
      <c r="I15" s="397"/>
      <c r="J15" s="397"/>
      <c r="K15" s="33">
        <f>SUM(K12:K14)</f>
        <v>0</v>
      </c>
      <c r="L15" s="62"/>
      <c r="M15" s="80">
        <f>SUM(M12:M14)</f>
        <v>0</v>
      </c>
      <c r="N15" s="81">
        <f>SUM(N12:N14)</f>
        <v>0</v>
      </c>
      <c r="O15" s="70"/>
    </row>
    <row r="16" spans="2:16" s="29" customFormat="1" ht="15" customHeight="1" x14ac:dyDescent="0.3">
      <c r="B16" s="383" t="s">
        <v>86</v>
      </c>
      <c r="C16" s="458"/>
      <c r="D16" s="459"/>
      <c r="E16" s="90"/>
      <c r="F16" s="152">
        <v>3</v>
      </c>
      <c r="G16" s="467" t="s">
        <v>87</v>
      </c>
      <c r="H16" s="467"/>
      <c r="I16" s="467"/>
      <c r="J16" s="467"/>
      <c r="K16" s="467"/>
      <c r="L16" s="153"/>
      <c r="M16" s="425"/>
      <c r="N16" s="426"/>
      <c r="O16" s="427"/>
    </row>
    <row r="17" spans="2:15" s="29" customFormat="1" ht="15" customHeight="1" x14ac:dyDescent="0.3">
      <c r="B17" s="385"/>
      <c r="C17" s="456"/>
      <c r="D17" s="457"/>
      <c r="E17" s="90"/>
      <c r="F17" s="102">
        <v>3.1</v>
      </c>
      <c r="G17" s="91" t="s">
        <v>88</v>
      </c>
      <c r="H17" s="57"/>
      <c r="I17" s="42"/>
      <c r="J17" s="37"/>
      <c r="K17" s="82">
        <f>H17*J17</f>
        <v>0</v>
      </c>
      <c r="L17" s="92"/>
      <c r="M17" s="27"/>
      <c r="N17" s="130">
        <f>K17-M17</f>
        <v>0</v>
      </c>
      <c r="O17" s="67"/>
    </row>
    <row r="18" spans="2:15" s="29" customFormat="1" ht="15" customHeight="1" thickBot="1" x14ac:dyDescent="0.35">
      <c r="B18" s="383" t="s">
        <v>89</v>
      </c>
      <c r="C18" s="458"/>
      <c r="D18" s="459"/>
      <c r="E18" s="154"/>
      <c r="F18" s="53"/>
      <c r="G18" s="45"/>
      <c r="H18" s="59"/>
      <c r="I18" s="46"/>
      <c r="J18" s="39"/>
      <c r="K18" s="88"/>
      <c r="L18" s="63"/>
      <c r="M18" s="105"/>
      <c r="N18" s="131"/>
      <c r="O18" s="68"/>
    </row>
    <row r="19" spans="2:15" s="29" customFormat="1" ht="14.4" thickTop="1" thickBot="1" x14ac:dyDescent="0.35">
      <c r="B19" s="385"/>
      <c r="C19" s="456"/>
      <c r="D19" s="457"/>
      <c r="E19" s="90"/>
      <c r="F19" s="390" t="s">
        <v>80</v>
      </c>
      <c r="G19" s="391"/>
      <c r="H19" s="391"/>
      <c r="I19" s="391"/>
      <c r="J19" s="391"/>
      <c r="K19" s="32">
        <f>SUM(K17:K18)</f>
        <v>0</v>
      </c>
      <c r="L19" s="61"/>
      <c r="M19" s="78">
        <f>SUM(M17:M18)</f>
        <v>0</v>
      </c>
      <c r="N19" s="79">
        <f>SUM(N17:N18)</f>
        <v>0</v>
      </c>
      <c r="O19" s="69"/>
    </row>
    <row r="20" spans="2:15" s="73" customFormat="1" ht="15" customHeight="1" thickTop="1" x14ac:dyDescent="0.3">
      <c r="B20" s="383" t="s">
        <v>90</v>
      </c>
      <c r="C20" s="458"/>
      <c r="D20" s="459"/>
      <c r="E20" s="90"/>
      <c r="F20" s="509" t="s">
        <v>91</v>
      </c>
      <c r="G20" s="510"/>
      <c r="H20" s="510"/>
      <c r="I20" s="510"/>
      <c r="J20" s="510"/>
      <c r="K20" s="510"/>
      <c r="L20" s="513">
        <f>K10+K15+K19</f>
        <v>0</v>
      </c>
      <c r="M20" s="479">
        <f>SUM(M10,M15,M19)</f>
        <v>0</v>
      </c>
      <c r="N20" s="481">
        <f>SUM(N19,N10,N15)</f>
        <v>0</v>
      </c>
      <c r="O20" s="482"/>
    </row>
    <row r="21" spans="2:15" s="73" customFormat="1" ht="15" customHeight="1" thickBot="1" x14ac:dyDescent="0.35">
      <c r="B21" s="384"/>
      <c r="C21" s="460"/>
      <c r="D21" s="461"/>
      <c r="E21" s="90"/>
      <c r="F21" s="511"/>
      <c r="G21" s="512"/>
      <c r="H21" s="512"/>
      <c r="I21" s="512"/>
      <c r="J21" s="512"/>
      <c r="K21" s="512"/>
      <c r="L21" s="514"/>
      <c r="M21" s="480"/>
      <c r="N21" s="483"/>
      <c r="O21" s="484"/>
    </row>
    <row r="22" spans="2:15" s="29" customFormat="1" ht="15" customHeight="1" thickTop="1" thickBot="1" x14ac:dyDescent="0.35">
      <c r="B22" s="415" t="s">
        <v>15</v>
      </c>
      <c r="C22" s="416"/>
      <c r="D22" s="417"/>
      <c r="E22" s="90"/>
      <c r="F22" s="155">
        <v>4</v>
      </c>
      <c r="G22" s="496" t="s">
        <v>92</v>
      </c>
      <c r="H22" s="496"/>
      <c r="I22" s="496"/>
      <c r="J22" s="496"/>
      <c r="K22" s="496"/>
      <c r="L22" s="156"/>
      <c r="M22" s="425"/>
      <c r="N22" s="426"/>
      <c r="O22" s="427"/>
    </row>
    <row r="23" spans="2:15" s="29" customFormat="1" ht="15" customHeight="1" x14ac:dyDescent="0.3">
      <c r="B23" s="157" t="s">
        <v>93</v>
      </c>
      <c r="C23" s="158" t="s">
        <v>94</v>
      </c>
      <c r="D23" s="159" t="s">
        <v>95</v>
      </c>
      <c r="E23" s="90"/>
      <c r="F23" s="51">
        <v>4.0999999999999996</v>
      </c>
      <c r="G23" s="43" t="s">
        <v>96</v>
      </c>
      <c r="H23" s="57"/>
      <c r="I23" s="42"/>
      <c r="J23" s="37"/>
      <c r="K23" s="76">
        <f>H23*J23</f>
        <v>0</v>
      </c>
      <c r="L23" s="60"/>
      <c r="M23" s="27"/>
      <c r="N23" s="130">
        <f>K23-M23</f>
        <v>0</v>
      </c>
      <c r="O23" s="67"/>
    </row>
    <row r="24" spans="2:15" s="29" customFormat="1" ht="15" customHeight="1" x14ac:dyDescent="0.3">
      <c r="B24" s="431" t="s">
        <v>97</v>
      </c>
      <c r="C24" s="433"/>
      <c r="D24" s="434"/>
      <c r="E24" s="90"/>
      <c r="F24" s="52">
        <v>4.2</v>
      </c>
      <c r="G24" s="468" t="s">
        <v>98</v>
      </c>
      <c r="H24" s="469"/>
      <c r="I24" s="469"/>
      <c r="J24" s="469"/>
      <c r="K24" s="469"/>
      <c r="L24" s="470"/>
      <c r="M24" s="473"/>
      <c r="N24" s="474"/>
      <c r="O24" s="475"/>
    </row>
    <row r="25" spans="2:15" s="29" customFormat="1" ht="15" customHeight="1" x14ac:dyDescent="0.3">
      <c r="B25" s="432"/>
      <c r="C25" s="435"/>
      <c r="D25" s="436"/>
      <c r="E25" s="90"/>
      <c r="F25" s="51" t="s">
        <v>99</v>
      </c>
      <c r="G25" s="43" t="s">
        <v>100</v>
      </c>
      <c r="H25" s="57"/>
      <c r="I25" s="42"/>
      <c r="J25" s="37"/>
      <c r="K25" s="76">
        <f>H25*J25</f>
        <v>0</v>
      </c>
      <c r="L25" s="60"/>
      <c r="M25" s="27"/>
      <c r="N25" s="130">
        <f>K25-M25</f>
        <v>0</v>
      </c>
      <c r="O25" s="67"/>
    </row>
    <row r="26" spans="2:15" s="29" customFormat="1" ht="15" customHeight="1" x14ac:dyDescent="0.3">
      <c r="B26" s="388" t="s">
        <v>101</v>
      </c>
      <c r="C26" s="379"/>
      <c r="D26" s="381" t="s">
        <v>102</v>
      </c>
      <c r="E26" s="83"/>
      <c r="F26" s="51" t="s">
        <v>103</v>
      </c>
      <c r="G26" s="43" t="s">
        <v>104</v>
      </c>
      <c r="H26" s="57"/>
      <c r="I26" s="42"/>
      <c r="J26" s="37"/>
      <c r="K26" s="76">
        <f>H26*J26</f>
        <v>0</v>
      </c>
      <c r="L26" s="60"/>
      <c r="M26" s="27"/>
      <c r="N26" s="130">
        <f>K26-M26</f>
        <v>0</v>
      </c>
      <c r="O26" s="67"/>
    </row>
    <row r="27" spans="2:15" s="29" customFormat="1" ht="15" customHeight="1" x14ac:dyDescent="0.3">
      <c r="B27" s="389"/>
      <c r="C27" s="387"/>
      <c r="D27" s="382"/>
      <c r="E27" s="151"/>
      <c r="F27" s="51" t="s">
        <v>105</v>
      </c>
      <c r="G27" s="43" t="s">
        <v>106</v>
      </c>
      <c r="H27" s="57"/>
      <c r="I27" s="42"/>
      <c r="J27" s="37"/>
      <c r="K27" s="76">
        <f>H27*J27</f>
        <v>0</v>
      </c>
      <c r="L27" s="60"/>
      <c r="M27" s="27"/>
      <c r="N27" s="130">
        <f>K27-M27</f>
        <v>0</v>
      </c>
      <c r="O27" s="67"/>
    </row>
    <row r="28" spans="2:15" s="29" customFormat="1" ht="15" customHeight="1" x14ac:dyDescent="0.3">
      <c r="B28" s="388"/>
      <c r="C28" s="379"/>
      <c r="D28" s="381" t="s">
        <v>102</v>
      </c>
      <c r="E28" s="83"/>
      <c r="F28" s="52">
        <v>4.3</v>
      </c>
      <c r="G28" s="468" t="s">
        <v>107</v>
      </c>
      <c r="H28" s="469"/>
      <c r="I28" s="469"/>
      <c r="J28" s="469"/>
      <c r="K28" s="469"/>
      <c r="L28" s="470"/>
      <c r="M28" s="473"/>
      <c r="N28" s="474"/>
      <c r="O28" s="475"/>
    </row>
    <row r="29" spans="2:15" s="29" customFormat="1" ht="15" customHeight="1" x14ac:dyDescent="0.3">
      <c r="B29" s="389"/>
      <c r="C29" s="387"/>
      <c r="D29" s="382"/>
      <c r="E29" s="83"/>
      <c r="F29" s="51" t="s">
        <v>108</v>
      </c>
      <c r="G29" s="43" t="s">
        <v>109</v>
      </c>
      <c r="H29" s="57"/>
      <c r="I29" s="42"/>
      <c r="J29" s="37"/>
      <c r="K29" s="76">
        <f>H29*J29</f>
        <v>0</v>
      </c>
      <c r="L29" s="60"/>
      <c r="M29" s="27"/>
      <c r="N29" s="130">
        <f>K29-M29</f>
        <v>0</v>
      </c>
      <c r="O29" s="67"/>
    </row>
    <row r="30" spans="2:15" s="29" customFormat="1" ht="15" customHeight="1" x14ac:dyDescent="0.3">
      <c r="B30" s="388"/>
      <c r="C30" s="379">
        <v>0</v>
      </c>
      <c r="D30" s="381" t="s">
        <v>102</v>
      </c>
      <c r="E30" s="83"/>
      <c r="F30" s="51" t="s">
        <v>110</v>
      </c>
      <c r="G30" s="43" t="s">
        <v>111</v>
      </c>
      <c r="H30" s="57"/>
      <c r="I30" s="42"/>
      <c r="J30" s="37"/>
      <c r="K30" s="76">
        <f>H30*J30</f>
        <v>0</v>
      </c>
      <c r="L30" s="60"/>
      <c r="M30" s="27"/>
      <c r="N30" s="130">
        <f>K30-M30</f>
        <v>0</v>
      </c>
      <c r="O30" s="67"/>
    </row>
    <row r="31" spans="2:15" s="29" customFormat="1" ht="15" customHeight="1" x14ac:dyDescent="0.3">
      <c r="B31" s="389"/>
      <c r="C31" s="387"/>
      <c r="D31" s="382"/>
      <c r="E31" s="83"/>
      <c r="F31" s="51" t="s">
        <v>112</v>
      </c>
      <c r="G31" s="43" t="s">
        <v>113</v>
      </c>
      <c r="H31" s="57"/>
      <c r="I31" s="42"/>
      <c r="J31" s="37"/>
      <c r="K31" s="76">
        <f>H31*J31</f>
        <v>0</v>
      </c>
      <c r="L31" s="60"/>
      <c r="M31" s="27"/>
      <c r="N31" s="130">
        <f>K31-M31</f>
        <v>0</v>
      </c>
      <c r="O31" s="67"/>
    </row>
    <row r="32" spans="2:15" s="29" customFormat="1" ht="15" customHeight="1" x14ac:dyDescent="0.3">
      <c r="B32" s="388"/>
      <c r="C32" s="379">
        <v>0</v>
      </c>
      <c r="D32" s="381" t="s">
        <v>102</v>
      </c>
      <c r="E32" s="83"/>
      <c r="F32" s="52">
        <v>4.4000000000000004</v>
      </c>
      <c r="G32" s="468" t="s">
        <v>114</v>
      </c>
      <c r="H32" s="469"/>
      <c r="I32" s="469"/>
      <c r="J32" s="469"/>
      <c r="K32" s="469"/>
      <c r="L32" s="470"/>
      <c r="M32" s="462"/>
      <c r="N32" s="463"/>
      <c r="O32" s="464"/>
    </row>
    <row r="33" spans="2:15" s="29" customFormat="1" ht="15" customHeight="1" thickBot="1" x14ac:dyDescent="0.35">
      <c r="B33" s="430"/>
      <c r="C33" s="380"/>
      <c r="D33" s="382"/>
      <c r="E33" s="83"/>
      <c r="F33" s="51" t="s">
        <v>115</v>
      </c>
      <c r="G33" s="43" t="s">
        <v>116</v>
      </c>
      <c r="H33" s="57"/>
      <c r="I33" s="42"/>
      <c r="J33" s="37"/>
      <c r="K33" s="76">
        <f t="shared" ref="K33:K38" si="0">H33*J33</f>
        <v>0</v>
      </c>
      <c r="L33" s="60"/>
      <c r="M33" s="27"/>
      <c r="N33" s="130">
        <f t="shared" ref="N33:N38" si="1">K33-M33</f>
        <v>0</v>
      </c>
      <c r="O33" s="67"/>
    </row>
    <row r="34" spans="2:15" s="29" customFormat="1" ht="15" customHeight="1" thickTop="1" x14ac:dyDescent="0.3">
      <c r="B34" s="418" t="s">
        <v>117</v>
      </c>
      <c r="C34" s="443">
        <f>SUM(C24:C33)</f>
        <v>0</v>
      </c>
      <c r="D34" s="422"/>
      <c r="E34" s="83"/>
      <c r="F34" s="51" t="s">
        <v>118</v>
      </c>
      <c r="G34" s="43" t="s">
        <v>116</v>
      </c>
      <c r="H34" s="57"/>
      <c r="I34" s="42"/>
      <c r="J34" s="37"/>
      <c r="K34" s="76">
        <f t="shared" si="0"/>
        <v>0</v>
      </c>
      <c r="L34" s="60"/>
      <c r="M34" s="27"/>
      <c r="N34" s="130">
        <f t="shared" si="1"/>
        <v>0</v>
      </c>
      <c r="O34" s="67"/>
    </row>
    <row r="35" spans="2:15" s="29" customFormat="1" ht="15" customHeight="1" thickBot="1" x14ac:dyDescent="0.35">
      <c r="B35" s="385"/>
      <c r="C35" s="444"/>
      <c r="D35" s="445"/>
      <c r="E35" s="83"/>
      <c r="F35" s="51" t="s">
        <v>119</v>
      </c>
      <c r="G35" s="43" t="s">
        <v>116</v>
      </c>
      <c r="H35" s="57"/>
      <c r="I35" s="42"/>
      <c r="J35" s="37"/>
      <c r="K35" s="76">
        <f t="shared" si="0"/>
        <v>0</v>
      </c>
      <c r="L35" s="60"/>
      <c r="M35" s="27"/>
      <c r="N35" s="130">
        <f t="shared" si="1"/>
        <v>0</v>
      </c>
      <c r="O35" s="67"/>
    </row>
    <row r="36" spans="2:15" s="29" customFormat="1" ht="15" customHeight="1" x14ac:dyDescent="0.3">
      <c r="B36" s="383" t="s">
        <v>120</v>
      </c>
      <c r="C36" s="446">
        <f>J214</f>
        <v>0</v>
      </c>
      <c r="D36" s="447"/>
      <c r="E36" s="83"/>
      <c r="F36" s="51">
        <v>4.5</v>
      </c>
      <c r="G36" s="43" t="s">
        <v>121</v>
      </c>
      <c r="H36" s="57"/>
      <c r="I36" s="42"/>
      <c r="J36" s="37"/>
      <c r="K36" s="76">
        <f t="shared" si="0"/>
        <v>0</v>
      </c>
      <c r="L36" s="60"/>
      <c r="M36" s="27"/>
      <c r="N36" s="130">
        <f t="shared" si="1"/>
        <v>0</v>
      </c>
      <c r="O36" s="67"/>
    </row>
    <row r="37" spans="2:15" s="29" customFormat="1" ht="15" customHeight="1" thickBot="1" x14ac:dyDescent="0.35">
      <c r="B37" s="385"/>
      <c r="C37" s="448"/>
      <c r="D37" s="449"/>
      <c r="E37" s="83"/>
      <c r="F37" s="51">
        <v>4.5999999999999996</v>
      </c>
      <c r="G37" s="43" t="s">
        <v>122</v>
      </c>
      <c r="H37" s="57"/>
      <c r="I37" s="42"/>
      <c r="J37" s="37"/>
      <c r="K37" s="76">
        <f t="shared" si="0"/>
        <v>0</v>
      </c>
      <c r="L37" s="60"/>
      <c r="M37" s="27"/>
      <c r="N37" s="130">
        <f t="shared" si="1"/>
        <v>0</v>
      </c>
      <c r="O37" s="67"/>
    </row>
    <row r="38" spans="2:15" s="29" customFormat="1" ht="15" customHeight="1" x14ac:dyDescent="0.3">
      <c r="B38" s="383" t="s">
        <v>123</v>
      </c>
      <c r="C38" s="450">
        <f>-(C36-C34)</f>
        <v>0</v>
      </c>
      <c r="D38" s="451"/>
      <c r="E38" s="83"/>
      <c r="F38" s="51">
        <v>4.7</v>
      </c>
      <c r="G38" s="43" t="s">
        <v>124</v>
      </c>
      <c r="H38" s="57"/>
      <c r="I38" s="42"/>
      <c r="J38" s="37"/>
      <c r="K38" s="76">
        <f t="shared" si="0"/>
        <v>0</v>
      </c>
      <c r="L38" s="60"/>
      <c r="M38" s="27"/>
      <c r="N38" s="130">
        <f t="shared" si="1"/>
        <v>0</v>
      </c>
      <c r="O38" s="67"/>
    </row>
    <row r="39" spans="2:15" s="29" customFormat="1" ht="15" customHeight="1" thickBot="1" x14ac:dyDescent="0.35">
      <c r="B39" s="384"/>
      <c r="C39" s="452"/>
      <c r="D39" s="453"/>
      <c r="E39" s="83"/>
      <c r="F39" s="51"/>
      <c r="G39" s="43"/>
      <c r="H39" s="58"/>
      <c r="I39" s="44"/>
      <c r="J39" s="38"/>
      <c r="K39" s="85"/>
      <c r="L39" s="60"/>
      <c r="M39" s="28"/>
      <c r="N39" s="131"/>
      <c r="O39" s="68"/>
    </row>
    <row r="40" spans="2:15" s="29" customFormat="1" ht="15" customHeight="1" thickTop="1" thickBot="1" x14ac:dyDescent="0.35">
      <c r="B40" s="415" t="s">
        <v>18</v>
      </c>
      <c r="C40" s="416"/>
      <c r="D40" s="417"/>
      <c r="E40" s="83"/>
      <c r="F40" s="396" t="s">
        <v>80</v>
      </c>
      <c r="G40" s="397"/>
      <c r="H40" s="397"/>
      <c r="I40" s="397"/>
      <c r="J40" s="397"/>
      <c r="K40" s="33">
        <f>SUM(K23:K39)</f>
        <v>0</v>
      </c>
      <c r="L40" s="62"/>
      <c r="M40" s="80">
        <f>SUM(M23:M39)</f>
        <v>0</v>
      </c>
      <c r="N40" s="81">
        <f>SUM(N23:N39)</f>
        <v>0</v>
      </c>
      <c r="O40" s="70"/>
    </row>
    <row r="41" spans="2:15" s="73" customFormat="1" ht="15" customHeight="1" x14ac:dyDescent="0.3">
      <c r="B41" s="157" t="s">
        <v>93</v>
      </c>
      <c r="C41" s="160" t="s">
        <v>94</v>
      </c>
      <c r="D41" s="161" t="s">
        <v>95</v>
      </c>
      <c r="E41" s="151"/>
      <c r="F41" s="149">
        <v>5</v>
      </c>
      <c r="G41" s="392" t="s">
        <v>125</v>
      </c>
      <c r="H41" s="392"/>
      <c r="I41" s="392"/>
      <c r="J41" s="392"/>
      <c r="K41" s="392"/>
      <c r="L41" s="162"/>
      <c r="M41" s="425"/>
      <c r="N41" s="426"/>
      <c r="O41" s="427"/>
    </row>
    <row r="42" spans="2:15" s="73" customFormat="1" ht="15" customHeight="1" x14ac:dyDescent="0.3">
      <c r="B42" s="388" t="s">
        <v>126</v>
      </c>
      <c r="C42" s="379">
        <v>0</v>
      </c>
      <c r="D42" s="381" t="s">
        <v>102</v>
      </c>
      <c r="E42" s="83"/>
      <c r="F42" s="51">
        <v>5.0999999999999996</v>
      </c>
      <c r="G42" s="43" t="s">
        <v>127</v>
      </c>
      <c r="H42" s="57"/>
      <c r="I42" s="42"/>
      <c r="J42" s="37"/>
      <c r="K42" s="76">
        <f t="shared" ref="K42:K48" si="2">H42*J42</f>
        <v>0</v>
      </c>
      <c r="L42" s="60"/>
      <c r="M42" s="27"/>
      <c r="N42" s="130">
        <f t="shared" ref="N42:N48" si="3">K42-M42</f>
        <v>0</v>
      </c>
      <c r="O42" s="67"/>
    </row>
    <row r="43" spans="2:15" s="29" customFormat="1" ht="15" customHeight="1" x14ac:dyDescent="0.3">
      <c r="B43" s="389"/>
      <c r="C43" s="387"/>
      <c r="D43" s="382"/>
      <c r="E43" s="83"/>
      <c r="F43" s="51">
        <v>5.2</v>
      </c>
      <c r="G43" s="43" t="s">
        <v>128</v>
      </c>
      <c r="H43" s="57"/>
      <c r="I43" s="42"/>
      <c r="J43" s="37"/>
      <c r="K43" s="76">
        <f t="shared" si="2"/>
        <v>0</v>
      </c>
      <c r="L43" s="60"/>
      <c r="M43" s="27"/>
      <c r="N43" s="130">
        <f t="shared" si="3"/>
        <v>0</v>
      </c>
      <c r="O43" s="67"/>
    </row>
    <row r="44" spans="2:15" s="73" customFormat="1" ht="15" customHeight="1" x14ac:dyDescent="0.3">
      <c r="B44" s="388"/>
      <c r="C44" s="379">
        <v>0</v>
      </c>
      <c r="D44" s="381" t="s">
        <v>102</v>
      </c>
      <c r="E44" s="83"/>
      <c r="F44" s="51">
        <v>5.3</v>
      </c>
      <c r="G44" s="43" t="s">
        <v>129</v>
      </c>
      <c r="H44" s="57"/>
      <c r="I44" s="42"/>
      <c r="J44" s="37"/>
      <c r="K44" s="76">
        <f t="shared" si="2"/>
        <v>0</v>
      </c>
      <c r="L44" s="60"/>
      <c r="M44" s="27"/>
      <c r="N44" s="130">
        <f t="shared" si="3"/>
        <v>0</v>
      </c>
      <c r="O44" s="67"/>
    </row>
    <row r="45" spans="2:15" s="29" customFormat="1" ht="15" customHeight="1" x14ac:dyDescent="0.3">
      <c r="B45" s="389"/>
      <c r="C45" s="387"/>
      <c r="D45" s="382"/>
      <c r="E45" s="83"/>
      <c r="F45" s="51">
        <v>5.4</v>
      </c>
      <c r="G45" s="43" t="s">
        <v>130</v>
      </c>
      <c r="H45" s="57"/>
      <c r="I45" s="42"/>
      <c r="J45" s="37"/>
      <c r="K45" s="76">
        <f t="shared" si="2"/>
        <v>0</v>
      </c>
      <c r="L45" s="60"/>
      <c r="M45" s="27"/>
      <c r="N45" s="130">
        <f t="shared" si="3"/>
        <v>0</v>
      </c>
      <c r="O45" s="67"/>
    </row>
    <row r="46" spans="2:15" s="29" customFormat="1" ht="15" customHeight="1" x14ac:dyDescent="0.3">
      <c r="B46" s="388"/>
      <c r="C46" s="379">
        <v>0</v>
      </c>
      <c r="D46" s="381" t="s">
        <v>102</v>
      </c>
      <c r="E46" s="83"/>
      <c r="F46" s="51">
        <v>5.5</v>
      </c>
      <c r="G46" s="43" t="s">
        <v>131</v>
      </c>
      <c r="H46" s="57"/>
      <c r="I46" s="42"/>
      <c r="J46" s="37"/>
      <c r="K46" s="76">
        <f t="shared" si="2"/>
        <v>0</v>
      </c>
      <c r="L46" s="60"/>
      <c r="M46" s="27"/>
      <c r="N46" s="130">
        <f t="shared" si="3"/>
        <v>0</v>
      </c>
      <c r="O46" s="67"/>
    </row>
    <row r="47" spans="2:15" s="73" customFormat="1" ht="15" customHeight="1" thickBot="1" x14ac:dyDescent="0.35">
      <c r="B47" s="430"/>
      <c r="C47" s="380"/>
      <c r="D47" s="382"/>
      <c r="E47" s="83"/>
      <c r="F47" s="51">
        <v>5.6</v>
      </c>
      <c r="G47" s="43" t="s">
        <v>132</v>
      </c>
      <c r="H47" s="57"/>
      <c r="I47" s="42"/>
      <c r="J47" s="37"/>
      <c r="K47" s="76">
        <f t="shared" si="2"/>
        <v>0</v>
      </c>
      <c r="L47" s="60"/>
      <c r="M47" s="27"/>
      <c r="N47" s="130">
        <f t="shared" si="3"/>
        <v>0</v>
      </c>
      <c r="O47" s="67"/>
    </row>
    <row r="48" spans="2:15" s="73" customFormat="1" ht="15" customHeight="1" thickTop="1" x14ac:dyDescent="0.3">
      <c r="B48" s="419" t="s">
        <v>133</v>
      </c>
      <c r="C48" s="421">
        <f>SUM(C42:C47)</f>
        <v>0</v>
      </c>
      <c r="D48" s="422"/>
      <c r="E48" s="83"/>
      <c r="F48" s="51">
        <v>5.7</v>
      </c>
      <c r="G48" s="43" t="s">
        <v>134</v>
      </c>
      <c r="H48" s="57"/>
      <c r="I48" s="42"/>
      <c r="J48" s="37"/>
      <c r="K48" s="76">
        <f t="shared" si="2"/>
        <v>0</v>
      </c>
      <c r="L48" s="60"/>
      <c r="M48" s="27"/>
      <c r="N48" s="130">
        <f t="shared" si="3"/>
        <v>0</v>
      </c>
      <c r="O48" s="67"/>
    </row>
    <row r="49" spans="2:15" s="73" customFormat="1" ht="15" customHeight="1" thickBot="1" x14ac:dyDescent="0.35">
      <c r="B49" s="420"/>
      <c r="C49" s="423"/>
      <c r="D49" s="424"/>
      <c r="E49" s="83"/>
      <c r="F49" s="51"/>
      <c r="G49" s="43"/>
      <c r="H49" s="58"/>
      <c r="I49" s="44"/>
      <c r="J49" s="38"/>
      <c r="K49" s="85"/>
      <c r="L49" s="60"/>
      <c r="M49" s="28"/>
      <c r="N49" s="132"/>
      <c r="O49" s="68"/>
    </row>
    <row r="50" spans="2:15" s="29" customFormat="1" ht="15" customHeight="1" thickTop="1" thickBot="1" x14ac:dyDescent="0.35">
      <c r="B50" s="151"/>
      <c r="C50" s="151"/>
      <c r="D50" s="151"/>
      <c r="E50" s="83"/>
      <c r="F50" s="396" t="s">
        <v>80</v>
      </c>
      <c r="G50" s="397"/>
      <c r="H50" s="397"/>
      <c r="I50" s="397"/>
      <c r="J50" s="397"/>
      <c r="K50" s="33">
        <f>SUM(K42:K49)</f>
        <v>0</v>
      </c>
      <c r="L50" s="62"/>
      <c r="M50" s="80">
        <f>SUM(M42:M49)</f>
        <v>0</v>
      </c>
      <c r="N50" s="81">
        <f>SUM(N42:N49)</f>
        <v>0</v>
      </c>
      <c r="O50" s="70"/>
    </row>
    <row r="51" spans="2:15" s="165" customFormat="1" ht="15" customHeight="1" x14ac:dyDescent="0.3">
      <c r="B51" s="83"/>
      <c r="C51" s="83"/>
      <c r="D51" s="83"/>
      <c r="E51" s="83"/>
      <c r="F51" s="155">
        <v>6</v>
      </c>
      <c r="G51" s="392" t="s">
        <v>135</v>
      </c>
      <c r="H51" s="392"/>
      <c r="I51" s="392"/>
      <c r="J51" s="392"/>
      <c r="K51" s="392"/>
      <c r="L51" s="164"/>
      <c r="M51" s="425"/>
      <c r="N51" s="426"/>
      <c r="O51" s="427"/>
    </row>
    <row r="52" spans="2:15" s="29" customFormat="1" ht="15" customHeight="1" x14ac:dyDescent="0.3">
      <c r="B52" s="83"/>
      <c r="C52" s="83"/>
      <c r="D52" s="83"/>
      <c r="E52" s="151"/>
      <c r="F52" s="51">
        <v>6.1</v>
      </c>
      <c r="G52" s="43" t="s">
        <v>136</v>
      </c>
      <c r="H52" s="57"/>
      <c r="I52" s="42"/>
      <c r="J52" s="37"/>
      <c r="K52" s="76">
        <f t="shared" ref="K52:K56" si="4">H52*J52</f>
        <v>0</v>
      </c>
      <c r="L52" s="60"/>
      <c r="M52" s="27"/>
      <c r="N52" s="130">
        <f>K52-M52</f>
        <v>0</v>
      </c>
      <c r="O52" s="67"/>
    </row>
    <row r="53" spans="2:15" s="29" customFormat="1" ht="15" customHeight="1" x14ac:dyDescent="0.3">
      <c r="B53" s="83"/>
      <c r="C53" s="83"/>
      <c r="D53" s="83"/>
      <c r="E53" s="83"/>
      <c r="F53" s="51">
        <v>6.2</v>
      </c>
      <c r="G53" s="43" t="s">
        <v>137</v>
      </c>
      <c r="H53" s="57"/>
      <c r="I53" s="42"/>
      <c r="J53" s="37"/>
      <c r="K53" s="76">
        <f t="shared" si="4"/>
        <v>0</v>
      </c>
      <c r="L53" s="60"/>
      <c r="M53" s="27"/>
      <c r="N53" s="130">
        <f>K53-M53</f>
        <v>0</v>
      </c>
      <c r="O53" s="67"/>
    </row>
    <row r="54" spans="2:15" s="29" customFormat="1" ht="15" customHeight="1" x14ac:dyDescent="0.3">
      <c r="B54" s="83"/>
      <c r="C54" s="83"/>
      <c r="D54" s="83"/>
      <c r="E54" s="83"/>
      <c r="F54" s="51">
        <v>6.3</v>
      </c>
      <c r="G54" s="43" t="s">
        <v>138</v>
      </c>
      <c r="H54" s="57"/>
      <c r="I54" s="42"/>
      <c r="J54" s="37"/>
      <c r="K54" s="76">
        <f t="shared" si="4"/>
        <v>0</v>
      </c>
      <c r="L54" s="60"/>
      <c r="M54" s="27"/>
      <c r="N54" s="130">
        <f>K54-M54</f>
        <v>0</v>
      </c>
      <c r="O54" s="67"/>
    </row>
    <row r="55" spans="2:15" s="29" customFormat="1" ht="15" customHeight="1" x14ac:dyDescent="0.3">
      <c r="B55" s="83"/>
      <c r="C55" s="83"/>
      <c r="D55" s="83"/>
      <c r="E55" s="83"/>
      <c r="F55" s="51">
        <v>6.4</v>
      </c>
      <c r="G55" s="43" t="s">
        <v>139</v>
      </c>
      <c r="H55" s="57"/>
      <c r="I55" s="42"/>
      <c r="J55" s="37"/>
      <c r="K55" s="76">
        <f t="shared" si="4"/>
        <v>0</v>
      </c>
      <c r="L55" s="60"/>
      <c r="M55" s="27"/>
      <c r="N55" s="130">
        <f>K55-M55</f>
        <v>0</v>
      </c>
      <c r="O55" s="67"/>
    </row>
    <row r="56" spans="2:15" s="73" customFormat="1" ht="15" customHeight="1" x14ac:dyDescent="0.3">
      <c r="B56" s="83"/>
      <c r="C56" s="83"/>
      <c r="D56" s="83"/>
      <c r="E56" s="83"/>
      <c r="F56" s="51">
        <v>6.5</v>
      </c>
      <c r="G56" s="43" t="s">
        <v>140</v>
      </c>
      <c r="H56" s="57"/>
      <c r="I56" s="42"/>
      <c r="J56" s="37"/>
      <c r="K56" s="76">
        <f t="shared" si="4"/>
        <v>0</v>
      </c>
      <c r="L56" s="60"/>
      <c r="M56" s="27"/>
      <c r="N56" s="130">
        <f>K56-M56</f>
        <v>0</v>
      </c>
      <c r="O56" s="67"/>
    </row>
    <row r="57" spans="2:15" s="73" customFormat="1" ht="15" customHeight="1" thickBot="1" x14ac:dyDescent="0.35">
      <c r="B57" s="83"/>
      <c r="C57" s="83"/>
      <c r="D57" s="83"/>
      <c r="E57" s="83"/>
      <c r="F57" s="51"/>
      <c r="G57" s="43"/>
      <c r="H57" s="58"/>
      <c r="I57" s="44"/>
      <c r="J57" s="38"/>
      <c r="K57" s="85"/>
      <c r="L57" s="60"/>
      <c r="M57" s="28"/>
      <c r="N57" s="131"/>
      <c r="O57" s="68"/>
    </row>
    <row r="58" spans="2:15" s="73" customFormat="1" ht="15" customHeight="1" thickTop="1" thickBot="1" x14ac:dyDescent="0.35">
      <c r="B58" s="151"/>
      <c r="C58" s="151"/>
      <c r="D58" s="151"/>
      <c r="E58" s="83"/>
      <c r="F58" s="396" t="s">
        <v>80</v>
      </c>
      <c r="G58" s="397"/>
      <c r="H58" s="397"/>
      <c r="I58" s="397"/>
      <c r="J58" s="397"/>
      <c r="K58" s="33">
        <f>SUM(K52:K57)</f>
        <v>0</v>
      </c>
      <c r="L58" s="62"/>
      <c r="M58" s="80">
        <f>SUM(M52:M57)</f>
        <v>0</v>
      </c>
      <c r="N58" s="81">
        <f>SUM(N52:N57)</f>
        <v>0</v>
      </c>
      <c r="O58" s="70"/>
    </row>
    <row r="59" spans="2:15" s="165" customFormat="1" ht="15" customHeight="1" x14ac:dyDescent="0.3">
      <c r="B59" s="83"/>
      <c r="C59" s="83"/>
      <c r="D59" s="83"/>
      <c r="E59" s="83"/>
      <c r="F59" s="149">
        <v>7</v>
      </c>
      <c r="G59" s="392" t="s">
        <v>141</v>
      </c>
      <c r="H59" s="392"/>
      <c r="I59" s="392"/>
      <c r="J59" s="392"/>
      <c r="K59" s="392"/>
      <c r="L59" s="162"/>
      <c r="M59" s="425"/>
      <c r="N59" s="426"/>
      <c r="O59" s="427"/>
    </row>
    <row r="60" spans="2:15" s="29" customFormat="1" ht="15" customHeight="1" x14ac:dyDescent="0.3">
      <c r="B60" s="83"/>
      <c r="C60" s="83"/>
      <c r="D60" s="83"/>
      <c r="E60" s="151"/>
      <c r="F60" s="51">
        <v>7.1</v>
      </c>
      <c r="G60" s="43" t="s">
        <v>142</v>
      </c>
      <c r="H60" s="57"/>
      <c r="I60" s="42"/>
      <c r="J60" s="37"/>
      <c r="K60" s="76">
        <f t="shared" ref="K60:K66" si="5">H60*J60</f>
        <v>0</v>
      </c>
      <c r="L60" s="60"/>
      <c r="M60" s="27"/>
      <c r="N60" s="130">
        <f t="shared" ref="N60:N66" si="6">K60-M60</f>
        <v>0</v>
      </c>
      <c r="O60" s="67"/>
    </row>
    <row r="61" spans="2:15" s="73" customFormat="1" ht="15" customHeight="1" x14ac:dyDescent="0.3">
      <c r="B61" s="83"/>
      <c r="C61" s="83"/>
      <c r="D61" s="83"/>
      <c r="E61" s="83"/>
      <c r="F61" s="51">
        <v>7.2</v>
      </c>
      <c r="G61" s="43" t="s">
        <v>143</v>
      </c>
      <c r="H61" s="57"/>
      <c r="I61" s="42"/>
      <c r="J61" s="37"/>
      <c r="K61" s="76">
        <f t="shared" si="5"/>
        <v>0</v>
      </c>
      <c r="L61" s="60"/>
      <c r="M61" s="27"/>
      <c r="N61" s="130">
        <f t="shared" si="6"/>
        <v>0</v>
      </c>
      <c r="O61" s="67"/>
    </row>
    <row r="62" spans="2:15" s="73" customFormat="1" ht="15" customHeight="1" x14ac:dyDescent="0.3">
      <c r="B62" s="83"/>
      <c r="C62" s="83"/>
      <c r="D62" s="83"/>
      <c r="E62" s="83"/>
      <c r="F62" s="51">
        <v>7.3</v>
      </c>
      <c r="G62" s="43" t="s">
        <v>144</v>
      </c>
      <c r="H62" s="57"/>
      <c r="I62" s="42"/>
      <c r="J62" s="37"/>
      <c r="K62" s="76">
        <f t="shared" si="5"/>
        <v>0</v>
      </c>
      <c r="L62" s="60"/>
      <c r="M62" s="27"/>
      <c r="N62" s="130">
        <f t="shared" si="6"/>
        <v>0</v>
      </c>
      <c r="O62" s="67"/>
    </row>
    <row r="63" spans="2:15" s="29" customFormat="1" ht="15" customHeight="1" x14ac:dyDescent="0.3">
      <c r="B63" s="83"/>
      <c r="C63" s="83"/>
      <c r="D63" s="83"/>
      <c r="E63" s="83"/>
      <c r="F63" s="51">
        <v>7.4</v>
      </c>
      <c r="G63" s="43" t="s">
        <v>145</v>
      </c>
      <c r="H63" s="57"/>
      <c r="I63" s="42"/>
      <c r="J63" s="37"/>
      <c r="K63" s="76">
        <f t="shared" si="5"/>
        <v>0</v>
      </c>
      <c r="L63" s="60"/>
      <c r="M63" s="27"/>
      <c r="N63" s="130">
        <f t="shared" si="6"/>
        <v>0</v>
      </c>
      <c r="O63" s="67"/>
    </row>
    <row r="64" spans="2:15" s="29" customFormat="1" ht="15" customHeight="1" x14ac:dyDescent="0.3">
      <c r="B64" s="83"/>
      <c r="C64" s="83"/>
      <c r="D64" s="83"/>
      <c r="E64" s="83"/>
      <c r="F64" s="51">
        <v>7.5</v>
      </c>
      <c r="G64" s="43" t="s">
        <v>146</v>
      </c>
      <c r="H64" s="57"/>
      <c r="I64" s="42"/>
      <c r="J64" s="37"/>
      <c r="K64" s="76">
        <f t="shared" si="5"/>
        <v>0</v>
      </c>
      <c r="L64" s="60"/>
      <c r="M64" s="27"/>
      <c r="N64" s="130">
        <f t="shared" si="6"/>
        <v>0</v>
      </c>
      <c r="O64" s="67"/>
    </row>
    <row r="65" spans="2:15" s="29" customFormat="1" ht="15" customHeight="1" x14ac:dyDescent="0.3">
      <c r="B65" s="83"/>
      <c r="C65" s="83"/>
      <c r="D65" s="83"/>
      <c r="E65" s="83"/>
      <c r="F65" s="51">
        <v>7.6</v>
      </c>
      <c r="G65" s="43" t="s">
        <v>147</v>
      </c>
      <c r="H65" s="57"/>
      <c r="I65" s="42"/>
      <c r="J65" s="37"/>
      <c r="K65" s="76">
        <f t="shared" si="5"/>
        <v>0</v>
      </c>
      <c r="L65" s="60"/>
      <c r="M65" s="27"/>
      <c r="N65" s="130">
        <f t="shared" si="6"/>
        <v>0</v>
      </c>
      <c r="O65" s="67"/>
    </row>
    <row r="66" spans="2:15" s="29" customFormat="1" ht="15" customHeight="1" x14ac:dyDescent="0.3">
      <c r="B66" s="83"/>
      <c r="C66" s="83"/>
      <c r="D66" s="83"/>
      <c r="E66" s="151"/>
      <c r="F66" s="51">
        <v>7.7</v>
      </c>
      <c r="G66" s="43" t="s">
        <v>148</v>
      </c>
      <c r="H66" s="57"/>
      <c r="I66" s="42"/>
      <c r="J66" s="37"/>
      <c r="K66" s="76">
        <f t="shared" si="5"/>
        <v>0</v>
      </c>
      <c r="L66" s="60"/>
      <c r="M66" s="27"/>
      <c r="N66" s="130">
        <f t="shared" si="6"/>
        <v>0</v>
      </c>
      <c r="O66" s="67"/>
    </row>
    <row r="67" spans="2:15" s="29" customFormat="1" ht="15" customHeight="1" thickBot="1" x14ac:dyDescent="0.35">
      <c r="B67" s="83"/>
      <c r="C67" s="83"/>
      <c r="D67" s="83"/>
      <c r="E67" s="83"/>
      <c r="F67" s="51"/>
      <c r="G67" s="43"/>
      <c r="H67" s="58"/>
      <c r="I67" s="44"/>
      <c r="J67" s="38"/>
      <c r="K67" s="85"/>
      <c r="L67" s="60"/>
      <c r="M67" s="28"/>
      <c r="N67" s="131"/>
      <c r="O67" s="68"/>
    </row>
    <row r="68" spans="2:15" s="29" customFormat="1" ht="15" customHeight="1" thickTop="1" thickBot="1" x14ac:dyDescent="0.35">
      <c r="B68" s="151"/>
      <c r="C68" s="151"/>
      <c r="D68" s="151"/>
      <c r="E68" s="83"/>
      <c r="F68" s="396" t="s">
        <v>80</v>
      </c>
      <c r="G68" s="397"/>
      <c r="H68" s="397"/>
      <c r="I68" s="397"/>
      <c r="J68" s="397"/>
      <c r="K68" s="33">
        <f>SUM(K60:K67)</f>
        <v>0</v>
      </c>
      <c r="L68" s="62"/>
      <c r="M68" s="80">
        <f>SUM(M60:M67)</f>
        <v>0</v>
      </c>
      <c r="N68" s="81">
        <f>SUM(N60:N67)</f>
        <v>0</v>
      </c>
      <c r="O68" s="70"/>
    </row>
    <row r="69" spans="2:15" s="163" customFormat="1" ht="15" customHeight="1" x14ac:dyDescent="0.3">
      <c r="B69" s="83"/>
      <c r="C69" s="83"/>
      <c r="D69" s="83"/>
      <c r="E69" s="83"/>
      <c r="F69" s="149">
        <v>8</v>
      </c>
      <c r="G69" s="392" t="s">
        <v>149</v>
      </c>
      <c r="H69" s="392"/>
      <c r="I69" s="392"/>
      <c r="J69" s="392"/>
      <c r="K69" s="392"/>
      <c r="L69" s="162"/>
      <c r="M69" s="425"/>
      <c r="N69" s="426"/>
      <c r="O69" s="427"/>
    </row>
    <row r="70" spans="2:15" s="29" customFormat="1" ht="15" customHeight="1" x14ac:dyDescent="0.3">
      <c r="B70" s="83"/>
      <c r="C70" s="83"/>
      <c r="D70" s="83"/>
      <c r="E70" s="83"/>
      <c r="F70" s="51">
        <v>8.1</v>
      </c>
      <c r="G70" s="43" t="s">
        <v>150</v>
      </c>
      <c r="H70" s="57"/>
      <c r="I70" s="42"/>
      <c r="J70" s="37"/>
      <c r="K70" s="76">
        <f t="shared" ref="K70:K77" si="7">H70*J70</f>
        <v>0</v>
      </c>
      <c r="L70" s="60"/>
      <c r="M70" s="27"/>
      <c r="N70" s="130">
        <f t="shared" ref="N70:N77" si="8">K70-M70</f>
        <v>0</v>
      </c>
      <c r="O70" s="67"/>
    </row>
    <row r="71" spans="2:15" s="29" customFormat="1" ht="15" customHeight="1" x14ac:dyDescent="0.3">
      <c r="B71" s="83"/>
      <c r="C71" s="83"/>
      <c r="D71" s="83"/>
      <c r="E71" s="83"/>
      <c r="F71" s="51">
        <v>8.1999999999999993</v>
      </c>
      <c r="G71" s="43" t="s">
        <v>151</v>
      </c>
      <c r="H71" s="57"/>
      <c r="I71" s="42"/>
      <c r="J71" s="37"/>
      <c r="K71" s="76">
        <f t="shared" si="7"/>
        <v>0</v>
      </c>
      <c r="L71" s="60"/>
      <c r="M71" s="27"/>
      <c r="N71" s="130">
        <f t="shared" si="8"/>
        <v>0</v>
      </c>
      <c r="O71" s="67"/>
    </row>
    <row r="72" spans="2:15" s="29" customFormat="1" ht="15" customHeight="1" x14ac:dyDescent="0.3">
      <c r="B72" s="83"/>
      <c r="C72" s="83"/>
      <c r="D72" s="83"/>
      <c r="E72" s="83"/>
      <c r="F72" s="51">
        <v>8.3000000000000007</v>
      </c>
      <c r="G72" s="43" t="s">
        <v>152</v>
      </c>
      <c r="H72" s="57"/>
      <c r="I72" s="42"/>
      <c r="J72" s="37"/>
      <c r="K72" s="76">
        <f t="shared" si="7"/>
        <v>0</v>
      </c>
      <c r="L72" s="60"/>
      <c r="M72" s="27"/>
      <c r="N72" s="130">
        <f t="shared" si="8"/>
        <v>0</v>
      </c>
      <c r="O72" s="67"/>
    </row>
    <row r="73" spans="2:15" s="29" customFormat="1" ht="15" customHeight="1" x14ac:dyDescent="0.3">
      <c r="B73" s="83"/>
      <c r="C73" s="83"/>
      <c r="D73" s="83"/>
      <c r="E73" s="83"/>
      <c r="F73" s="51">
        <v>8.4</v>
      </c>
      <c r="G73" s="43" t="s">
        <v>153</v>
      </c>
      <c r="H73" s="57"/>
      <c r="I73" s="42"/>
      <c r="J73" s="37"/>
      <c r="K73" s="76">
        <f t="shared" si="7"/>
        <v>0</v>
      </c>
      <c r="L73" s="60"/>
      <c r="M73" s="27"/>
      <c r="N73" s="130">
        <f t="shared" si="8"/>
        <v>0</v>
      </c>
      <c r="O73" s="67"/>
    </row>
    <row r="74" spans="2:15" s="29" customFormat="1" ht="15" customHeight="1" x14ac:dyDescent="0.3">
      <c r="B74" s="83"/>
      <c r="C74" s="83"/>
      <c r="D74" s="83"/>
      <c r="E74" s="151"/>
      <c r="F74" s="51">
        <v>8.5</v>
      </c>
      <c r="G74" s="43" t="s">
        <v>154</v>
      </c>
      <c r="H74" s="57"/>
      <c r="I74" s="42"/>
      <c r="J74" s="37"/>
      <c r="K74" s="76">
        <f t="shared" si="7"/>
        <v>0</v>
      </c>
      <c r="L74" s="60"/>
      <c r="M74" s="27"/>
      <c r="N74" s="130">
        <f t="shared" si="8"/>
        <v>0</v>
      </c>
      <c r="O74" s="67"/>
    </row>
    <row r="75" spans="2:15" s="29" customFormat="1" ht="15" customHeight="1" x14ac:dyDescent="0.3">
      <c r="B75" s="83"/>
      <c r="C75" s="83"/>
      <c r="D75" s="83"/>
      <c r="E75" s="83"/>
      <c r="F75" s="51">
        <v>8.6</v>
      </c>
      <c r="G75" s="43" t="s">
        <v>155</v>
      </c>
      <c r="H75" s="57"/>
      <c r="I75" s="42"/>
      <c r="J75" s="37"/>
      <c r="K75" s="76">
        <f t="shared" si="7"/>
        <v>0</v>
      </c>
      <c r="L75" s="60"/>
      <c r="M75" s="27"/>
      <c r="N75" s="130">
        <f t="shared" si="8"/>
        <v>0</v>
      </c>
      <c r="O75" s="67"/>
    </row>
    <row r="76" spans="2:15" s="29" customFormat="1" ht="15" customHeight="1" x14ac:dyDescent="0.3">
      <c r="B76" s="83"/>
      <c r="C76" s="83"/>
      <c r="D76" s="83"/>
      <c r="E76" s="83"/>
      <c r="F76" s="51">
        <v>8.6999999999999993</v>
      </c>
      <c r="G76" s="43" t="s">
        <v>156</v>
      </c>
      <c r="H76" s="57"/>
      <c r="I76" s="42"/>
      <c r="J76" s="37"/>
      <c r="K76" s="76">
        <f t="shared" si="7"/>
        <v>0</v>
      </c>
      <c r="L76" s="60"/>
      <c r="M76" s="27"/>
      <c r="N76" s="130">
        <f t="shared" si="8"/>
        <v>0</v>
      </c>
      <c r="O76" s="67"/>
    </row>
    <row r="77" spans="2:15" s="29" customFormat="1" ht="15" customHeight="1" x14ac:dyDescent="0.3">
      <c r="B77" s="83"/>
      <c r="C77" s="83"/>
      <c r="D77" s="83"/>
      <c r="E77" s="83"/>
      <c r="F77" s="51">
        <v>8.8000000000000007</v>
      </c>
      <c r="G77" s="43" t="s">
        <v>157</v>
      </c>
      <c r="H77" s="57"/>
      <c r="I77" s="42"/>
      <c r="J77" s="37"/>
      <c r="K77" s="76">
        <f t="shared" si="7"/>
        <v>0</v>
      </c>
      <c r="L77" s="60"/>
      <c r="M77" s="27"/>
      <c r="N77" s="130">
        <f t="shared" si="8"/>
        <v>0</v>
      </c>
      <c r="O77" s="67"/>
    </row>
    <row r="78" spans="2:15" s="29" customFormat="1" ht="15" customHeight="1" thickBot="1" x14ac:dyDescent="0.35">
      <c r="B78" s="83"/>
      <c r="C78" s="83"/>
      <c r="D78" s="83"/>
      <c r="E78" s="83"/>
      <c r="F78" s="51"/>
      <c r="G78" s="43"/>
      <c r="H78" s="58"/>
      <c r="I78" s="44"/>
      <c r="J78" s="38"/>
      <c r="K78" s="85"/>
      <c r="L78" s="60"/>
      <c r="M78" s="28"/>
      <c r="N78" s="131"/>
      <c r="O78" s="68"/>
    </row>
    <row r="79" spans="2:15" s="29" customFormat="1" ht="15" customHeight="1" thickTop="1" thickBot="1" x14ac:dyDescent="0.35">
      <c r="B79" s="151"/>
      <c r="C79" s="151"/>
      <c r="D79" s="151"/>
      <c r="E79" s="83"/>
      <c r="F79" s="396" t="s">
        <v>80</v>
      </c>
      <c r="G79" s="397"/>
      <c r="H79" s="397"/>
      <c r="I79" s="397"/>
      <c r="J79" s="397"/>
      <c r="K79" s="33">
        <f>SUM(K70:K78)</f>
        <v>0</v>
      </c>
      <c r="L79" s="62"/>
      <c r="M79" s="80">
        <f>SUM(M70:M78)</f>
        <v>0</v>
      </c>
      <c r="N79" s="81">
        <f>SUM(N70:N78)</f>
        <v>0</v>
      </c>
      <c r="O79" s="70"/>
    </row>
    <row r="80" spans="2:15" s="163" customFormat="1" ht="15" customHeight="1" x14ac:dyDescent="0.3">
      <c r="B80" s="83"/>
      <c r="C80" s="83"/>
      <c r="D80" s="83"/>
      <c r="E80" s="83"/>
      <c r="F80" s="149">
        <v>9</v>
      </c>
      <c r="G80" s="392" t="s">
        <v>158</v>
      </c>
      <c r="H80" s="392"/>
      <c r="I80" s="392"/>
      <c r="J80" s="392"/>
      <c r="K80" s="392"/>
      <c r="L80" s="162"/>
      <c r="M80" s="425"/>
      <c r="N80" s="426"/>
      <c r="O80" s="427"/>
    </row>
    <row r="81" spans="2:15" s="29" customFormat="1" ht="15" customHeight="1" x14ac:dyDescent="0.3">
      <c r="B81" s="83"/>
      <c r="C81" s="83"/>
      <c r="D81" s="83"/>
      <c r="E81" s="83"/>
      <c r="F81" s="51">
        <v>9.1</v>
      </c>
      <c r="G81" s="43" t="s">
        <v>159</v>
      </c>
      <c r="H81" s="57"/>
      <c r="I81" s="42"/>
      <c r="J81" s="37"/>
      <c r="K81" s="76">
        <f>H81*J81</f>
        <v>0</v>
      </c>
      <c r="L81" s="60"/>
      <c r="M81" s="27"/>
      <c r="N81" s="130">
        <f>K81-M81</f>
        <v>0</v>
      </c>
      <c r="O81" s="67"/>
    </row>
    <row r="82" spans="2:15" s="29" customFormat="1" ht="15" customHeight="1" x14ac:dyDescent="0.3">
      <c r="B82" s="72"/>
      <c r="C82" s="72"/>
      <c r="D82" s="72"/>
      <c r="E82" s="83"/>
      <c r="F82" s="51">
        <v>9.1999999999999993</v>
      </c>
      <c r="G82" s="43" t="s">
        <v>160</v>
      </c>
      <c r="H82" s="57"/>
      <c r="I82" s="42"/>
      <c r="J82" s="37"/>
      <c r="K82" s="76">
        <f>H82*J82</f>
        <v>0</v>
      </c>
      <c r="L82" s="60"/>
      <c r="M82" s="27"/>
      <c r="N82" s="130">
        <f>K82-M82</f>
        <v>0</v>
      </c>
      <c r="O82" s="67"/>
    </row>
    <row r="83" spans="2:15" s="29" customFormat="1" ht="15" customHeight="1" x14ac:dyDescent="0.3">
      <c r="B83" s="83"/>
      <c r="C83" s="83"/>
      <c r="D83" s="83"/>
      <c r="E83" s="83"/>
      <c r="F83" s="51">
        <v>9.3000000000000007</v>
      </c>
      <c r="G83" s="43" t="s">
        <v>161</v>
      </c>
      <c r="H83" s="57"/>
      <c r="I83" s="42"/>
      <c r="J83" s="37"/>
      <c r="K83" s="76">
        <f>H83*J83</f>
        <v>0</v>
      </c>
      <c r="L83" s="60"/>
      <c r="M83" s="27"/>
      <c r="N83" s="130">
        <f>K83-M83</f>
        <v>0</v>
      </c>
      <c r="O83" s="67"/>
    </row>
    <row r="84" spans="2:15" s="29" customFormat="1" ht="15" customHeight="1" x14ac:dyDescent="0.3">
      <c r="B84" s="72"/>
      <c r="C84" s="72"/>
      <c r="D84" s="72"/>
      <c r="E84" s="83"/>
      <c r="F84" s="51">
        <v>9.4</v>
      </c>
      <c r="G84" s="43" t="s">
        <v>162</v>
      </c>
      <c r="H84" s="57"/>
      <c r="I84" s="42"/>
      <c r="J84" s="37"/>
      <c r="K84" s="76">
        <f>H84*J84</f>
        <v>0</v>
      </c>
      <c r="L84" s="60"/>
      <c r="M84" s="27"/>
      <c r="N84" s="130">
        <f>K84-M84</f>
        <v>0</v>
      </c>
      <c r="O84" s="67"/>
    </row>
    <row r="85" spans="2:15" s="29" customFormat="1" ht="15" customHeight="1" thickBot="1" x14ac:dyDescent="0.35">
      <c r="B85" s="83"/>
      <c r="C85" s="83"/>
      <c r="D85" s="83"/>
      <c r="E85" s="83"/>
      <c r="F85" s="51"/>
      <c r="G85" s="43"/>
      <c r="H85" s="58"/>
      <c r="I85" s="44"/>
      <c r="J85" s="38"/>
      <c r="K85" s="85"/>
      <c r="L85" s="60"/>
      <c r="M85" s="28"/>
      <c r="N85" s="131"/>
      <c r="O85" s="68"/>
    </row>
    <row r="86" spans="2:15" s="29" customFormat="1" ht="15" customHeight="1" thickTop="1" thickBot="1" x14ac:dyDescent="0.35">
      <c r="B86" s="151"/>
      <c r="C86" s="151"/>
      <c r="D86" s="151"/>
      <c r="E86" s="83"/>
      <c r="F86" s="396" t="s">
        <v>80</v>
      </c>
      <c r="G86" s="397"/>
      <c r="H86" s="397"/>
      <c r="I86" s="397"/>
      <c r="J86" s="397"/>
      <c r="K86" s="33">
        <f>SUM(K81:K85)</f>
        <v>0</v>
      </c>
      <c r="L86" s="62"/>
      <c r="M86" s="80">
        <f>SUM(M81:M85)</f>
        <v>0</v>
      </c>
      <c r="N86" s="81">
        <f>SUM(N81:N85)</f>
        <v>0</v>
      </c>
      <c r="O86" s="70"/>
    </row>
    <row r="87" spans="2:15" s="163" customFormat="1" ht="15" customHeight="1" x14ac:dyDescent="0.3">
      <c r="B87" s="83"/>
      <c r="C87" s="83"/>
      <c r="D87" s="83"/>
      <c r="E87" s="83"/>
      <c r="F87" s="149">
        <v>10</v>
      </c>
      <c r="G87" s="392" t="s">
        <v>163</v>
      </c>
      <c r="H87" s="392"/>
      <c r="I87" s="392"/>
      <c r="J87" s="392"/>
      <c r="K87" s="392"/>
      <c r="L87" s="150"/>
      <c r="M87" s="425"/>
      <c r="N87" s="426"/>
      <c r="O87" s="427"/>
    </row>
    <row r="88" spans="2:15" s="29" customFormat="1" ht="15" customHeight="1" x14ac:dyDescent="0.3">
      <c r="B88" s="83"/>
      <c r="C88" s="83"/>
      <c r="D88" s="83"/>
      <c r="E88" s="166"/>
      <c r="F88" s="51">
        <v>10.1</v>
      </c>
      <c r="G88" s="43" t="s">
        <v>164</v>
      </c>
      <c r="H88" s="57"/>
      <c r="I88" s="42"/>
      <c r="J88" s="37"/>
      <c r="K88" s="76">
        <f t="shared" ref="K88:K100" si="9">H88*J88</f>
        <v>0</v>
      </c>
      <c r="L88" s="60"/>
      <c r="M88" s="27"/>
      <c r="N88" s="130">
        <f t="shared" ref="N88:N100" si="10">K88-M88</f>
        <v>0</v>
      </c>
      <c r="O88" s="67"/>
    </row>
    <row r="89" spans="2:15" s="29" customFormat="1" ht="15" customHeight="1" x14ac:dyDescent="0.3">
      <c r="B89" s="83"/>
      <c r="C89" s="83"/>
      <c r="D89" s="83"/>
      <c r="E89" s="166"/>
      <c r="F89" s="51">
        <v>10.199999999999999</v>
      </c>
      <c r="G89" s="43" t="s">
        <v>165</v>
      </c>
      <c r="H89" s="57"/>
      <c r="I89" s="42"/>
      <c r="J89" s="37"/>
      <c r="K89" s="76">
        <f t="shared" si="9"/>
        <v>0</v>
      </c>
      <c r="L89" s="60"/>
      <c r="M89" s="27"/>
      <c r="N89" s="130">
        <f t="shared" si="10"/>
        <v>0</v>
      </c>
      <c r="O89" s="67"/>
    </row>
    <row r="90" spans="2:15" s="29" customFormat="1" ht="15" customHeight="1" x14ac:dyDescent="0.3">
      <c r="B90" s="72"/>
      <c r="C90" s="72"/>
      <c r="D90" s="72"/>
      <c r="E90" s="83"/>
      <c r="F90" s="51">
        <v>10.3</v>
      </c>
      <c r="G90" s="43" t="s">
        <v>166</v>
      </c>
      <c r="H90" s="57"/>
      <c r="I90" s="42"/>
      <c r="J90" s="37"/>
      <c r="K90" s="76">
        <f t="shared" si="9"/>
        <v>0</v>
      </c>
      <c r="L90" s="60"/>
      <c r="M90" s="27"/>
      <c r="N90" s="130">
        <f t="shared" si="10"/>
        <v>0</v>
      </c>
      <c r="O90" s="67"/>
    </row>
    <row r="91" spans="2:15" s="29" customFormat="1" ht="15" customHeight="1" x14ac:dyDescent="0.3">
      <c r="B91" s="72"/>
      <c r="C91" s="72"/>
      <c r="D91" s="72"/>
      <c r="E91" s="151"/>
      <c r="F91" s="51">
        <v>10.4</v>
      </c>
      <c r="G91" s="43" t="s">
        <v>167</v>
      </c>
      <c r="H91" s="57"/>
      <c r="I91" s="42"/>
      <c r="J91" s="37"/>
      <c r="K91" s="76">
        <f t="shared" si="9"/>
        <v>0</v>
      </c>
      <c r="L91" s="60"/>
      <c r="M91" s="27"/>
      <c r="N91" s="130">
        <f t="shared" si="10"/>
        <v>0</v>
      </c>
      <c r="O91" s="67"/>
    </row>
    <row r="92" spans="2:15" s="29" customFormat="1" ht="15" customHeight="1" x14ac:dyDescent="0.3">
      <c r="B92" s="72"/>
      <c r="C92" s="72"/>
      <c r="D92" s="72"/>
      <c r="E92" s="83"/>
      <c r="F92" s="51">
        <v>10.5</v>
      </c>
      <c r="G92" s="43" t="s">
        <v>168</v>
      </c>
      <c r="H92" s="57"/>
      <c r="I92" s="42"/>
      <c r="J92" s="37"/>
      <c r="K92" s="76">
        <f t="shared" si="9"/>
        <v>0</v>
      </c>
      <c r="L92" s="60"/>
      <c r="M92" s="27"/>
      <c r="N92" s="130">
        <f t="shared" si="10"/>
        <v>0</v>
      </c>
      <c r="O92" s="67"/>
    </row>
    <row r="93" spans="2:15" s="29" customFormat="1" ht="15" customHeight="1" x14ac:dyDescent="0.3">
      <c r="B93" s="83"/>
      <c r="C93" s="83"/>
      <c r="D93" s="83"/>
      <c r="E93" s="83"/>
      <c r="F93" s="51">
        <v>10.6</v>
      </c>
      <c r="G93" s="43" t="s">
        <v>169</v>
      </c>
      <c r="H93" s="57"/>
      <c r="I93" s="42"/>
      <c r="J93" s="37"/>
      <c r="K93" s="76">
        <f t="shared" si="9"/>
        <v>0</v>
      </c>
      <c r="L93" s="60"/>
      <c r="M93" s="27"/>
      <c r="N93" s="130">
        <f t="shared" si="10"/>
        <v>0</v>
      </c>
      <c r="O93" s="67"/>
    </row>
    <row r="94" spans="2:15" s="73" customFormat="1" ht="15" customHeight="1" x14ac:dyDescent="0.3">
      <c r="B94" s="72"/>
      <c r="C94" s="72"/>
      <c r="D94" s="72"/>
      <c r="E94" s="83"/>
      <c r="F94" s="51">
        <v>10.7</v>
      </c>
      <c r="G94" s="43" t="s">
        <v>170</v>
      </c>
      <c r="H94" s="57"/>
      <c r="I94" s="42"/>
      <c r="J94" s="37"/>
      <c r="K94" s="76">
        <f t="shared" si="9"/>
        <v>0</v>
      </c>
      <c r="L94" s="60"/>
      <c r="M94" s="27"/>
      <c r="N94" s="130">
        <f t="shared" si="10"/>
        <v>0</v>
      </c>
      <c r="O94" s="67"/>
    </row>
    <row r="95" spans="2:15" s="29" customFormat="1" ht="15" customHeight="1" x14ac:dyDescent="0.3">
      <c r="B95" s="83"/>
      <c r="C95" s="83"/>
      <c r="D95" s="83"/>
      <c r="E95" s="151"/>
      <c r="F95" s="51">
        <v>10.8</v>
      </c>
      <c r="G95" s="43" t="s">
        <v>171</v>
      </c>
      <c r="H95" s="57"/>
      <c r="I95" s="42"/>
      <c r="J95" s="37"/>
      <c r="K95" s="76">
        <f t="shared" si="9"/>
        <v>0</v>
      </c>
      <c r="L95" s="60"/>
      <c r="M95" s="27"/>
      <c r="N95" s="130">
        <f t="shared" si="10"/>
        <v>0</v>
      </c>
      <c r="O95" s="67"/>
    </row>
    <row r="96" spans="2:15" s="73" customFormat="1" ht="15" customHeight="1" x14ac:dyDescent="0.3">
      <c r="B96" s="72"/>
      <c r="C96" s="72"/>
      <c r="D96" s="72"/>
      <c r="E96" s="83"/>
      <c r="F96" s="51">
        <v>10.9</v>
      </c>
      <c r="G96" s="43" t="s">
        <v>172</v>
      </c>
      <c r="H96" s="57"/>
      <c r="I96" s="42"/>
      <c r="J96" s="37"/>
      <c r="K96" s="76">
        <f t="shared" si="9"/>
        <v>0</v>
      </c>
      <c r="L96" s="60"/>
      <c r="M96" s="27"/>
      <c r="N96" s="130">
        <f t="shared" si="10"/>
        <v>0</v>
      </c>
      <c r="O96" s="67"/>
    </row>
    <row r="97" spans="2:15" s="29" customFormat="1" ht="15" customHeight="1" x14ac:dyDescent="0.3">
      <c r="B97" s="72"/>
      <c r="C97" s="72"/>
      <c r="D97" s="72"/>
      <c r="E97" s="83"/>
      <c r="F97" s="24">
        <v>10.1</v>
      </c>
      <c r="G97" s="43" t="s">
        <v>173</v>
      </c>
      <c r="H97" s="57"/>
      <c r="I97" s="42"/>
      <c r="J97" s="37"/>
      <c r="K97" s="76">
        <f t="shared" si="9"/>
        <v>0</v>
      </c>
      <c r="L97" s="60"/>
      <c r="M97" s="27"/>
      <c r="N97" s="130">
        <f t="shared" si="10"/>
        <v>0</v>
      </c>
      <c r="O97" s="67"/>
    </row>
    <row r="98" spans="2:15" s="29" customFormat="1" ht="15" customHeight="1" x14ac:dyDescent="0.3">
      <c r="B98" s="83"/>
      <c r="C98" s="83"/>
      <c r="D98" s="83"/>
      <c r="E98" s="83"/>
      <c r="F98" s="24">
        <v>10.11</v>
      </c>
      <c r="G98" s="43" t="s">
        <v>174</v>
      </c>
      <c r="H98" s="57"/>
      <c r="I98" s="42"/>
      <c r="J98" s="37"/>
      <c r="K98" s="76">
        <f t="shared" si="9"/>
        <v>0</v>
      </c>
      <c r="L98" s="60"/>
      <c r="M98" s="27"/>
      <c r="N98" s="130">
        <f t="shared" si="10"/>
        <v>0</v>
      </c>
      <c r="O98" s="67" t="s">
        <v>175</v>
      </c>
    </row>
    <row r="99" spans="2:15" s="29" customFormat="1" ht="15" customHeight="1" x14ac:dyDescent="0.3">
      <c r="B99" s="83"/>
      <c r="C99" s="83"/>
      <c r="D99" s="83"/>
      <c r="E99" s="166"/>
      <c r="F99" s="24">
        <v>10.119999999999999</v>
      </c>
      <c r="G99" s="43" t="s">
        <v>176</v>
      </c>
      <c r="H99" s="57"/>
      <c r="I99" s="42"/>
      <c r="J99" s="37"/>
      <c r="K99" s="76">
        <f t="shared" si="9"/>
        <v>0</v>
      </c>
      <c r="L99" s="60"/>
      <c r="M99" s="27"/>
      <c r="N99" s="130">
        <f t="shared" si="10"/>
        <v>0</v>
      </c>
      <c r="O99" s="67"/>
    </row>
    <row r="100" spans="2:15" s="29" customFormat="1" ht="15" customHeight="1" x14ac:dyDescent="0.3">
      <c r="B100" s="83"/>
      <c r="C100" s="83"/>
      <c r="D100" s="83"/>
      <c r="E100" s="166"/>
      <c r="F100" s="24">
        <v>10.130000000000001</v>
      </c>
      <c r="G100" s="43" t="s">
        <v>177</v>
      </c>
      <c r="H100" s="57"/>
      <c r="I100" s="42"/>
      <c r="J100" s="37"/>
      <c r="K100" s="76">
        <f t="shared" si="9"/>
        <v>0</v>
      </c>
      <c r="L100" s="60"/>
      <c r="M100" s="27"/>
      <c r="N100" s="130">
        <f t="shared" si="10"/>
        <v>0</v>
      </c>
      <c r="O100" s="67"/>
    </row>
    <row r="101" spans="2:15" s="29" customFormat="1" ht="15" customHeight="1" thickBot="1" x14ac:dyDescent="0.35">
      <c r="B101" s="83"/>
      <c r="C101" s="83"/>
      <c r="D101" s="83"/>
      <c r="E101" s="83"/>
      <c r="F101" s="51"/>
      <c r="G101" s="43"/>
      <c r="H101" s="58"/>
      <c r="I101" s="44"/>
      <c r="J101" s="38"/>
      <c r="K101" s="85"/>
      <c r="L101" s="60"/>
      <c r="M101" s="28"/>
      <c r="N101" s="131"/>
      <c r="O101" s="68"/>
    </row>
    <row r="102" spans="2:15" s="73" customFormat="1" ht="15" customHeight="1" thickTop="1" thickBot="1" x14ac:dyDescent="0.35">
      <c r="B102" s="151"/>
      <c r="C102" s="151"/>
      <c r="D102" s="151"/>
      <c r="E102" s="83"/>
      <c r="F102" s="396" t="s">
        <v>80</v>
      </c>
      <c r="G102" s="397"/>
      <c r="H102" s="397"/>
      <c r="I102" s="397"/>
      <c r="J102" s="397"/>
      <c r="K102" s="33">
        <f>SUM(K88:K101)</f>
        <v>0</v>
      </c>
      <c r="L102" s="62"/>
      <c r="M102" s="80">
        <f>SUM(M88:M101)</f>
        <v>0</v>
      </c>
      <c r="N102" s="81">
        <f>SUM(N88:N101)</f>
        <v>0</v>
      </c>
      <c r="O102" s="70"/>
    </row>
    <row r="103" spans="2:15" s="165" customFormat="1" ht="15" customHeight="1" x14ac:dyDescent="0.3">
      <c r="B103" s="83"/>
      <c r="C103" s="83"/>
      <c r="D103" s="83"/>
      <c r="E103" s="83"/>
      <c r="F103" s="149">
        <v>11</v>
      </c>
      <c r="G103" s="392" t="s">
        <v>178</v>
      </c>
      <c r="H103" s="392"/>
      <c r="I103" s="392"/>
      <c r="J103" s="392"/>
      <c r="K103" s="392"/>
      <c r="L103" s="162"/>
      <c r="M103" s="425"/>
      <c r="N103" s="426"/>
      <c r="O103" s="427"/>
    </row>
    <row r="104" spans="2:15" s="73" customFormat="1" ht="15" customHeight="1" x14ac:dyDescent="0.3">
      <c r="B104" s="83"/>
      <c r="C104" s="83"/>
      <c r="D104" s="83"/>
      <c r="E104" s="83"/>
      <c r="F104" s="51">
        <v>11.1</v>
      </c>
      <c r="G104" s="43" t="s">
        <v>179</v>
      </c>
      <c r="H104" s="57"/>
      <c r="I104" s="42"/>
      <c r="J104" s="37"/>
      <c r="K104" s="76">
        <f>H104*J104</f>
        <v>0</v>
      </c>
      <c r="L104" s="60"/>
      <c r="M104" s="27"/>
      <c r="N104" s="130">
        <f>K104-M104</f>
        <v>0</v>
      </c>
      <c r="O104" s="67"/>
    </row>
    <row r="105" spans="2:15" s="29" customFormat="1" ht="15" customHeight="1" x14ac:dyDescent="0.3">
      <c r="B105" s="83"/>
      <c r="C105" s="83"/>
      <c r="D105" s="90"/>
      <c r="E105" s="83"/>
      <c r="F105" s="51">
        <v>11.2</v>
      </c>
      <c r="G105" s="43" t="s">
        <v>180</v>
      </c>
      <c r="H105" s="57"/>
      <c r="I105" s="42"/>
      <c r="J105" s="37"/>
      <c r="K105" s="76">
        <f>H105*J105</f>
        <v>0</v>
      </c>
      <c r="L105" s="60"/>
      <c r="M105" s="27"/>
      <c r="N105" s="130">
        <f>K105-M105</f>
        <v>0</v>
      </c>
      <c r="O105" s="67"/>
    </row>
    <row r="106" spans="2:15" s="73" customFormat="1" ht="15" customHeight="1" x14ac:dyDescent="0.3">
      <c r="B106" s="83"/>
      <c r="C106" s="83"/>
      <c r="D106" s="90"/>
      <c r="E106" s="83"/>
      <c r="F106" s="51">
        <v>11.3</v>
      </c>
      <c r="G106" s="43" t="s">
        <v>155</v>
      </c>
      <c r="H106" s="57"/>
      <c r="I106" s="42"/>
      <c r="J106" s="37"/>
      <c r="K106" s="76">
        <f>H106*J106</f>
        <v>0</v>
      </c>
      <c r="L106" s="60"/>
      <c r="M106" s="27"/>
      <c r="N106" s="130">
        <f>K106-M106</f>
        <v>0</v>
      </c>
      <c r="O106" s="67"/>
    </row>
    <row r="107" spans="2:15" s="29" customFormat="1" ht="15" customHeight="1" thickBot="1" x14ac:dyDescent="0.35">
      <c r="B107" s="83"/>
      <c r="C107" s="83"/>
      <c r="D107" s="90"/>
      <c r="E107" s="83"/>
      <c r="F107" s="51"/>
      <c r="G107" s="43"/>
      <c r="H107" s="58"/>
      <c r="I107" s="44"/>
      <c r="J107" s="38"/>
      <c r="K107" s="85"/>
      <c r="L107" s="60"/>
      <c r="M107" s="28"/>
      <c r="N107" s="131"/>
      <c r="O107" s="68"/>
    </row>
    <row r="108" spans="2:15" s="73" customFormat="1" ht="15" customHeight="1" thickTop="1" thickBot="1" x14ac:dyDescent="0.35">
      <c r="B108" s="151"/>
      <c r="C108" s="151"/>
      <c r="D108" s="154"/>
      <c r="E108" s="83"/>
      <c r="F108" s="396" t="s">
        <v>80</v>
      </c>
      <c r="G108" s="397"/>
      <c r="H108" s="397"/>
      <c r="I108" s="397"/>
      <c r="J108" s="397"/>
      <c r="K108" s="33">
        <f>SUM(K104:K107)</f>
        <v>0</v>
      </c>
      <c r="L108" s="62"/>
      <c r="M108" s="80">
        <f>SUM(M104:M107)</f>
        <v>0</v>
      </c>
      <c r="N108" s="81">
        <f>SUM(N104:N107)</f>
        <v>0</v>
      </c>
      <c r="O108" s="70"/>
    </row>
    <row r="109" spans="2:15" s="165" customFormat="1" ht="15" customHeight="1" x14ac:dyDescent="0.3">
      <c r="B109" s="83"/>
      <c r="C109" s="83"/>
      <c r="D109" s="90"/>
      <c r="E109" s="83"/>
      <c r="F109" s="149">
        <v>12</v>
      </c>
      <c r="G109" s="392" t="s">
        <v>181</v>
      </c>
      <c r="H109" s="392"/>
      <c r="I109" s="392"/>
      <c r="J109" s="392"/>
      <c r="K109" s="392"/>
      <c r="L109" s="162"/>
      <c r="M109" s="425"/>
      <c r="N109" s="426"/>
      <c r="O109" s="427"/>
    </row>
    <row r="110" spans="2:15" s="29" customFormat="1" ht="15" customHeight="1" x14ac:dyDescent="0.3">
      <c r="B110" s="83"/>
      <c r="C110" s="83"/>
      <c r="D110" s="90"/>
      <c r="E110" s="83"/>
      <c r="F110" s="51">
        <v>12.1</v>
      </c>
      <c r="G110" s="43" t="s">
        <v>182</v>
      </c>
      <c r="H110" s="57"/>
      <c r="I110" s="42"/>
      <c r="J110" s="37"/>
      <c r="K110" s="76">
        <f t="shared" ref="K110:K115" si="11">H110*J110</f>
        <v>0</v>
      </c>
      <c r="L110" s="60"/>
      <c r="M110" s="27"/>
      <c r="N110" s="130">
        <f t="shared" ref="N110:N115" si="12">K110-M110</f>
        <v>0</v>
      </c>
      <c r="O110" s="67"/>
    </row>
    <row r="111" spans="2:15" s="29" customFormat="1" ht="15" customHeight="1" x14ac:dyDescent="0.3">
      <c r="B111" s="83"/>
      <c r="C111" s="83"/>
      <c r="D111" s="90"/>
      <c r="E111" s="83"/>
      <c r="F111" s="51">
        <v>12.2</v>
      </c>
      <c r="G111" s="43" t="s">
        <v>183</v>
      </c>
      <c r="H111" s="57"/>
      <c r="I111" s="42"/>
      <c r="J111" s="37"/>
      <c r="K111" s="76">
        <f t="shared" si="11"/>
        <v>0</v>
      </c>
      <c r="L111" s="60"/>
      <c r="M111" s="27"/>
      <c r="N111" s="130">
        <f t="shared" si="12"/>
        <v>0</v>
      </c>
      <c r="O111" s="67"/>
    </row>
    <row r="112" spans="2:15" s="29" customFormat="1" ht="15" customHeight="1" x14ac:dyDescent="0.3">
      <c r="B112" s="83"/>
      <c r="C112" s="83"/>
      <c r="D112" s="90"/>
      <c r="E112" s="83"/>
      <c r="F112" s="51">
        <v>12.3</v>
      </c>
      <c r="G112" s="43" t="s">
        <v>184</v>
      </c>
      <c r="H112" s="57"/>
      <c r="I112" s="42"/>
      <c r="J112" s="37"/>
      <c r="K112" s="76">
        <f t="shared" si="11"/>
        <v>0</v>
      </c>
      <c r="L112" s="60"/>
      <c r="M112" s="27"/>
      <c r="N112" s="130">
        <f t="shared" si="12"/>
        <v>0</v>
      </c>
      <c r="O112" s="67"/>
    </row>
    <row r="113" spans="2:15" s="29" customFormat="1" ht="15" customHeight="1" x14ac:dyDescent="0.3">
      <c r="B113" s="83"/>
      <c r="C113" s="83"/>
      <c r="D113" s="90"/>
      <c r="E113" s="83"/>
      <c r="F113" s="51">
        <v>12.4</v>
      </c>
      <c r="G113" s="43" t="s">
        <v>185</v>
      </c>
      <c r="H113" s="57"/>
      <c r="I113" s="42"/>
      <c r="J113" s="37"/>
      <c r="K113" s="76">
        <f t="shared" si="11"/>
        <v>0</v>
      </c>
      <c r="L113" s="60"/>
      <c r="M113" s="27"/>
      <c r="N113" s="130">
        <f t="shared" si="12"/>
        <v>0</v>
      </c>
      <c r="O113" s="67"/>
    </row>
    <row r="114" spans="2:15" s="29" customFormat="1" ht="15" customHeight="1" x14ac:dyDescent="0.3">
      <c r="B114" s="83"/>
      <c r="C114" s="83"/>
      <c r="D114" s="90"/>
      <c r="E114" s="83"/>
      <c r="F114" s="51">
        <v>12.5</v>
      </c>
      <c r="G114" s="43" t="s">
        <v>155</v>
      </c>
      <c r="H114" s="57"/>
      <c r="I114" s="42"/>
      <c r="J114" s="37"/>
      <c r="K114" s="76">
        <f t="shared" si="11"/>
        <v>0</v>
      </c>
      <c r="L114" s="60"/>
      <c r="M114" s="27"/>
      <c r="N114" s="130">
        <f t="shared" si="12"/>
        <v>0</v>
      </c>
      <c r="O114" s="67"/>
    </row>
    <row r="115" spans="2:15" s="29" customFormat="1" ht="15" customHeight="1" x14ac:dyDescent="0.3">
      <c r="B115" s="83"/>
      <c r="C115" s="83"/>
      <c r="D115" s="90"/>
      <c r="E115" s="83"/>
      <c r="F115" s="51">
        <v>12.6</v>
      </c>
      <c r="G115" s="43" t="s">
        <v>186</v>
      </c>
      <c r="H115" s="57"/>
      <c r="I115" s="42"/>
      <c r="J115" s="37"/>
      <c r="K115" s="76">
        <f t="shared" si="11"/>
        <v>0</v>
      </c>
      <c r="L115" s="60"/>
      <c r="M115" s="27"/>
      <c r="N115" s="130">
        <f t="shared" si="12"/>
        <v>0</v>
      </c>
      <c r="O115" s="67"/>
    </row>
    <row r="116" spans="2:15" s="29" customFormat="1" ht="15" customHeight="1" thickBot="1" x14ac:dyDescent="0.35">
      <c r="B116" s="83"/>
      <c r="C116" s="83"/>
      <c r="D116" s="83"/>
      <c r="E116" s="83"/>
      <c r="F116" s="51"/>
      <c r="G116" s="43"/>
      <c r="H116" s="58"/>
      <c r="I116" s="44"/>
      <c r="J116" s="38"/>
      <c r="K116" s="85"/>
      <c r="L116" s="60"/>
      <c r="M116" s="28"/>
      <c r="N116" s="131"/>
      <c r="O116" s="68"/>
    </row>
    <row r="117" spans="2:15" s="29" customFormat="1" ht="15" customHeight="1" thickTop="1" thickBot="1" x14ac:dyDescent="0.35">
      <c r="B117" s="151"/>
      <c r="C117" s="151"/>
      <c r="D117" s="151"/>
      <c r="E117" s="83"/>
      <c r="F117" s="396" t="s">
        <v>80</v>
      </c>
      <c r="G117" s="397"/>
      <c r="H117" s="397"/>
      <c r="I117" s="397"/>
      <c r="J117" s="397"/>
      <c r="K117" s="33">
        <f>SUM(K110:K116)</f>
        <v>0</v>
      </c>
      <c r="L117" s="62"/>
      <c r="M117" s="80">
        <f>SUM(M110:M116)</f>
        <v>0</v>
      </c>
      <c r="N117" s="81">
        <f>SUM(N110:N116)</f>
        <v>0</v>
      </c>
      <c r="O117" s="70"/>
    </row>
    <row r="118" spans="2:15" s="163" customFormat="1" ht="15" customHeight="1" x14ac:dyDescent="0.3">
      <c r="B118" s="83"/>
      <c r="C118" s="83"/>
      <c r="D118" s="83"/>
      <c r="E118" s="83"/>
      <c r="F118" s="149">
        <v>13</v>
      </c>
      <c r="G118" s="392" t="s">
        <v>187</v>
      </c>
      <c r="H118" s="392"/>
      <c r="I118" s="392"/>
      <c r="J118" s="392"/>
      <c r="K118" s="392"/>
      <c r="L118" s="162"/>
      <c r="M118" s="425"/>
      <c r="N118" s="426"/>
      <c r="O118" s="427"/>
    </row>
    <row r="119" spans="2:15" s="29" customFormat="1" ht="15" customHeight="1" x14ac:dyDescent="0.3">
      <c r="B119" s="83"/>
      <c r="C119" s="83"/>
      <c r="D119" s="83"/>
      <c r="E119" s="83"/>
      <c r="F119" s="51">
        <v>13.1</v>
      </c>
      <c r="G119" s="43" t="s">
        <v>188</v>
      </c>
      <c r="H119" s="57"/>
      <c r="I119" s="42"/>
      <c r="J119" s="37"/>
      <c r="K119" s="76">
        <f>H119*J119</f>
        <v>0</v>
      </c>
      <c r="L119" s="60"/>
      <c r="M119" s="27"/>
      <c r="N119" s="130">
        <f>K119-M119</f>
        <v>0</v>
      </c>
      <c r="O119" s="67"/>
    </row>
    <row r="120" spans="2:15" s="29" customFormat="1" ht="15" customHeight="1" x14ac:dyDescent="0.3">
      <c r="B120" s="83"/>
      <c r="C120" s="83"/>
      <c r="D120" s="83"/>
      <c r="E120" s="83"/>
      <c r="F120" s="52">
        <v>13.2</v>
      </c>
      <c r="G120" s="468" t="s">
        <v>189</v>
      </c>
      <c r="H120" s="469"/>
      <c r="I120" s="469"/>
      <c r="J120" s="469"/>
      <c r="K120" s="469"/>
      <c r="L120" s="470"/>
      <c r="M120" s="462"/>
      <c r="N120" s="463"/>
      <c r="O120" s="464"/>
    </row>
    <row r="121" spans="2:15" s="29" customFormat="1" ht="15" customHeight="1" x14ac:dyDescent="0.3">
      <c r="B121" s="83"/>
      <c r="C121" s="83"/>
      <c r="D121" s="83"/>
      <c r="E121" s="83"/>
      <c r="F121" s="51" t="s">
        <v>190</v>
      </c>
      <c r="G121" s="43" t="s">
        <v>191</v>
      </c>
      <c r="H121" s="57"/>
      <c r="I121" s="42"/>
      <c r="J121" s="37"/>
      <c r="K121" s="76">
        <f t="shared" ref="K121:K129" si="13">H121*J121</f>
        <v>0</v>
      </c>
      <c r="L121" s="60"/>
      <c r="M121" s="27"/>
      <c r="N121" s="130">
        <f t="shared" ref="N121:N129" si="14">K121-M121</f>
        <v>0</v>
      </c>
      <c r="O121" s="67"/>
    </row>
    <row r="122" spans="2:15" s="29" customFormat="1" ht="15" customHeight="1" x14ac:dyDescent="0.3">
      <c r="B122" s="83"/>
      <c r="C122" s="83"/>
      <c r="D122" s="83"/>
      <c r="E122" s="83"/>
      <c r="F122" s="51" t="s">
        <v>192</v>
      </c>
      <c r="G122" s="43" t="s">
        <v>193</v>
      </c>
      <c r="H122" s="57"/>
      <c r="I122" s="42"/>
      <c r="J122" s="37"/>
      <c r="K122" s="76">
        <f t="shared" si="13"/>
        <v>0</v>
      </c>
      <c r="L122" s="60"/>
      <c r="M122" s="27"/>
      <c r="N122" s="130">
        <f t="shared" si="14"/>
        <v>0</v>
      </c>
      <c r="O122" s="67"/>
    </row>
    <row r="123" spans="2:15" s="29" customFormat="1" ht="15" customHeight="1" x14ac:dyDescent="0.3">
      <c r="B123" s="83"/>
      <c r="C123" s="83"/>
      <c r="D123" s="83"/>
      <c r="E123" s="83"/>
      <c r="F123" s="51" t="s">
        <v>194</v>
      </c>
      <c r="G123" s="43" t="s">
        <v>195</v>
      </c>
      <c r="H123" s="57"/>
      <c r="I123" s="42"/>
      <c r="J123" s="37"/>
      <c r="K123" s="76">
        <f t="shared" si="13"/>
        <v>0</v>
      </c>
      <c r="L123" s="60"/>
      <c r="M123" s="27"/>
      <c r="N123" s="130">
        <f t="shared" si="14"/>
        <v>0</v>
      </c>
      <c r="O123" s="67"/>
    </row>
    <row r="124" spans="2:15" s="29" customFormat="1" ht="15" customHeight="1" x14ac:dyDescent="0.3">
      <c r="B124" s="83"/>
      <c r="C124" s="83"/>
      <c r="D124" s="83"/>
      <c r="E124" s="83"/>
      <c r="F124" s="51">
        <v>13.3</v>
      </c>
      <c r="G124" s="43" t="s">
        <v>196</v>
      </c>
      <c r="H124" s="57"/>
      <c r="I124" s="42"/>
      <c r="J124" s="37"/>
      <c r="K124" s="76">
        <f t="shared" si="13"/>
        <v>0</v>
      </c>
      <c r="L124" s="60"/>
      <c r="M124" s="27"/>
      <c r="N124" s="130">
        <f t="shared" si="14"/>
        <v>0</v>
      </c>
      <c r="O124" s="67"/>
    </row>
    <row r="125" spans="2:15" s="29" customFormat="1" ht="15" customHeight="1" x14ac:dyDescent="0.3">
      <c r="B125" s="83"/>
      <c r="C125" s="83"/>
      <c r="D125" s="83"/>
      <c r="E125" s="83"/>
      <c r="F125" s="51">
        <v>13.4</v>
      </c>
      <c r="G125" s="43" t="s">
        <v>197</v>
      </c>
      <c r="H125" s="57"/>
      <c r="I125" s="42"/>
      <c r="J125" s="37"/>
      <c r="K125" s="76">
        <f t="shared" si="13"/>
        <v>0</v>
      </c>
      <c r="L125" s="60"/>
      <c r="M125" s="27"/>
      <c r="N125" s="130">
        <f t="shared" si="14"/>
        <v>0</v>
      </c>
      <c r="O125" s="67"/>
    </row>
    <row r="126" spans="2:15" s="29" customFormat="1" ht="15" customHeight="1" x14ac:dyDescent="0.3">
      <c r="B126" s="83"/>
      <c r="C126" s="83"/>
      <c r="D126" s="83"/>
      <c r="E126" s="83"/>
      <c r="F126" s="51">
        <v>13.5</v>
      </c>
      <c r="G126" s="43" t="s">
        <v>198</v>
      </c>
      <c r="H126" s="57"/>
      <c r="I126" s="42"/>
      <c r="J126" s="37"/>
      <c r="K126" s="76">
        <f t="shared" si="13"/>
        <v>0</v>
      </c>
      <c r="L126" s="60"/>
      <c r="M126" s="27"/>
      <c r="N126" s="130">
        <f t="shared" si="14"/>
        <v>0</v>
      </c>
      <c r="O126" s="67"/>
    </row>
    <row r="127" spans="2:15" s="29" customFormat="1" ht="15" customHeight="1" x14ac:dyDescent="0.3">
      <c r="B127" s="83"/>
      <c r="C127" s="83"/>
      <c r="D127" s="83"/>
      <c r="E127" s="83"/>
      <c r="F127" s="51">
        <v>13.6</v>
      </c>
      <c r="G127" s="43" t="s">
        <v>199</v>
      </c>
      <c r="H127" s="57"/>
      <c r="I127" s="42"/>
      <c r="J127" s="37"/>
      <c r="K127" s="76">
        <f t="shared" si="13"/>
        <v>0</v>
      </c>
      <c r="L127" s="60"/>
      <c r="M127" s="27"/>
      <c r="N127" s="130">
        <f t="shared" si="14"/>
        <v>0</v>
      </c>
      <c r="O127" s="67"/>
    </row>
    <row r="128" spans="2:15" s="29" customFormat="1" ht="15" customHeight="1" x14ac:dyDescent="0.3">
      <c r="B128" s="83"/>
      <c r="C128" s="83"/>
      <c r="D128" s="83"/>
      <c r="E128" s="83"/>
      <c r="F128" s="51">
        <v>13.7</v>
      </c>
      <c r="G128" s="43" t="s">
        <v>200</v>
      </c>
      <c r="H128" s="57"/>
      <c r="I128" s="42"/>
      <c r="J128" s="37"/>
      <c r="K128" s="76">
        <f t="shared" si="13"/>
        <v>0</v>
      </c>
      <c r="L128" s="60"/>
      <c r="M128" s="27"/>
      <c r="N128" s="130">
        <f t="shared" si="14"/>
        <v>0</v>
      </c>
      <c r="O128" s="67"/>
    </row>
    <row r="129" spans="2:15" s="29" customFormat="1" ht="15" customHeight="1" x14ac:dyDescent="0.3">
      <c r="B129" s="83"/>
      <c r="C129" s="83"/>
      <c r="D129" s="83"/>
      <c r="E129" s="83"/>
      <c r="F129" s="51">
        <v>13.8</v>
      </c>
      <c r="G129" s="43" t="s">
        <v>201</v>
      </c>
      <c r="H129" s="57"/>
      <c r="I129" s="42"/>
      <c r="J129" s="37"/>
      <c r="K129" s="76">
        <f t="shared" si="13"/>
        <v>0</v>
      </c>
      <c r="L129" s="60"/>
      <c r="M129" s="27"/>
      <c r="N129" s="130">
        <f t="shared" si="14"/>
        <v>0</v>
      </c>
      <c r="O129" s="67"/>
    </row>
    <row r="130" spans="2:15" s="29" customFormat="1" ht="15" customHeight="1" thickBot="1" x14ac:dyDescent="0.35">
      <c r="B130" s="83"/>
      <c r="C130" s="83"/>
      <c r="D130" s="83"/>
      <c r="E130" s="83"/>
      <c r="F130" s="51"/>
      <c r="G130" s="43"/>
      <c r="H130" s="58"/>
      <c r="I130" s="44"/>
      <c r="J130" s="38"/>
      <c r="K130" s="85"/>
      <c r="L130" s="60"/>
      <c r="M130" s="28"/>
      <c r="N130" s="131"/>
      <c r="O130" s="68"/>
    </row>
    <row r="131" spans="2:15" s="29" customFormat="1" ht="15" customHeight="1" thickTop="1" thickBot="1" x14ac:dyDescent="0.35">
      <c r="B131" s="151"/>
      <c r="C131" s="151"/>
      <c r="D131" s="151"/>
      <c r="E131" s="83"/>
      <c r="F131" s="396" t="s">
        <v>80</v>
      </c>
      <c r="G131" s="397"/>
      <c r="H131" s="397"/>
      <c r="I131" s="397"/>
      <c r="J131" s="397"/>
      <c r="K131" s="33">
        <f>SUM(K119:K130)</f>
        <v>0</v>
      </c>
      <c r="L131" s="62"/>
      <c r="M131" s="80">
        <f>SUM(M119:M130)</f>
        <v>0</v>
      </c>
      <c r="N131" s="81">
        <f>SUM(N119:N130)</f>
        <v>0</v>
      </c>
      <c r="O131" s="70"/>
    </row>
    <row r="132" spans="2:15" s="163" customFormat="1" ht="15" customHeight="1" x14ac:dyDescent="0.3">
      <c r="B132" s="83"/>
      <c r="C132" s="83"/>
      <c r="D132" s="83"/>
      <c r="E132" s="83"/>
      <c r="F132" s="149">
        <v>14</v>
      </c>
      <c r="G132" s="392" t="s">
        <v>202</v>
      </c>
      <c r="H132" s="392"/>
      <c r="I132" s="392"/>
      <c r="J132" s="392"/>
      <c r="K132" s="392"/>
      <c r="L132" s="162"/>
      <c r="M132" s="425"/>
      <c r="N132" s="426"/>
      <c r="O132" s="427"/>
    </row>
    <row r="133" spans="2:15" s="29" customFormat="1" ht="15" customHeight="1" x14ac:dyDescent="0.3">
      <c r="B133" s="83"/>
      <c r="C133" s="83"/>
      <c r="D133" s="83"/>
      <c r="E133" s="83"/>
      <c r="F133" s="51">
        <v>14.1</v>
      </c>
      <c r="G133" s="43" t="s">
        <v>203</v>
      </c>
      <c r="H133" s="57"/>
      <c r="I133" s="42"/>
      <c r="J133" s="37"/>
      <c r="K133" s="76">
        <f t="shared" ref="K133:K142" si="15">H133*J133</f>
        <v>0</v>
      </c>
      <c r="L133" s="60"/>
      <c r="M133" s="27"/>
      <c r="N133" s="130">
        <f t="shared" ref="N133:N142" si="16">K133-M133</f>
        <v>0</v>
      </c>
      <c r="O133" s="67"/>
    </row>
    <row r="134" spans="2:15" s="29" customFormat="1" ht="15" customHeight="1" x14ac:dyDescent="0.3">
      <c r="B134" s="83"/>
      <c r="C134" s="83"/>
      <c r="D134" s="83"/>
      <c r="E134" s="83"/>
      <c r="F134" s="51">
        <v>14.2</v>
      </c>
      <c r="G134" s="43" t="s">
        <v>204</v>
      </c>
      <c r="H134" s="57"/>
      <c r="I134" s="42"/>
      <c r="J134" s="37"/>
      <c r="K134" s="76">
        <f t="shared" si="15"/>
        <v>0</v>
      </c>
      <c r="L134" s="60"/>
      <c r="M134" s="27"/>
      <c r="N134" s="130">
        <f t="shared" si="16"/>
        <v>0</v>
      </c>
      <c r="O134" s="67"/>
    </row>
    <row r="135" spans="2:15" s="29" customFormat="1" ht="15" customHeight="1" x14ac:dyDescent="0.3">
      <c r="B135" s="83"/>
      <c r="C135" s="83"/>
      <c r="D135" s="83"/>
      <c r="E135" s="83"/>
      <c r="F135" s="51">
        <v>14.3</v>
      </c>
      <c r="G135" s="43" t="s">
        <v>205</v>
      </c>
      <c r="H135" s="57"/>
      <c r="I135" s="42"/>
      <c r="J135" s="37"/>
      <c r="K135" s="76">
        <f t="shared" si="15"/>
        <v>0</v>
      </c>
      <c r="L135" s="60"/>
      <c r="M135" s="27"/>
      <c r="N135" s="130">
        <f t="shared" si="16"/>
        <v>0</v>
      </c>
      <c r="O135" s="67"/>
    </row>
    <row r="136" spans="2:15" s="29" customFormat="1" ht="15" customHeight="1" x14ac:dyDescent="0.3">
      <c r="B136" s="83"/>
      <c r="C136" s="83"/>
      <c r="D136" s="83"/>
      <c r="E136" s="83"/>
      <c r="F136" s="51">
        <v>14.4</v>
      </c>
      <c r="G136" s="43" t="s">
        <v>206</v>
      </c>
      <c r="H136" s="57"/>
      <c r="I136" s="42"/>
      <c r="J136" s="37"/>
      <c r="K136" s="76">
        <f t="shared" si="15"/>
        <v>0</v>
      </c>
      <c r="L136" s="60"/>
      <c r="M136" s="27"/>
      <c r="N136" s="130">
        <f t="shared" si="16"/>
        <v>0</v>
      </c>
      <c r="O136" s="67"/>
    </row>
    <row r="137" spans="2:15" s="29" customFormat="1" ht="15" customHeight="1" x14ac:dyDescent="0.3">
      <c r="B137" s="83"/>
      <c r="C137" s="83"/>
      <c r="D137" s="83"/>
      <c r="E137" s="83"/>
      <c r="F137" s="51">
        <v>14.5</v>
      </c>
      <c r="G137" s="43" t="s">
        <v>207</v>
      </c>
      <c r="H137" s="57"/>
      <c r="I137" s="42"/>
      <c r="J137" s="37"/>
      <c r="K137" s="76">
        <f t="shared" si="15"/>
        <v>0</v>
      </c>
      <c r="L137" s="60"/>
      <c r="M137" s="27"/>
      <c r="N137" s="130">
        <f t="shared" si="16"/>
        <v>0</v>
      </c>
      <c r="O137" s="67"/>
    </row>
    <row r="138" spans="2:15" s="29" customFormat="1" ht="15" customHeight="1" x14ac:dyDescent="0.3">
      <c r="B138" s="83"/>
      <c r="C138" s="83"/>
      <c r="D138" s="83"/>
      <c r="E138" s="83"/>
      <c r="F138" s="51">
        <v>14.6</v>
      </c>
      <c r="G138" s="43" t="s">
        <v>208</v>
      </c>
      <c r="H138" s="57"/>
      <c r="I138" s="42"/>
      <c r="J138" s="37"/>
      <c r="K138" s="76">
        <f t="shared" si="15"/>
        <v>0</v>
      </c>
      <c r="L138" s="60"/>
      <c r="M138" s="27"/>
      <c r="N138" s="130">
        <f t="shared" si="16"/>
        <v>0</v>
      </c>
      <c r="O138" s="67"/>
    </row>
    <row r="139" spans="2:15" s="29" customFormat="1" ht="15" customHeight="1" x14ac:dyDescent="0.3">
      <c r="B139" s="83"/>
      <c r="C139" s="83"/>
      <c r="D139" s="83"/>
      <c r="E139" s="83"/>
      <c r="F139" s="51">
        <v>14.7</v>
      </c>
      <c r="G139" s="43" t="s">
        <v>209</v>
      </c>
      <c r="H139" s="57"/>
      <c r="I139" s="42"/>
      <c r="J139" s="37"/>
      <c r="K139" s="76">
        <f t="shared" si="15"/>
        <v>0</v>
      </c>
      <c r="L139" s="60"/>
      <c r="M139" s="27"/>
      <c r="N139" s="130">
        <f t="shared" si="16"/>
        <v>0</v>
      </c>
      <c r="O139" s="67"/>
    </row>
    <row r="140" spans="2:15" s="29" customFormat="1" ht="15" customHeight="1" x14ac:dyDescent="0.3">
      <c r="B140" s="83"/>
      <c r="C140" s="83"/>
      <c r="D140" s="83"/>
      <c r="E140" s="83"/>
      <c r="F140" s="51">
        <v>14.8</v>
      </c>
      <c r="G140" s="43" t="s">
        <v>210</v>
      </c>
      <c r="H140" s="57"/>
      <c r="I140" s="42"/>
      <c r="J140" s="37"/>
      <c r="K140" s="76">
        <f t="shared" si="15"/>
        <v>0</v>
      </c>
      <c r="L140" s="60"/>
      <c r="M140" s="27"/>
      <c r="N140" s="130">
        <f t="shared" si="16"/>
        <v>0</v>
      </c>
      <c r="O140" s="67"/>
    </row>
    <row r="141" spans="2:15" s="29" customFormat="1" ht="15" customHeight="1" x14ac:dyDescent="0.3">
      <c r="B141" s="83"/>
      <c r="C141" s="83"/>
      <c r="D141" s="83"/>
      <c r="E141" s="83"/>
      <c r="F141" s="51">
        <v>14.9</v>
      </c>
      <c r="G141" s="43" t="s">
        <v>211</v>
      </c>
      <c r="H141" s="57"/>
      <c r="I141" s="42"/>
      <c r="J141" s="37"/>
      <c r="K141" s="76">
        <f t="shared" si="15"/>
        <v>0</v>
      </c>
      <c r="L141" s="60"/>
      <c r="M141" s="27"/>
      <c r="N141" s="130">
        <f t="shared" si="16"/>
        <v>0</v>
      </c>
      <c r="O141" s="67"/>
    </row>
    <row r="142" spans="2:15" s="29" customFormat="1" ht="15" customHeight="1" x14ac:dyDescent="0.3">
      <c r="B142" s="83"/>
      <c r="C142" s="83"/>
      <c r="D142" s="83"/>
      <c r="E142" s="83"/>
      <c r="F142" s="24">
        <v>14.1</v>
      </c>
      <c r="G142" s="43" t="s">
        <v>212</v>
      </c>
      <c r="H142" s="57"/>
      <c r="I142" s="42"/>
      <c r="J142" s="37"/>
      <c r="K142" s="76">
        <f t="shared" si="15"/>
        <v>0</v>
      </c>
      <c r="L142" s="60"/>
      <c r="M142" s="27"/>
      <c r="N142" s="130">
        <f t="shared" si="16"/>
        <v>0</v>
      </c>
      <c r="O142" s="67"/>
    </row>
    <row r="143" spans="2:15" s="29" customFormat="1" ht="15" customHeight="1" thickBot="1" x14ac:dyDescent="0.35">
      <c r="B143" s="83"/>
      <c r="C143" s="83"/>
      <c r="D143" s="83"/>
      <c r="E143" s="83"/>
      <c r="F143" s="51"/>
      <c r="G143" s="43"/>
      <c r="H143" s="58"/>
      <c r="I143" s="44"/>
      <c r="J143" s="38"/>
      <c r="K143" s="85"/>
      <c r="L143" s="60"/>
      <c r="M143" s="28"/>
      <c r="N143" s="131"/>
      <c r="O143" s="68"/>
    </row>
    <row r="144" spans="2:15" s="29" customFormat="1" ht="15" customHeight="1" thickTop="1" thickBot="1" x14ac:dyDescent="0.35">
      <c r="B144" s="151"/>
      <c r="C144" s="151"/>
      <c r="D144" s="151"/>
      <c r="E144" s="83"/>
      <c r="F144" s="396" t="s">
        <v>80</v>
      </c>
      <c r="G144" s="397"/>
      <c r="H144" s="397"/>
      <c r="I144" s="397"/>
      <c r="J144" s="397"/>
      <c r="K144" s="33">
        <f>SUM(K133:K143)</f>
        <v>0</v>
      </c>
      <c r="L144" s="62"/>
      <c r="M144" s="80">
        <f>SUM(M133:M143)</f>
        <v>0</v>
      </c>
      <c r="N144" s="81">
        <f>SUM(N133:N143)</f>
        <v>0</v>
      </c>
      <c r="O144" s="70"/>
    </row>
    <row r="145" spans="2:15" s="163" customFormat="1" ht="15" customHeight="1" x14ac:dyDescent="0.3">
      <c r="B145" s="83"/>
      <c r="C145" s="83"/>
      <c r="D145" s="83"/>
      <c r="E145" s="83"/>
      <c r="F145" s="149">
        <v>15</v>
      </c>
      <c r="G145" s="392" t="s">
        <v>213</v>
      </c>
      <c r="H145" s="392"/>
      <c r="I145" s="392"/>
      <c r="J145" s="392"/>
      <c r="K145" s="392"/>
      <c r="L145" s="162"/>
      <c r="M145" s="425"/>
      <c r="N145" s="426"/>
      <c r="O145" s="427"/>
    </row>
    <row r="146" spans="2:15" s="29" customFormat="1" ht="15" customHeight="1" x14ac:dyDescent="0.3">
      <c r="B146" s="83"/>
      <c r="C146" s="83"/>
      <c r="D146" s="83"/>
      <c r="E146" s="83"/>
      <c r="F146" s="51">
        <v>15.1</v>
      </c>
      <c r="G146" s="43" t="s">
        <v>214</v>
      </c>
      <c r="H146" s="57"/>
      <c r="I146" s="42"/>
      <c r="J146" s="37"/>
      <c r="K146" s="76">
        <f>H146*J146</f>
        <v>0</v>
      </c>
      <c r="L146" s="60"/>
      <c r="M146" s="27"/>
      <c r="N146" s="130">
        <f>K146-M146</f>
        <v>0</v>
      </c>
      <c r="O146" s="67"/>
    </row>
    <row r="147" spans="2:15" s="29" customFormat="1" ht="15" customHeight="1" x14ac:dyDescent="0.3">
      <c r="B147" s="83"/>
      <c r="C147" s="83"/>
      <c r="D147" s="83"/>
      <c r="E147" s="83"/>
      <c r="F147" s="51">
        <v>15.2</v>
      </c>
      <c r="G147" s="43" t="s">
        <v>215</v>
      </c>
      <c r="H147" s="57"/>
      <c r="I147" s="42"/>
      <c r="J147" s="37"/>
      <c r="K147" s="76">
        <f>H147*J147</f>
        <v>0</v>
      </c>
      <c r="L147" s="60"/>
      <c r="M147" s="27"/>
      <c r="N147" s="130">
        <f>K147-M147</f>
        <v>0</v>
      </c>
      <c r="O147" s="67"/>
    </row>
    <row r="148" spans="2:15" s="29" customFormat="1" ht="15" customHeight="1" x14ac:dyDescent="0.3">
      <c r="B148" s="83"/>
      <c r="C148" s="83"/>
      <c r="D148" s="83"/>
      <c r="E148" s="83"/>
      <c r="F148" s="51">
        <v>15.3</v>
      </c>
      <c r="G148" s="43" t="s">
        <v>212</v>
      </c>
      <c r="H148" s="57"/>
      <c r="I148" s="42"/>
      <c r="J148" s="37"/>
      <c r="K148" s="76">
        <f>H148*J148</f>
        <v>0</v>
      </c>
      <c r="L148" s="60"/>
      <c r="M148" s="27"/>
      <c r="N148" s="130">
        <f>K148-M148</f>
        <v>0</v>
      </c>
      <c r="O148" s="67"/>
    </row>
    <row r="149" spans="2:15" s="29" customFormat="1" ht="15" customHeight="1" thickBot="1" x14ac:dyDescent="0.35">
      <c r="B149" s="83"/>
      <c r="C149" s="83"/>
      <c r="D149" s="83"/>
      <c r="E149" s="83"/>
      <c r="F149" s="51"/>
      <c r="G149" s="43"/>
      <c r="H149" s="58"/>
      <c r="I149" s="44"/>
      <c r="J149" s="38"/>
      <c r="K149" s="85"/>
      <c r="L149" s="60"/>
      <c r="M149" s="28"/>
      <c r="N149" s="131"/>
      <c r="O149" s="68"/>
    </row>
    <row r="150" spans="2:15" s="29" customFormat="1" ht="15" customHeight="1" thickTop="1" thickBot="1" x14ac:dyDescent="0.35">
      <c r="B150" s="151"/>
      <c r="C150" s="151"/>
      <c r="D150" s="151"/>
      <c r="E150" s="83"/>
      <c r="F150" s="396" t="s">
        <v>80</v>
      </c>
      <c r="G150" s="397"/>
      <c r="H150" s="397"/>
      <c r="I150" s="397"/>
      <c r="J150" s="397"/>
      <c r="K150" s="33">
        <f>SUM(K146:K149)</f>
        <v>0</v>
      </c>
      <c r="L150" s="62"/>
      <c r="M150" s="80">
        <f>SUM(M146:M149)</f>
        <v>0</v>
      </c>
      <c r="N150" s="81">
        <f>SUM(N146:N149)</f>
        <v>0</v>
      </c>
      <c r="O150" s="70"/>
    </row>
    <row r="151" spans="2:15" s="163" customFormat="1" ht="15" customHeight="1" x14ac:dyDescent="0.3">
      <c r="B151" s="83"/>
      <c r="C151" s="83"/>
      <c r="D151" s="83"/>
      <c r="E151" s="83"/>
      <c r="F151" s="149">
        <v>16</v>
      </c>
      <c r="G151" s="392" t="s">
        <v>216</v>
      </c>
      <c r="H151" s="392"/>
      <c r="I151" s="392"/>
      <c r="J151" s="392"/>
      <c r="K151" s="392"/>
      <c r="L151" s="162"/>
      <c r="M151" s="425"/>
      <c r="N151" s="426"/>
      <c r="O151" s="427"/>
    </row>
    <row r="152" spans="2:15" s="29" customFormat="1" ht="15" customHeight="1" x14ac:dyDescent="0.3">
      <c r="B152" s="83"/>
      <c r="C152" s="83"/>
      <c r="D152" s="83"/>
      <c r="E152" s="83"/>
      <c r="F152" s="51">
        <v>16.100000000000001</v>
      </c>
      <c r="G152" s="43" t="s">
        <v>217</v>
      </c>
      <c r="H152" s="57"/>
      <c r="I152" s="42"/>
      <c r="J152" s="37"/>
      <c r="K152" s="76">
        <f t="shared" ref="K152:K158" si="17">H152*J152</f>
        <v>0</v>
      </c>
      <c r="L152" s="60"/>
      <c r="M152" s="27"/>
      <c r="N152" s="130">
        <f t="shared" ref="N152:N158" si="18">K152-M152</f>
        <v>0</v>
      </c>
      <c r="O152" s="67"/>
    </row>
    <row r="153" spans="2:15" s="29" customFormat="1" ht="15" customHeight="1" x14ac:dyDescent="0.3">
      <c r="B153" s="83"/>
      <c r="C153" s="83"/>
      <c r="D153" s="83"/>
      <c r="E153" s="83"/>
      <c r="F153" s="51">
        <v>16.2</v>
      </c>
      <c r="G153" s="43" t="s">
        <v>218</v>
      </c>
      <c r="H153" s="57"/>
      <c r="I153" s="42"/>
      <c r="J153" s="37"/>
      <c r="K153" s="76">
        <f t="shared" si="17"/>
        <v>0</v>
      </c>
      <c r="L153" s="60"/>
      <c r="M153" s="27"/>
      <c r="N153" s="130">
        <f t="shared" si="18"/>
        <v>0</v>
      </c>
      <c r="O153" s="67"/>
    </row>
    <row r="154" spans="2:15" s="29" customFormat="1" ht="15" customHeight="1" x14ac:dyDescent="0.3">
      <c r="B154" s="83"/>
      <c r="C154" s="83"/>
      <c r="D154" s="83"/>
      <c r="E154" s="83"/>
      <c r="F154" s="51">
        <v>16.3</v>
      </c>
      <c r="G154" s="43" t="s">
        <v>219</v>
      </c>
      <c r="H154" s="57"/>
      <c r="I154" s="42"/>
      <c r="J154" s="37"/>
      <c r="K154" s="76">
        <f t="shared" si="17"/>
        <v>0</v>
      </c>
      <c r="L154" s="60"/>
      <c r="M154" s="27"/>
      <c r="N154" s="130">
        <f t="shared" si="18"/>
        <v>0</v>
      </c>
      <c r="O154" s="67"/>
    </row>
    <row r="155" spans="2:15" s="29" customFormat="1" ht="15" customHeight="1" x14ac:dyDescent="0.3">
      <c r="B155" s="83"/>
      <c r="C155" s="83"/>
      <c r="D155" s="83"/>
      <c r="E155" s="83"/>
      <c r="F155" s="51">
        <v>16.399999999999999</v>
      </c>
      <c r="G155" s="43" t="s">
        <v>220</v>
      </c>
      <c r="H155" s="57"/>
      <c r="I155" s="42"/>
      <c r="J155" s="37"/>
      <c r="K155" s="76">
        <f t="shared" si="17"/>
        <v>0</v>
      </c>
      <c r="L155" s="60"/>
      <c r="M155" s="27"/>
      <c r="N155" s="130">
        <f t="shared" si="18"/>
        <v>0</v>
      </c>
      <c r="O155" s="67"/>
    </row>
    <row r="156" spans="2:15" s="29" customFormat="1" ht="15" customHeight="1" x14ac:dyDescent="0.3">
      <c r="B156" s="83"/>
      <c r="C156" s="83"/>
      <c r="D156" s="83"/>
      <c r="E156" s="83"/>
      <c r="F156" s="51">
        <v>16.5</v>
      </c>
      <c r="G156" s="43" t="s">
        <v>221</v>
      </c>
      <c r="H156" s="57"/>
      <c r="I156" s="42"/>
      <c r="J156" s="37"/>
      <c r="K156" s="76">
        <f t="shared" si="17"/>
        <v>0</v>
      </c>
      <c r="L156" s="60"/>
      <c r="M156" s="27"/>
      <c r="N156" s="130">
        <f t="shared" si="18"/>
        <v>0</v>
      </c>
      <c r="O156" s="67"/>
    </row>
    <row r="157" spans="2:15" s="29" customFormat="1" ht="15" customHeight="1" x14ac:dyDescent="0.3">
      <c r="B157" s="83"/>
      <c r="C157" s="83"/>
      <c r="D157" s="83"/>
      <c r="E157" s="83"/>
      <c r="F157" s="51">
        <v>16.600000000000001</v>
      </c>
      <c r="G157" s="43" t="s">
        <v>222</v>
      </c>
      <c r="H157" s="57"/>
      <c r="I157" s="42"/>
      <c r="J157" s="37"/>
      <c r="K157" s="76">
        <f t="shared" si="17"/>
        <v>0</v>
      </c>
      <c r="L157" s="60"/>
      <c r="M157" s="27"/>
      <c r="N157" s="130">
        <f t="shared" si="18"/>
        <v>0</v>
      </c>
      <c r="O157" s="67"/>
    </row>
    <row r="158" spans="2:15" s="29" customFormat="1" ht="15" customHeight="1" x14ac:dyDescent="0.3">
      <c r="B158" s="83"/>
      <c r="C158" s="83"/>
      <c r="D158" s="83"/>
      <c r="E158" s="83"/>
      <c r="F158" s="51">
        <v>16.7</v>
      </c>
      <c r="G158" s="43" t="s">
        <v>223</v>
      </c>
      <c r="H158" s="57"/>
      <c r="I158" s="42"/>
      <c r="J158" s="37"/>
      <c r="K158" s="76">
        <f t="shared" si="17"/>
        <v>0</v>
      </c>
      <c r="L158" s="60"/>
      <c r="M158" s="27"/>
      <c r="N158" s="130">
        <f t="shared" si="18"/>
        <v>0</v>
      </c>
      <c r="O158" s="67"/>
    </row>
    <row r="159" spans="2:15" s="29" customFormat="1" ht="15" customHeight="1" x14ac:dyDescent="0.3">
      <c r="B159" s="83"/>
      <c r="C159" s="83"/>
      <c r="D159" s="83"/>
      <c r="E159" s="83"/>
      <c r="F159" s="103">
        <v>16.8</v>
      </c>
      <c r="G159" s="500" t="s">
        <v>39</v>
      </c>
      <c r="H159" s="501"/>
      <c r="I159" s="501"/>
      <c r="J159" s="501"/>
      <c r="K159" s="501"/>
      <c r="L159" s="502"/>
      <c r="M159" s="473"/>
      <c r="N159" s="474"/>
      <c r="O159" s="475"/>
    </row>
    <row r="160" spans="2:15" s="29" customFormat="1" ht="15" customHeight="1" x14ac:dyDescent="0.3">
      <c r="B160" s="83"/>
      <c r="C160" s="83"/>
      <c r="D160" s="83"/>
      <c r="E160" s="83"/>
      <c r="F160" s="103" t="s">
        <v>224</v>
      </c>
      <c r="G160" s="89" t="s">
        <v>225</v>
      </c>
      <c r="H160" s="97"/>
      <c r="I160" s="93"/>
      <c r="J160" s="99"/>
      <c r="K160" s="104">
        <f>H160*J160</f>
        <v>0</v>
      </c>
      <c r="L160" s="94"/>
      <c r="M160" s="27"/>
      <c r="N160" s="130">
        <f>K160-M160</f>
        <v>0</v>
      </c>
      <c r="O160" s="67"/>
    </row>
    <row r="161" spans="2:15" s="29" customFormat="1" ht="15" customHeight="1" x14ac:dyDescent="0.3">
      <c r="B161" s="83"/>
      <c r="C161" s="83"/>
      <c r="D161" s="83"/>
      <c r="E161" s="83"/>
      <c r="F161" s="103" t="s">
        <v>226</v>
      </c>
      <c r="G161" s="89" t="s">
        <v>227</v>
      </c>
      <c r="H161" s="97"/>
      <c r="I161" s="93"/>
      <c r="J161" s="99"/>
      <c r="K161" s="104">
        <f>H161*J161</f>
        <v>0</v>
      </c>
      <c r="L161" s="94"/>
      <c r="M161" s="27"/>
      <c r="N161" s="130">
        <f>K161-M161</f>
        <v>0</v>
      </c>
      <c r="O161" s="67"/>
    </row>
    <row r="162" spans="2:15" s="29" customFormat="1" ht="15" customHeight="1" x14ac:dyDescent="0.3">
      <c r="B162" s="83"/>
      <c r="C162" s="83"/>
      <c r="D162" s="83"/>
      <c r="E162" s="83"/>
      <c r="F162" s="103" t="s">
        <v>228</v>
      </c>
      <c r="G162" s="89" t="s">
        <v>229</v>
      </c>
      <c r="H162" s="97"/>
      <c r="I162" s="93"/>
      <c r="J162" s="99"/>
      <c r="K162" s="104">
        <f>H162*J162</f>
        <v>0</v>
      </c>
      <c r="L162" s="94"/>
      <c r="M162" s="27"/>
      <c r="N162" s="130">
        <f>K162-M162</f>
        <v>0</v>
      </c>
      <c r="O162" s="67"/>
    </row>
    <row r="163" spans="2:15" s="29" customFormat="1" ht="15" customHeight="1" thickBot="1" x14ac:dyDescent="0.35">
      <c r="B163" s="83"/>
      <c r="C163" s="83"/>
      <c r="D163" s="83"/>
      <c r="E163" s="83"/>
      <c r="F163" s="51"/>
      <c r="G163" s="43"/>
      <c r="H163" s="58"/>
      <c r="I163" s="44"/>
      <c r="J163" s="38"/>
      <c r="K163" s="85"/>
      <c r="L163" s="60"/>
      <c r="M163" s="28"/>
      <c r="N163" s="131"/>
      <c r="O163" s="68"/>
    </row>
    <row r="164" spans="2:15" s="29" customFormat="1" ht="15" customHeight="1" thickTop="1" thickBot="1" x14ac:dyDescent="0.35">
      <c r="B164" s="151"/>
      <c r="C164" s="151"/>
      <c r="D164" s="151"/>
      <c r="E164" s="83"/>
      <c r="F164" s="396" t="s">
        <v>80</v>
      </c>
      <c r="G164" s="397"/>
      <c r="H164" s="397"/>
      <c r="I164" s="397"/>
      <c r="J164" s="397"/>
      <c r="K164" s="33">
        <f>SUM(K152:K163)</f>
        <v>0</v>
      </c>
      <c r="L164" s="62"/>
      <c r="M164" s="80">
        <f>SUM(M152:M163)</f>
        <v>0</v>
      </c>
      <c r="N164" s="81">
        <f>SUM(N152:N163)</f>
        <v>0</v>
      </c>
      <c r="O164" s="70"/>
    </row>
    <row r="165" spans="2:15" s="163" customFormat="1" ht="15" customHeight="1" x14ac:dyDescent="0.3">
      <c r="B165" s="83"/>
      <c r="C165" s="83"/>
      <c r="D165" s="83"/>
      <c r="E165" s="83"/>
      <c r="F165" s="149">
        <v>17</v>
      </c>
      <c r="G165" s="392" t="s">
        <v>230</v>
      </c>
      <c r="H165" s="392"/>
      <c r="I165" s="392"/>
      <c r="J165" s="392"/>
      <c r="K165" s="392"/>
      <c r="L165" s="162"/>
      <c r="M165" s="425"/>
      <c r="N165" s="426"/>
      <c r="O165" s="427"/>
    </row>
    <row r="166" spans="2:15" s="29" customFormat="1" ht="15" customHeight="1" x14ac:dyDescent="0.3">
      <c r="B166" s="83"/>
      <c r="C166" s="83"/>
      <c r="D166" s="83"/>
      <c r="E166" s="83"/>
      <c r="F166" s="51">
        <v>17.100000000000001</v>
      </c>
      <c r="G166" s="43" t="s">
        <v>231</v>
      </c>
      <c r="H166" s="57"/>
      <c r="I166" s="42"/>
      <c r="J166" s="37"/>
      <c r="K166" s="76">
        <f>H166*J166</f>
        <v>0</v>
      </c>
      <c r="L166" s="60"/>
      <c r="M166" s="27"/>
      <c r="N166" s="130">
        <f>K166-M166</f>
        <v>0</v>
      </c>
      <c r="O166" s="67"/>
    </row>
    <row r="167" spans="2:15" s="29" customFormat="1" ht="15" customHeight="1" x14ac:dyDescent="0.3">
      <c r="B167" s="83"/>
      <c r="C167" s="83"/>
      <c r="D167" s="83"/>
      <c r="E167" s="83"/>
      <c r="F167" s="51">
        <v>17.2</v>
      </c>
      <c r="G167" s="43" t="s">
        <v>232</v>
      </c>
      <c r="H167" s="57"/>
      <c r="I167" s="42"/>
      <c r="J167" s="37"/>
      <c r="K167" s="76">
        <f>H167*J167</f>
        <v>0</v>
      </c>
      <c r="L167" s="60"/>
      <c r="M167" s="27"/>
      <c r="N167" s="130">
        <f>K167-M167</f>
        <v>0</v>
      </c>
      <c r="O167" s="67"/>
    </row>
    <row r="168" spans="2:15" s="29" customFormat="1" ht="15" customHeight="1" x14ac:dyDescent="0.3">
      <c r="B168" s="83"/>
      <c r="C168" s="83"/>
      <c r="D168" s="83"/>
      <c r="E168" s="83"/>
      <c r="F168" s="51">
        <v>17.3</v>
      </c>
      <c r="G168" s="43" t="s">
        <v>233</v>
      </c>
      <c r="H168" s="57"/>
      <c r="I168" s="42"/>
      <c r="J168" s="37"/>
      <c r="K168" s="76">
        <f>H168*J168</f>
        <v>0</v>
      </c>
      <c r="L168" s="60"/>
      <c r="M168" s="27"/>
      <c r="N168" s="130">
        <f>K168-M168</f>
        <v>0</v>
      </c>
      <c r="O168" s="67"/>
    </row>
    <row r="169" spans="2:15" s="29" customFormat="1" ht="15" customHeight="1" x14ac:dyDescent="0.3">
      <c r="B169" s="83"/>
      <c r="C169" s="83"/>
      <c r="D169" s="83"/>
      <c r="E169" s="83"/>
      <c r="F169" s="51">
        <v>17.399999999999999</v>
      </c>
      <c r="G169" s="43" t="s">
        <v>234</v>
      </c>
      <c r="H169" s="57"/>
      <c r="I169" s="42"/>
      <c r="J169" s="37"/>
      <c r="K169" s="76">
        <f>H169*J169</f>
        <v>0</v>
      </c>
      <c r="L169" s="60"/>
      <c r="M169" s="27"/>
      <c r="N169" s="130">
        <f>K169-M169</f>
        <v>0</v>
      </c>
      <c r="O169" s="67"/>
    </row>
    <row r="170" spans="2:15" s="29" customFormat="1" ht="15" customHeight="1" x14ac:dyDescent="0.3">
      <c r="B170" s="83"/>
      <c r="C170" s="83"/>
      <c r="D170" s="83"/>
      <c r="E170" s="83"/>
      <c r="F170" s="51">
        <v>17.5</v>
      </c>
      <c r="G170" s="43" t="s">
        <v>235</v>
      </c>
      <c r="H170" s="57"/>
      <c r="I170" s="42"/>
      <c r="J170" s="37"/>
      <c r="K170" s="76">
        <f>H170*J170</f>
        <v>0</v>
      </c>
      <c r="L170" s="60"/>
      <c r="M170" s="27"/>
      <c r="N170" s="130">
        <f>K170-M170</f>
        <v>0</v>
      </c>
      <c r="O170" s="67"/>
    </row>
    <row r="171" spans="2:15" s="29" customFormat="1" ht="15" customHeight="1" thickBot="1" x14ac:dyDescent="0.35">
      <c r="B171" s="83"/>
      <c r="C171" s="83"/>
      <c r="D171" s="83"/>
      <c r="E171" s="83"/>
      <c r="F171" s="51"/>
      <c r="G171" s="43"/>
      <c r="H171" s="58"/>
      <c r="I171" s="44"/>
      <c r="J171" s="38"/>
      <c r="K171" s="85"/>
      <c r="L171" s="60"/>
      <c r="M171" s="28"/>
      <c r="N171" s="131"/>
      <c r="O171" s="68"/>
    </row>
    <row r="172" spans="2:15" s="29" customFormat="1" ht="15" customHeight="1" thickTop="1" thickBot="1" x14ac:dyDescent="0.35">
      <c r="B172" s="151"/>
      <c r="C172" s="151"/>
      <c r="D172" s="151"/>
      <c r="E172" s="83"/>
      <c r="F172" s="396" t="s">
        <v>80</v>
      </c>
      <c r="G172" s="397"/>
      <c r="H172" s="397"/>
      <c r="I172" s="397"/>
      <c r="J172" s="397"/>
      <c r="K172" s="33">
        <f>SUM(K166:K171)</f>
        <v>0</v>
      </c>
      <c r="L172" s="62"/>
      <c r="M172" s="80">
        <f>SUM(M166:M171)</f>
        <v>0</v>
      </c>
      <c r="N172" s="81">
        <f>SUM(N166:N171)</f>
        <v>0</v>
      </c>
      <c r="O172" s="70"/>
    </row>
    <row r="173" spans="2:15" s="163" customFormat="1" ht="15" customHeight="1" x14ac:dyDescent="0.3">
      <c r="B173" s="83"/>
      <c r="C173" s="83"/>
      <c r="D173" s="83"/>
      <c r="E173" s="83"/>
      <c r="F173" s="149">
        <v>18</v>
      </c>
      <c r="G173" s="392" t="s">
        <v>236</v>
      </c>
      <c r="H173" s="392"/>
      <c r="I173" s="392"/>
      <c r="J173" s="392"/>
      <c r="K173" s="392"/>
      <c r="L173" s="162"/>
      <c r="M173" s="425"/>
      <c r="N173" s="426"/>
      <c r="O173" s="427"/>
    </row>
    <row r="174" spans="2:15" s="29" customFormat="1" ht="15" customHeight="1" x14ac:dyDescent="0.3">
      <c r="B174" s="83"/>
      <c r="C174" s="83"/>
      <c r="D174" s="83"/>
      <c r="E174" s="83"/>
      <c r="F174" s="51">
        <v>18.100000000000001</v>
      </c>
      <c r="G174" s="43" t="s">
        <v>237</v>
      </c>
      <c r="H174" s="57"/>
      <c r="I174" s="42"/>
      <c r="J174" s="37"/>
      <c r="K174" s="76">
        <f>H174*J174</f>
        <v>0</v>
      </c>
      <c r="L174" s="60"/>
      <c r="M174" s="27"/>
      <c r="N174" s="130">
        <f>K174-M174</f>
        <v>0</v>
      </c>
      <c r="O174" s="67"/>
    </row>
    <row r="175" spans="2:15" s="29" customFormat="1" ht="15" customHeight="1" x14ac:dyDescent="0.3">
      <c r="B175" s="83"/>
      <c r="C175" s="83"/>
      <c r="D175" s="83"/>
      <c r="E175" s="83"/>
      <c r="F175" s="51">
        <v>18.2</v>
      </c>
      <c r="G175" s="43" t="s">
        <v>236</v>
      </c>
      <c r="H175" s="57"/>
      <c r="I175" s="42"/>
      <c r="J175" s="37"/>
      <c r="K175" s="76">
        <f>H175*J175</f>
        <v>0</v>
      </c>
      <c r="L175" s="60"/>
      <c r="M175" s="27"/>
      <c r="N175" s="130">
        <f>K175-M175</f>
        <v>0</v>
      </c>
      <c r="O175" s="67"/>
    </row>
    <row r="176" spans="2:15" s="29" customFormat="1" ht="15" customHeight="1" x14ac:dyDescent="0.3">
      <c r="B176" s="83"/>
      <c r="C176" s="83"/>
      <c r="D176" s="83"/>
      <c r="E176" s="83"/>
      <c r="F176" s="51">
        <v>18.3</v>
      </c>
      <c r="G176" s="43" t="s">
        <v>238</v>
      </c>
      <c r="H176" s="57"/>
      <c r="I176" s="42"/>
      <c r="J176" s="37"/>
      <c r="K176" s="76">
        <f>H176*J176</f>
        <v>0</v>
      </c>
      <c r="L176" s="60"/>
      <c r="M176" s="27"/>
      <c r="N176" s="130">
        <f>K176-M176</f>
        <v>0</v>
      </c>
      <c r="O176" s="67"/>
    </row>
    <row r="177" spans="2:15" s="29" customFormat="1" ht="15" customHeight="1" thickBot="1" x14ac:dyDescent="0.35">
      <c r="B177" s="83"/>
      <c r="C177" s="83"/>
      <c r="D177" s="83"/>
      <c r="E177" s="83"/>
      <c r="F177" s="51"/>
      <c r="G177" s="43"/>
      <c r="H177" s="58"/>
      <c r="I177" s="44"/>
      <c r="J177" s="38"/>
      <c r="K177" s="85"/>
      <c r="L177" s="60"/>
      <c r="M177" s="28"/>
      <c r="N177" s="131"/>
      <c r="O177" s="68"/>
    </row>
    <row r="178" spans="2:15" s="29" customFormat="1" ht="15" customHeight="1" thickTop="1" thickBot="1" x14ac:dyDescent="0.35">
      <c r="B178" s="151"/>
      <c r="C178" s="151"/>
      <c r="D178" s="151"/>
      <c r="E178" s="83"/>
      <c r="F178" s="396" t="s">
        <v>80</v>
      </c>
      <c r="G178" s="397"/>
      <c r="H178" s="397"/>
      <c r="I178" s="397"/>
      <c r="J178" s="397"/>
      <c r="K178" s="33">
        <f>SUM(K174:K177)</f>
        <v>0</v>
      </c>
      <c r="L178" s="62"/>
      <c r="M178" s="80">
        <f>SUM(M174:M177)</f>
        <v>0</v>
      </c>
      <c r="N178" s="81">
        <f>SUM(N174:N177)</f>
        <v>0</v>
      </c>
      <c r="O178" s="70"/>
    </row>
    <row r="179" spans="2:15" s="163" customFormat="1" ht="15" customHeight="1" x14ac:dyDescent="0.3">
      <c r="B179" s="83"/>
      <c r="C179" s="83"/>
      <c r="D179" s="83"/>
      <c r="E179" s="83"/>
      <c r="F179" s="149">
        <v>19</v>
      </c>
      <c r="G179" s="392" t="s">
        <v>239</v>
      </c>
      <c r="H179" s="392"/>
      <c r="I179" s="392"/>
      <c r="J179" s="392"/>
      <c r="K179" s="392"/>
      <c r="L179" s="162"/>
      <c r="M179" s="425"/>
      <c r="N179" s="426"/>
      <c r="O179" s="427"/>
    </row>
    <row r="180" spans="2:15" s="29" customFormat="1" ht="15" customHeight="1" x14ac:dyDescent="0.3">
      <c r="B180" s="83"/>
      <c r="C180" s="83"/>
      <c r="D180" s="83"/>
      <c r="E180" s="83"/>
      <c r="F180" s="54">
        <v>19.100000000000001</v>
      </c>
      <c r="G180" s="89" t="s">
        <v>240</v>
      </c>
      <c r="H180" s="57"/>
      <c r="I180" s="42"/>
      <c r="J180" s="37"/>
      <c r="K180" s="76">
        <f>H180*J180</f>
        <v>0</v>
      </c>
      <c r="L180" s="60"/>
      <c r="M180" s="27"/>
      <c r="N180" s="130">
        <f>K180-M180</f>
        <v>0</v>
      </c>
      <c r="O180" s="67"/>
    </row>
    <row r="181" spans="2:15" s="29" customFormat="1" ht="15" customHeight="1" x14ac:dyDescent="0.3">
      <c r="B181" s="83"/>
      <c r="C181" s="83"/>
      <c r="D181" s="83"/>
      <c r="E181" s="83"/>
      <c r="F181" s="51">
        <v>19.2</v>
      </c>
      <c r="G181" s="43" t="s">
        <v>241</v>
      </c>
      <c r="H181" s="57"/>
      <c r="I181" s="42"/>
      <c r="J181" s="37"/>
      <c r="K181" s="76">
        <f>H181*J181</f>
        <v>0</v>
      </c>
      <c r="L181" s="60"/>
      <c r="M181" s="27"/>
      <c r="N181" s="130">
        <f>K181-M181</f>
        <v>0</v>
      </c>
      <c r="O181" s="67"/>
    </row>
    <row r="182" spans="2:15" s="29" customFormat="1" ht="15" customHeight="1" x14ac:dyDescent="0.3">
      <c r="B182" s="83"/>
      <c r="C182" s="83"/>
      <c r="D182" s="83"/>
      <c r="E182" s="83"/>
      <c r="F182" s="51">
        <v>19.3</v>
      </c>
      <c r="G182" s="43" t="s">
        <v>242</v>
      </c>
      <c r="H182" s="57"/>
      <c r="I182" s="42"/>
      <c r="J182" s="37"/>
      <c r="K182" s="76">
        <f>H182*J182</f>
        <v>0</v>
      </c>
      <c r="L182" s="60"/>
      <c r="M182" s="27"/>
      <c r="N182" s="130">
        <f>K182-M182</f>
        <v>0</v>
      </c>
      <c r="O182" s="67"/>
    </row>
    <row r="183" spans="2:15" s="29" customFormat="1" ht="15" customHeight="1" x14ac:dyDescent="0.3">
      <c r="B183" s="83"/>
      <c r="C183" s="83"/>
      <c r="D183" s="83"/>
      <c r="E183" s="83"/>
      <c r="F183" s="51">
        <v>19.399999999999999</v>
      </c>
      <c r="G183" s="43" t="s">
        <v>243</v>
      </c>
      <c r="H183" s="57"/>
      <c r="I183" s="42"/>
      <c r="J183" s="37"/>
      <c r="K183" s="76">
        <f>H183*J183</f>
        <v>0</v>
      </c>
      <c r="L183" s="60"/>
      <c r="M183" s="27"/>
      <c r="N183" s="130">
        <f>K183-M183</f>
        <v>0</v>
      </c>
      <c r="O183" s="67"/>
    </row>
    <row r="184" spans="2:15" s="29" customFormat="1" ht="15" customHeight="1" x14ac:dyDescent="0.3">
      <c r="B184" s="83"/>
      <c r="C184" s="83"/>
      <c r="D184" s="83"/>
      <c r="E184" s="83"/>
      <c r="F184" s="51">
        <v>19.5</v>
      </c>
      <c r="G184" s="43" t="s">
        <v>244</v>
      </c>
      <c r="H184" s="57"/>
      <c r="I184" s="42"/>
      <c r="J184" s="37"/>
      <c r="K184" s="76">
        <f>H184*J184</f>
        <v>0</v>
      </c>
      <c r="L184" s="60"/>
      <c r="M184" s="27"/>
      <c r="N184" s="130">
        <f>K184-M184</f>
        <v>0</v>
      </c>
      <c r="O184" s="67"/>
    </row>
    <row r="185" spans="2:15" s="29" customFormat="1" ht="15" customHeight="1" thickBot="1" x14ac:dyDescent="0.35">
      <c r="B185" s="83"/>
      <c r="C185" s="83"/>
      <c r="D185" s="83"/>
      <c r="E185" s="83"/>
      <c r="F185" s="51"/>
      <c r="G185" s="43"/>
      <c r="H185" s="58"/>
      <c r="I185" s="44"/>
      <c r="J185" s="38"/>
      <c r="K185" s="85"/>
      <c r="L185" s="60"/>
      <c r="M185" s="28"/>
      <c r="N185" s="131"/>
      <c r="O185" s="68"/>
    </row>
    <row r="186" spans="2:15" s="29" customFormat="1" ht="15" customHeight="1" thickTop="1" thickBot="1" x14ac:dyDescent="0.35">
      <c r="B186" s="151"/>
      <c r="C186" s="151"/>
      <c r="D186" s="151"/>
      <c r="E186" s="83"/>
      <c r="F186" s="396" t="s">
        <v>80</v>
      </c>
      <c r="G186" s="397"/>
      <c r="H186" s="397"/>
      <c r="I186" s="397"/>
      <c r="J186" s="397"/>
      <c r="K186" s="33">
        <f>SUM(K180:K185)</f>
        <v>0</v>
      </c>
      <c r="L186" s="62"/>
      <c r="M186" s="80">
        <f>SUM(M180:M185)</f>
        <v>0</v>
      </c>
      <c r="N186" s="81">
        <f>SUM(N180:N185)</f>
        <v>0</v>
      </c>
      <c r="O186" s="70"/>
    </row>
    <row r="187" spans="2:15" s="163" customFormat="1" ht="15" customHeight="1" x14ac:dyDescent="0.3">
      <c r="B187" s="83"/>
      <c r="C187" s="83"/>
      <c r="D187" s="83"/>
      <c r="E187" s="83"/>
      <c r="F187" s="149">
        <v>20</v>
      </c>
      <c r="G187" s="392" t="s">
        <v>245</v>
      </c>
      <c r="H187" s="392"/>
      <c r="I187" s="392"/>
      <c r="J187" s="392"/>
      <c r="K187" s="392"/>
      <c r="L187" s="162"/>
      <c r="M187" s="425"/>
      <c r="N187" s="426"/>
      <c r="O187" s="427"/>
    </row>
    <row r="188" spans="2:15" s="29" customFormat="1" ht="15" customHeight="1" x14ac:dyDescent="0.3">
      <c r="B188" s="83"/>
      <c r="C188" s="83"/>
      <c r="D188" s="83"/>
      <c r="E188" s="83"/>
      <c r="F188" s="51">
        <v>21.1</v>
      </c>
      <c r="G188" s="43" t="s">
        <v>246</v>
      </c>
      <c r="H188" s="57"/>
      <c r="I188" s="42"/>
      <c r="J188" s="37"/>
      <c r="K188" s="76">
        <f>H188*J188</f>
        <v>0</v>
      </c>
      <c r="L188" s="60"/>
      <c r="M188" s="27"/>
      <c r="N188" s="130">
        <f t="shared" ref="N188:N196" si="19">K188-M188</f>
        <v>0</v>
      </c>
      <c r="O188" s="67"/>
    </row>
    <row r="189" spans="2:15" s="29" customFormat="1" ht="15" customHeight="1" x14ac:dyDescent="0.3">
      <c r="B189" s="83"/>
      <c r="C189" s="83"/>
      <c r="D189" s="83"/>
      <c r="E189" s="83"/>
      <c r="F189" s="51">
        <v>21.2</v>
      </c>
      <c r="G189" s="43" t="s">
        <v>247</v>
      </c>
      <c r="H189" s="57"/>
      <c r="I189" s="42"/>
      <c r="J189" s="37"/>
      <c r="K189" s="76">
        <f t="shared" ref="K189:K196" si="20">H189*J189</f>
        <v>0</v>
      </c>
      <c r="L189" s="60"/>
      <c r="M189" s="27"/>
      <c r="N189" s="130">
        <f t="shared" si="19"/>
        <v>0</v>
      </c>
      <c r="O189" s="67"/>
    </row>
    <row r="190" spans="2:15" s="29" customFormat="1" ht="15" customHeight="1" x14ac:dyDescent="0.3">
      <c r="B190" s="83"/>
      <c r="C190" s="83"/>
      <c r="D190" s="83"/>
      <c r="E190" s="83"/>
      <c r="F190" s="51">
        <v>21.3</v>
      </c>
      <c r="G190" s="43" t="s">
        <v>248</v>
      </c>
      <c r="H190" s="57"/>
      <c r="I190" s="42"/>
      <c r="J190" s="37"/>
      <c r="K190" s="76">
        <f t="shared" si="20"/>
        <v>0</v>
      </c>
      <c r="L190" s="60"/>
      <c r="M190" s="27"/>
      <c r="N190" s="130">
        <f t="shared" si="19"/>
        <v>0</v>
      </c>
      <c r="O190" s="67"/>
    </row>
    <row r="191" spans="2:15" s="29" customFormat="1" ht="15" customHeight="1" x14ac:dyDescent="0.3">
      <c r="B191" s="83"/>
      <c r="C191" s="83"/>
      <c r="D191" s="83"/>
      <c r="E191" s="83"/>
      <c r="F191" s="51">
        <v>21.4</v>
      </c>
      <c r="G191" s="43" t="s">
        <v>249</v>
      </c>
      <c r="H191" s="57"/>
      <c r="I191" s="42"/>
      <c r="J191" s="37"/>
      <c r="K191" s="76">
        <f t="shared" si="20"/>
        <v>0</v>
      </c>
      <c r="L191" s="60"/>
      <c r="M191" s="27"/>
      <c r="N191" s="130">
        <f t="shared" si="19"/>
        <v>0</v>
      </c>
      <c r="O191" s="67"/>
    </row>
    <row r="192" spans="2:15" s="29" customFormat="1" ht="15" customHeight="1" x14ac:dyDescent="0.3">
      <c r="B192" s="83"/>
      <c r="C192" s="83"/>
      <c r="D192" s="83"/>
      <c r="E192" s="83"/>
      <c r="F192" s="51">
        <v>21.5</v>
      </c>
      <c r="G192" s="43" t="s">
        <v>148</v>
      </c>
      <c r="H192" s="57"/>
      <c r="I192" s="42"/>
      <c r="J192" s="37"/>
      <c r="K192" s="76">
        <f>H192*J192</f>
        <v>0</v>
      </c>
      <c r="L192" s="60"/>
      <c r="M192" s="27"/>
      <c r="N192" s="130">
        <f t="shared" si="19"/>
        <v>0</v>
      </c>
      <c r="O192" s="67"/>
    </row>
    <row r="193" spans="2:15" s="29" customFormat="1" ht="15" customHeight="1" x14ac:dyDescent="0.3">
      <c r="B193" s="83"/>
      <c r="C193" s="83"/>
      <c r="D193" s="83"/>
      <c r="E193" s="83"/>
      <c r="F193" s="51">
        <v>21.6</v>
      </c>
      <c r="G193" s="43" t="s">
        <v>250</v>
      </c>
      <c r="H193" s="57"/>
      <c r="I193" s="42"/>
      <c r="J193" s="37"/>
      <c r="K193" s="76">
        <f>H193*J193</f>
        <v>0</v>
      </c>
      <c r="L193" s="60"/>
      <c r="M193" s="27"/>
      <c r="N193" s="130">
        <f t="shared" si="19"/>
        <v>0</v>
      </c>
      <c r="O193" s="67"/>
    </row>
    <row r="194" spans="2:15" s="29" customFormat="1" ht="15" customHeight="1" x14ac:dyDescent="0.3">
      <c r="B194" s="83"/>
      <c r="C194" s="83"/>
      <c r="D194" s="83"/>
      <c r="E194" s="83"/>
      <c r="F194" s="51">
        <v>21.7</v>
      </c>
      <c r="G194" s="43" t="s">
        <v>251</v>
      </c>
      <c r="H194" s="57"/>
      <c r="I194" s="42"/>
      <c r="J194" s="37"/>
      <c r="K194" s="76">
        <f t="shared" si="20"/>
        <v>0</v>
      </c>
      <c r="L194" s="60"/>
      <c r="M194" s="27"/>
      <c r="N194" s="130">
        <f t="shared" si="19"/>
        <v>0</v>
      </c>
      <c r="O194" s="67"/>
    </row>
    <row r="195" spans="2:15" s="29" customFormat="1" ht="15" customHeight="1" x14ac:dyDescent="0.3">
      <c r="B195" s="83"/>
      <c r="C195" s="83"/>
      <c r="D195" s="83"/>
      <c r="E195" s="83"/>
      <c r="F195" s="51">
        <v>21.8</v>
      </c>
      <c r="G195" s="43" t="s">
        <v>252</v>
      </c>
      <c r="H195" s="57"/>
      <c r="I195" s="42"/>
      <c r="J195" s="37"/>
      <c r="K195" s="76">
        <f t="shared" si="20"/>
        <v>0</v>
      </c>
      <c r="L195" s="60"/>
      <c r="M195" s="27"/>
      <c r="N195" s="130">
        <f t="shared" si="19"/>
        <v>0</v>
      </c>
      <c r="O195" s="67"/>
    </row>
    <row r="196" spans="2:15" s="29" customFormat="1" ht="15" customHeight="1" x14ac:dyDescent="0.3">
      <c r="B196" s="83"/>
      <c r="C196" s="83"/>
      <c r="D196" s="83"/>
      <c r="E196" s="83"/>
      <c r="F196" s="51">
        <v>21.9</v>
      </c>
      <c r="G196" s="43" t="s">
        <v>253</v>
      </c>
      <c r="H196" s="57"/>
      <c r="I196" s="42"/>
      <c r="J196" s="37"/>
      <c r="K196" s="76">
        <f t="shared" si="20"/>
        <v>0</v>
      </c>
      <c r="L196" s="60"/>
      <c r="M196" s="27"/>
      <c r="N196" s="130">
        <f t="shared" si="19"/>
        <v>0</v>
      </c>
      <c r="O196" s="67"/>
    </row>
    <row r="197" spans="2:15" s="29" customFormat="1" ht="15" customHeight="1" x14ac:dyDescent="0.3">
      <c r="B197" s="83"/>
      <c r="C197" s="83"/>
      <c r="D197" s="83"/>
      <c r="E197" s="83"/>
      <c r="F197" s="51"/>
      <c r="G197" s="43"/>
      <c r="H197" s="98"/>
      <c r="I197" s="95"/>
      <c r="J197" s="100"/>
      <c r="K197" s="85"/>
      <c r="L197" s="60"/>
      <c r="M197" s="106"/>
      <c r="N197" s="133"/>
      <c r="O197" s="67"/>
    </row>
    <row r="198" spans="2:15" s="29" customFormat="1" ht="15" customHeight="1" x14ac:dyDescent="0.3">
      <c r="B198" s="83"/>
      <c r="C198" s="83"/>
      <c r="D198" s="83"/>
      <c r="E198" s="83"/>
      <c r="F198" s="51"/>
      <c r="G198" s="43"/>
      <c r="H198" s="98"/>
      <c r="I198" s="95"/>
      <c r="J198" s="100"/>
      <c r="K198" s="85"/>
      <c r="L198" s="60"/>
      <c r="M198" s="106"/>
      <c r="N198" s="133"/>
      <c r="O198" s="67"/>
    </row>
    <row r="199" spans="2:15" s="29" customFormat="1" ht="15" customHeight="1" thickBot="1" x14ac:dyDescent="0.35">
      <c r="B199" s="83"/>
      <c r="C199" s="83"/>
      <c r="D199" s="83"/>
      <c r="E199" s="83"/>
      <c r="F199" s="53"/>
      <c r="G199" s="45"/>
      <c r="H199" s="59"/>
      <c r="I199" s="46"/>
      <c r="J199" s="39"/>
      <c r="K199" s="88"/>
      <c r="L199" s="63"/>
      <c r="M199" s="28"/>
      <c r="N199" s="131"/>
      <c r="O199" s="68"/>
    </row>
    <row r="200" spans="2:15" s="29" customFormat="1" ht="15" customHeight="1" thickTop="1" thickBot="1" x14ac:dyDescent="0.35">
      <c r="B200" s="166"/>
      <c r="C200" s="166"/>
      <c r="D200" s="166"/>
      <c r="E200" s="83"/>
      <c r="F200" s="390" t="s">
        <v>80</v>
      </c>
      <c r="G200" s="391"/>
      <c r="H200" s="391"/>
      <c r="I200" s="391"/>
      <c r="J200" s="391"/>
      <c r="K200" s="34">
        <f>SUM(K188:K199)</f>
        <v>0</v>
      </c>
      <c r="L200" s="64"/>
      <c r="M200" s="78">
        <f>SUM(M188:M199)</f>
        <v>0</v>
      </c>
      <c r="N200" s="79">
        <f>SUM(N188:N199)</f>
        <v>0</v>
      </c>
      <c r="O200" s="69"/>
    </row>
    <row r="201" spans="2:15" s="167" customFormat="1" ht="15" customHeight="1" thickTop="1" x14ac:dyDescent="0.3">
      <c r="B201" s="166"/>
      <c r="C201" s="166"/>
      <c r="D201" s="166"/>
      <c r="E201" s="83"/>
      <c r="F201" s="509" t="s">
        <v>254</v>
      </c>
      <c r="G201" s="510"/>
      <c r="H201" s="510"/>
      <c r="I201" s="510"/>
      <c r="J201" s="510"/>
      <c r="K201" s="510"/>
      <c r="L201" s="513">
        <f>K40+K50+K68+K79+K86+K102+K108+K117+K131+K144+K150+K164+K178+K172+K186+K200+K58</f>
        <v>0</v>
      </c>
      <c r="M201" s="485">
        <f>M40+M50+M68+M79+M86+M102+M108+M117+M131+M144+M150+M164+M178+M172+M186+M200+M58</f>
        <v>0</v>
      </c>
      <c r="N201" s="487">
        <f>SUM(N200,N186,N178,N172,N164,N150,N144,N131,N117,N108,N102,N86,N79,N68,N58,N50,N40)</f>
        <v>0</v>
      </c>
      <c r="O201" s="488"/>
    </row>
    <row r="202" spans="2:15" s="167" customFormat="1" ht="15" customHeight="1" thickBot="1" x14ac:dyDescent="0.35">
      <c r="B202" s="83"/>
      <c r="C202" s="83"/>
      <c r="D202" s="83"/>
      <c r="E202" s="83"/>
      <c r="F202" s="511"/>
      <c r="G202" s="512"/>
      <c r="H202" s="512"/>
      <c r="I202" s="512"/>
      <c r="J202" s="512"/>
      <c r="K202" s="512"/>
      <c r="L202" s="514"/>
      <c r="M202" s="486"/>
      <c r="N202" s="489"/>
      <c r="O202" s="490"/>
    </row>
    <row r="203" spans="2:15" s="163" customFormat="1" ht="15" customHeight="1" thickTop="1" x14ac:dyDescent="0.3">
      <c r="B203" s="83"/>
      <c r="C203" s="83"/>
      <c r="D203" s="83"/>
      <c r="E203" s="83"/>
      <c r="F203" s="149">
        <v>21</v>
      </c>
      <c r="G203" s="392" t="s">
        <v>45</v>
      </c>
      <c r="H203" s="392"/>
      <c r="I203" s="392"/>
      <c r="J203" s="392"/>
      <c r="K203" s="392"/>
      <c r="L203" s="162"/>
      <c r="M203" s="425"/>
      <c r="N203" s="426"/>
      <c r="O203" s="427"/>
    </row>
    <row r="204" spans="2:15" s="29" customFormat="1" ht="15" customHeight="1" x14ac:dyDescent="0.3">
      <c r="B204" s="83"/>
      <c r="C204" s="83"/>
      <c r="D204" s="83"/>
      <c r="E204" s="83"/>
      <c r="F204" s="54">
        <v>21.1</v>
      </c>
      <c r="G204" s="89" t="s">
        <v>255</v>
      </c>
      <c r="H204" s="57"/>
      <c r="I204" s="42"/>
      <c r="J204" s="37"/>
      <c r="K204" s="76">
        <f>H204*J204</f>
        <v>0</v>
      </c>
      <c r="L204" s="60"/>
      <c r="M204" s="27"/>
      <c r="N204" s="130">
        <f>K204-M204</f>
        <v>0</v>
      </c>
      <c r="O204" s="67"/>
    </row>
    <row r="205" spans="2:15" s="29" customFormat="1" ht="15" customHeight="1" thickBot="1" x14ac:dyDescent="0.35">
      <c r="B205" s="83"/>
      <c r="C205" s="96"/>
      <c r="D205" s="83"/>
      <c r="E205" s="83"/>
      <c r="F205" s="51"/>
      <c r="G205" s="43"/>
      <c r="H205" s="58"/>
      <c r="I205" s="44"/>
      <c r="J205" s="38"/>
      <c r="K205" s="85"/>
      <c r="L205" s="60"/>
      <c r="M205" s="28"/>
      <c r="N205" s="131"/>
      <c r="O205" s="68"/>
    </row>
    <row r="206" spans="2:15" s="29" customFormat="1" ht="15" customHeight="1" thickTop="1" thickBot="1" x14ac:dyDescent="0.35">
      <c r="B206" s="151"/>
      <c r="C206" s="168"/>
      <c r="D206" s="151"/>
      <c r="E206" s="83"/>
      <c r="F206" s="396" t="s">
        <v>80</v>
      </c>
      <c r="G206" s="397"/>
      <c r="H206" s="397"/>
      <c r="I206" s="397"/>
      <c r="J206" s="397"/>
      <c r="K206" s="32">
        <f>SUM(K204:K205)</f>
        <v>0</v>
      </c>
      <c r="L206" s="61"/>
      <c r="M206" s="78">
        <f>SUM(M204:M205)</f>
        <v>0</v>
      </c>
      <c r="N206" s="79">
        <f>SUM(N204:N205)</f>
        <v>0</v>
      </c>
      <c r="O206" s="69"/>
    </row>
    <row r="207" spans="2:15" s="163" customFormat="1" ht="15" customHeight="1" x14ac:dyDescent="0.3">
      <c r="B207" s="83"/>
      <c r="C207" s="96"/>
      <c r="D207" s="83"/>
      <c r="E207" s="83"/>
      <c r="F207" s="149">
        <v>22</v>
      </c>
      <c r="G207" s="392" t="s">
        <v>47</v>
      </c>
      <c r="H207" s="392"/>
      <c r="I207" s="392"/>
      <c r="J207" s="392"/>
      <c r="K207" s="392"/>
      <c r="L207" s="169" t="s">
        <v>256</v>
      </c>
      <c r="M207" s="497"/>
      <c r="N207" s="498"/>
      <c r="O207" s="499"/>
    </row>
    <row r="208" spans="2:15" s="29" customFormat="1" ht="15" customHeight="1" x14ac:dyDescent="0.3">
      <c r="B208" s="83"/>
      <c r="C208" s="96"/>
      <c r="D208" s="83"/>
      <c r="E208" s="83"/>
      <c r="F208" s="54">
        <v>22.1</v>
      </c>
      <c r="G208" s="393" t="s">
        <v>257</v>
      </c>
      <c r="H208" s="394"/>
      <c r="I208" s="394"/>
      <c r="J208" s="395"/>
      <c r="K208" s="101">
        <v>0</v>
      </c>
      <c r="L208" s="22">
        <f>SUM(L201,L20,K206)*0.1</f>
        <v>0</v>
      </c>
      <c r="M208" s="27"/>
      <c r="N208" s="130">
        <f>K208-M208</f>
        <v>0</v>
      </c>
      <c r="O208" s="67"/>
    </row>
    <row r="209" spans="2:15" s="29" customFormat="1" ht="15" customHeight="1" thickBot="1" x14ac:dyDescent="0.35">
      <c r="B209" s="83"/>
      <c r="C209" s="96"/>
      <c r="D209" s="83"/>
      <c r="E209" s="83"/>
      <c r="F209" s="51"/>
      <c r="G209" s="43"/>
      <c r="H209" s="58"/>
      <c r="I209" s="44"/>
      <c r="J209" s="38"/>
      <c r="K209" s="85"/>
      <c r="L209" s="60"/>
      <c r="M209" s="28"/>
      <c r="N209" s="131"/>
      <c r="O209" s="68"/>
    </row>
    <row r="210" spans="2:15" s="29" customFormat="1" ht="15" customHeight="1" thickTop="1" thickBot="1" x14ac:dyDescent="0.35">
      <c r="B210" s="166"/>
      <c r="C210" s="170"/>
      <c r="D210" s="166"/>
      <c r="E210" s="83"/>
      <c r="F210" s="390" t="s">
        <v>80</v>
      </c>
      <c r="G210" s="391"/>
      <c r="H210" s="391"/>
      <c r="I210" s="391"/>
      <c r="J210" s="391"/>
      <c r="K210" s="32">
        <f>SUM(K208:K209)</f>
        <v>0</v>
      </c>
      <c r="L210" s="61"/>
      <c r="M210" s="78">
        <f>SUM(M207:M209)</f>
        <v>0</v>
      </c>
      <c r="N210" s="79">
        <f>SUM(N207:N209)</f>
        <v>0</v>
      </c>
      <c r="O210" s="69"/>
    </row>
    <row r="211" spans="2:15" s="167" customFormat="1" ht="15" customHeight="1" thickTop="1" x14ac:dyDescent="0.3">
      <c r="B211" s="166"/>
      <c r="C211" s="170"/>
      <c r="D211" s="166"/>
      <c r="E211" s="83"/>
      <c r="F211" s="509" t="s">
        <v>258</v>
      </c>
      <c r="G211" s="510"/>
      <c r="H211" s="510"/>
      <c r="I211" s="510"/>
      <c r="J211" s="510"/>
      <c r="K211" s="510"/>
      <c r="L211" s="513">
        <f>K206+K210</f>
        <v>0</v>
      </c>
      <c r="M211" s="479">
        <f>SUM(M210,M206)</f>
        <v>0</v>
      </c>
      <c r="N211" s="491">
        <f>SUM(N210,N206)</f>
        <v>0</v>
      </c>
      <c r="O211" s="492"/>
    </row>
    <row r="212" spans="2:15" s="167" customFormat="1" ht="15" customHeight="1" thickBot="1" x14ac:dyDescent="0.35">
      <c r="B212" s="83"/>
      <c r="C212" s="96"/>
      <c r="D212" s="83"/>
      <c r="E212" s="83"/>
      <c r="F212" s="511"/>
      <c r="G212" s="512"/>
      <c r="H212" s="512"/>
      <c r="I212" s="512"/>
      <c r="J212" s="512"/>
      <c r="K212" s="512"/>
      <c r="L212" s="514"/>
      <c r="M212" s="480"/>
      <c r="N212" s="452"/>
      <c r="O212" s="453"/>
    </row>
    <row r="213" spans="2:15" s="171" customFormat="1" ht="15" customHeight="1" thickTop="1" thickBot="1" x14ac:dyDescent="0.3">
      <c r="F213" s="172"/>
      <c r="H213" s="173"/>
      <c r="J213" s="174"/>
      <c r="K213" s="175"/>
      <c r="M213" s="175"/>
      <c r="N213" s="176"/>
    </row>
    <row r="214" spans="2:15" s="167" customFormat="1" ht="15" customHeight="1" thickTop="1" x14ac:dyDescent="0.3">
      <c r="B214" s="166"/>
      <c r="C214" s="170"/>
      <c r="D214" s="166"/>
      <c r="E214" s="166"/>
      <c r="F214" s="503" t="s">
        <v>259</v>
      </c>
      <c r="G214" s="504"/>
      <c r="H214" s="504"/>
      <c r="I214" s="504"/>
      <c r="J214" s="507">
        <f>SUM(L211,L201,L20)</f>
        <v>0</v>
      </c>
      <c r="K214" s="507"/>
      <c r="L214" s="507"/>
      <c r="M214" s="515">
        <f>M211+M201+M20</f>
        <v>0</v>
      </c>
      <c r="N214" s="517">
        <f>N211+N201+N20</f>
        <v>0</v>
      </c>
      <c r="O214" s="517"/>
    </row>
    <row r="215" spans="2:15" s="167" customFormat="1" ht="15" customHeight="1" thickBot="1" x14ac:dyDescent="0.35">
      <c r="B215" s="166"/>
      <c r="C215" s="170"/>
      <c r="D215" s="166"/>
      <c r="E215" s="166"/>
      <c r="F215" s="505"/>
      <c r="G215" s="506"/>
      <c r="H215" s="506"/>
      <c r="I215" s="506"/>
      <c r="J215" s="508"/>
      <c r="K215" s="508"/>
      <c r="L215" s="508"/>
      <c r="M215" s="516"/>
      <c r="N215" s="518"/>
      <c r="O215" s="518"/>
    </row>
    <row r="216" spans="2:15" s="29" customFormat="1" ht="15" customHeight="1" thickTop="1" x14ac:dyDescent="0.3">
      <c r="B216" s="83"/>
      <c r="C216" s="96"/>
      <c r="D216" s="83"/>
      <c r="E216" s="83"/>
      <c r="F216" s="55"/>
      <c r="G216" s="47"/>
      <c r="H216" s="50"/>
      <c r="I216" s="49"/>
      <c r="J216" s="40"/>
      <c r="K216" s="35"/>
      <c r="L216" s="66"/>
      <c r="M216" s="25"/>
      <c r="N216" s="134"/>
    </row>
    <row r="217" spans="2:15" s="29" customFormat="1" ht="15" customHeight="1" x14ac:dyDescent="0.25">
      <c r="B217" s="83"/>
      <c r="C217" s="96"/>
      <c r="D217" s="83"/>
      <c r="E217" s="171"/>
      <c r="F217" s="55"/>
      <c r="G217" s="47"/>
      <c r="H217" s="50"/>
      <c r="I217" s="49"/>
      <c r="J217" s="40"/>
      <c r="K217" s="35"/>
      <c r="L217" s="66"/>
      <c r="M217" s="25"/>
      <c r="N217" s="134"/>
    </row>
    <row r="218" spans="2:15" s="29" customFormat="1" ht="15" customHeight="1" x14ac:dyDescent="0.25">
      <c r="B218" s="83"/>
      <c r="C218" s="96"/>
      <c r="D218" s="83"/>
      <c r="E218" s="171"/>
      <c r="F218" s="55"/>
      <c r="G218" s="47"/>
      <c r="H218" s="50"/>
      <c r="I218" s="49"/>
      <c r="J218" s="40"/>
      <c r="K218" s="35"/>
      <c r="L218" s="66"/>
      <c r="M218" s="25"/>
      <c r="N218" s="134"/>
    </row>
    <row r="219" spans="2:15" s="29" customFormat="1" ht="15" hidden="1" customHeight="1" x14ac:dyDescent="0.25">
      <c r="B219" s="83"/>
      <c r="C219" s="96"/>
      <c r="D219" s="83"/>
      <c r="E219" s="171"/>
      <c r="F219" s="55"/>
      <c r="G219" s="47"/>
      <c r="H219" s="50"/>
      <c r="I219" s="49"/>
      <c r="J219" s="40"/>
      <c r="K219" s="35"/>
      <c r="L219" s="66"/>
      <c r="M219" s="25"/>
      <c r="N219" s="134"/>
    </row>
    <row r="220" spans="2:15" s="29" customFormat="1" ht="15" hidden="1" customHeight="1" x14ac:dyDescent="0.25">
      <c r="B220" s="83"/>
      <c r="C220" s="96"/>
      <c r="D220" s="83"/>
      <c r="E220" s="171"/>
      <c r="F220" s="55"/>
      <c r="G220" s="47"/>
      <c r="H220" s="50"/>
      <c r="I220" s="49"/>
      <c r="J220" s="40"/>
      <c r="K220" s="35"/>
      <c r="L220" s="66"/>
      <c r="M220" s="25"/>
      <c r="N220" s="134"/>
    </row>
    <row r="221" spans="2:15" s="29" customFormat="1" ht="15" hidden="1" customHeight="1" x14ac:dyDescent="0.25">
      <c r="B221" s="83"/>
      <c r="C221" s="96"/>
      <c r="D221" s="83"/>
      <c r="E221" s="171"/>
      <c r="F221" s="55"/>
      <c r="G221" s="47"/>
      <c r="H221" s="50"/>
      <c r="I221" s="49"/>
      <c r="J221" s="40"/>
      <c r="K221" s="35"/>
      <c r="L221" s="66"/>
      <c r="M221" s="25"/>
      <c r="N221" s="134"/>
    </row>
    <row r="222" spans="2:15" s="29" customFormat="1" ht="15" hidden="1" customHeight="1" x14ac:dyDescent="0.25">
      <c r="B222" s="83"/>
      <c r="C222" s="96"/>
      <c r="D222" s="83"/>
      <c r="E222" s="171"/>
      <c r="F222" s="55"/>
      <c r="G222" s="47"/>
      <c r="H222" s="50"/>
      <c r="I222" s="49"/>
      <c r="J222" s="40"/>
      <c r="K222" s="35"/>
      <c r="L222" s="66"/>
      <c r="M222" s="25"/>
      <c r="N222" s="134"/>
    </row>
    <row r="223" spans="2:15" s="29" customFormat="1" ht="15" hidden="1" customHeight="1" x14ac:dyDescent="0.25">
      <c r="B223" s="83"/>
      <c r="C223" s="96"/>
      <c r="D223" s="83"/>
      <c r="E223" s="171"/>
      <c r="F223" s="55"/>
      <c r="G223" s="47"/>
      <c r="H223" s="50"/>
      <c r="I223" s="49"/>
      <c r="J223" s="40"/>
      <c r="K223" s="35"/>
      <c r="L223" s="66"/>
      <c r="M223" s="25"/>
      <c r="N223" s="134"/>
    </row>
    <row r="224" spans="2:15" s="29" customFormat="1" ht="15" hidden="1" customHeight="1" x14ac:dyDescent="0.25">
      <c r="B224" s="83"/>
      <c r="C224" s="96"/>
      <c r="D224" s="83"/>
      <c r="E224" s="171"/>
      <c r="F224" s="55"/>
      <c r="G224" s="47"/>
      <c r="H224" s="50"/>
      <c r="I224" s="49"/>
      <c r="J224" s="40"/>
      <c r="K224" s="35"/>
      <c r="L224" s="66"/>
      <c r="M224" s="25"/>
      <c r="N224" s="134"/>
    </row>
    <row r="225" spans="2:14" s="29" customFormat="1" ht="15" hidden="1" customHeight="1" x14ac:dyDescent="0.25">
      <c r="B225" s="83"/>
      <c r="C225" s="96"/>
      <c r="D225" s="83"/>
      <c r="E225" s="171"/>
      <c r="F225" s="55"/>
      <c r="G225" s="47"/>
      <c r="H225" s="50"/>
      <c r="I225" s="49"/>
      <c r="J225" s="40"/>
      <c r="K225" s="35"/>
      <c r="L225" s="66"/>
      <c r="M225" s="25"/>
      <c r="N225" s="134"/>
    </row>
    <row r="226" spans="2:14" s="29" customFormat="1" ht="15" hidden="1" customHeight="1" x14ac:dyDescent="0.25">
      <c r="B226" s="83"/>
      <c r="C226" s="96"/>
      <c r="D226" s="83"/>
      <c r="E226" s="171"/>
      <c r="F226" s="55"/>
      <c r="G226" s="47"/>
      <c r="H226" s="50"/>
      <c r="I226" s="49"/>
      <c r="J226" s="40"/>
      <c r="K226" s="35"/>
      <c r="L226" s="66"/>
      <c r="M226" s="25"/>
      <c r="N226" s="134"/>
    </row>
    <row r="227" spans="2:14" s="29" customFormat="1" ht="15" hidden="1" customHeight="1" x14ac:dyDescent="0.25">
      <c r="B227" s="83"/>
      <c r="C227" s="96"/>
      <c r="D227" s="83"/>
      <c r="E227" s="171"/>
      <c r="F227" s="55"/>
      <c r="G227" s="47"/>
      <c r="H227" s="50"/>
      <c r="I227" s="49"/>
      <c r="J227" s="40"/>
      <c r="K227" s="35"/>
      <c r="L227" s="66"/>
      <c r="M227" s="25"/>
      <c r="N227" s="134"/>
    </row>
    <row r="228" spans="2:14" s="29" customFormat="1" ht="15" hidden="1" customHeight="1" x14ac:dyDescent="0.25">
      <c r="B228" s="83"/>
      <c r="C228" s="96"/>
      <c r="D228" s="83"/>
      <c r="E228" s="171"/>
      <c r="F228" s="55"/>
      <c r="G228" s="47"/>
      <c r="H228" s="50"/>
      <c r="I228" s="49"/>
      <c r="J228" s="40"/>
      <c r="K228" s="35"/>
      <c r="L228" s="66"/>
      <c r="M228" s="25"/>
      <c r="N228" s="134"/>
    </row>
    <row r="229" spans="2:14" s="29" customFormat="1" ht="15" hidden="1" customHeight="1" x14ac:dyDescent="0.25">
      <c r="B229" s="83"/>
      <c r="C229" s="96"/>
      <c r="D229" s="83"/>
      <c r="E229" s="171"/>
      <c r="F229" s="55"/>
      <c r="G229" s="47"/>
      <c r="H229" s="50"/>
      <c r="I229" s="49"/>
      <c r="J229" s="40"/>
      <c r="K229" s="35"/>
      <c r="L229" s="66"/>
      <c r="M229" s="25"/>
      <c r="N229" s="134"/>
    </row>
    <row r="230" spans="2:14" s="29" customFormat="1" ht="15" hidden="1" customHeight="1" x14ac:dyDescent="0.25">
      <c r="B230" s="83"/>
      <c r="C230" s="96"/>
      <c r="D230" s="83"/>
      <c r="E230" s="171"/>
      <c r="F230" s="55"/>
      <c r="G230" s="47"/>
      <c r="H230" s="50"/>
      <c r="I230" s="49"/>
      <c r="J230" s="40"/>
      <c r="K230" s="35"/>
      <c r="L230" s="66"/>
      <c r="M230" s="25"/>
      <c r="N230" s="134"/>
    </row>
    <row r="231" spans="2:14" s="29" customFormat="1" ht="15" hidden="1" customHeight="1" x14ac:dyDescent="0.25">
      <c r="B231" s="83"/>
      <c r="C231" s="96"/>
      <c r="D231" s="83"/>
      <c r="E231" s="171"/>
      <c r="F231" s="55"/>
      <c r="G231" s="47"/>
      <c r="H231" s="50"/>
      <c r="I231" s="49"/>
      <c r="J231" s="40"/>
      <c r="K231" s="35"/>
      <c r="L231" s="66"/>
      <c r="M231" s="25"/>
      <c r="N231" s="134"/>
    </row>
    <row r="232" spans="2:14" s="29" customFormat="1" ht="15" hidden="1" customHeight="1" x14ac:dyDescent="0.25">
      <c r="B232" s="83"/>
      <c r="C232" s="96"/>
      <c r="D232" s="83"/>
      <c r="E232" s="171"/>
      <c r="F232" s="55"/>
      <c r="G232" s="47"/>
      <c r="H232" s="50"/>
      <c r="I232" s="49"/>
      <c r="J232" s="40"/>
      <c r="K232" s="35"/>
      <c r="L232" s="66"/>
      <c r="M232" s="25"/>
      <c r="N232" s="134"/>
    </row>
    <row r="233" spans="2:14" s="29" customFormat="1" ht="15" hidden="1" customHeight="1" x14ac:dyDescent="0.25">
      <c r="B233" s="83"/>
      <c r="C233" s="96"/>
      <c r="D233" s="83"/>
      <c r="E233" s="171"/>
      <c r="F233" s="55"/>
      <c r="G233" s="47"/>
      <c r="H233" s="50"/>
      <c r="I233" s="49"/>
      <c r="J233" s="40"/>
      <c r="K233" s="35"/>
      <c r="L233" s="66"/>
      <c r="M233" s="25"/>
      <c r="N233" s="134"/>
    </row>
    <row r="234" spans="2:14" s="29" customFormat="1" ht="15" hidden="1" customHeight="1" x14ac:dyDescent="0.25">
      <c r="B234" s="83"/>
      <c r="C234" s="96"/>
      <c r="D234" s="83"/>
      <c r="E234" s="171"/>
      <c r="F234" s="55"/>
      <c r="G234" s="47"/>
      <c r="H234" s="50"/>
      <c r="I234" s="49"/>
      <c r="J234" s="40"/>
      <c r="K234" s="35"/>
      <c r="L234" s="66"/>
      <c r="M234" s="25"/>
      <c r="N234" s="134"/>
    </row>
    <row r="235" spans="2:14" s="29" customFormat="1" ht="15" hidden="1" customHeight="1" x14ac:dyDescent="0.25">
      <c r="B235" s="83"/>
      <c r="C235" s="96"/>
      <c r="D235" s="83"/>
      <c r="E235" s="171"/>
      <c r="F235" s="55"/>
      <c r="G235" s="47"/>
      <c r="H235" s="50"/>
      <c r="I235" s="49"/>
      <c r="J235" s="40"/>
      <c r="K235" s="35"/>
      <c r="L235" s="66"/>
      <c r="M235" s="25"/>
      <c r="N235" s="134"/>
    </row>
    <row r="236" spans="2:14" s="29" customFormat="1" ht="15" hidden="1" customHeight="1" x14ac:dyDescent="0.25">
      <c r="B236" s="83"/>
      <c r="C236" s="96"/>
      <c r="D236" s="83"/>
      <c r="E236" s="171"/>
      <c r="F236" s="55"/>
      <c r="G236" s="47"/>
      <c r="H236" s="50"/>
      <c r="I236" s="49"/>
      <c r="J236" s="40"/>
      <c r="K236" s="35"/>
      <c r="L236" s="66"/>
      <c r="M236" s="25"/>
      <c r="N236" s="134"/>
    </row>
    <row r="237" spans="2:14" s="29" customFormat="1" ht="15" hidden="1" customHeight="1" x14ac:dyDescent="0.25">
      <c r="B237" s="83"/>
      <c r="C237" s="96"/>
      <c r="D237" s="83"/>
      <c r="E237" s="171"/>
      <c r="F237" s="55"/>
      <c r="G237" s="47"/>
      <c r="H237" s="50"/>
      <c r="I237" s="49"/>
      <c r="J237" s="40"/>
      <c r="K237" s="35"/>
      <c r="L237" s="66"/>
      <c r="M237" s="25"/>
      <c r="N237" s="134"/>
    </row>
    <row r="238" spans="2:14" s="29" customFormat="1" ht="15" hidden="1" customHeight="1" x14ac:dyDescent="0.25">
      <c r="B238" s="83"/>
      <c r="C238" s="96"/>
      <c r="D238" s="83"/>
      <c r="E238" s="171"/>
      <c r="F238" s="55"/>
      <c r="G238" s="47"/>
      <c r="H238" s="50"/>
      <c r="I238" s="49"/>
      <c r="J238" s="40"/>
      <c r="K238" s="35"/>
      <c r="L238" s="66"/>
      <c r="M238" s="25"/>
      <c r="N238" s="134"/>
    </row>
    <row r="239" spans="2:14" s="29" customFormat="1" ht="15" hidden="1" customHeight="1" x14ac:dyDescent="0.25">
      <c r="B239" s="83"/>
      <c r="C239" s="96"/>
      <c r="D239" s="83"/>
      <c r="E239" s="171"/>
      <c r="F239" s="55"/>
      <c r="G239" s="47"/>
      <c r="H239" s="50"/>
      <c r="I239" s="49"/>
      <c r="J239" s="40"/>
      <c r="K239" s="35"/>
      <c r="L239" s="66"/>
      <c r="M239" s="25"/>
      <c r="N239" s="134"/>
    </row>
    <row r="240" spans="2:14" s="29" customFormat="1" ht="15" hidden="1" customHeight="1" x14ac:dyDescent="0.25">
      <c r="B240" s="83"/>
      <c r="C240" s="96"/>
      <c r="D240" s="83"/>
      <c r="E240" s="171"/>
      <c r="F240" s="55"/>
      <c r="G240" s="47"/>
      <c r="H240" s="50"/>
      <c r="I240" s="49"/>
      <c r="J240" s="40"/>
      <c r="K240" s="35"/>
      <c r="L240" s="66"/>
      <c r="M240" s="25"/>
      <c r="N240" s="134"/>
    </row>
    <row r="241" spans="2:14" s="29" customFormat="1" ht="15" hidden="1" customHeight="1" x14ac:dyDescent="0.25">
      <c r="B241" s="83"/>
      <c r="C241" s="96"/>
      <c r="D241" s="83"/>
      <c r="E241" s="171"/>
      <c r="F241" s="55"/>
      <c r="G241" s="47"/>
      <c r="H241" s="50"/>
      <c r="I241" s="49"/>
      <c r="J241" s="40"/>
      <c r="K241" s="35"/>
      <c r="L241" s="66"/>
      <c r="M241" s="25"/>
      <c r="N241" s="134"/>
    </row>
    <row r="242" spans="2:14" s="29" customFormat="1" ht="15" hidden="1" customHeight="1" x14ac:dyDescent="0.25">
      <c r="B242" s="83"/>
      <c r="C242" s="96"/>
      <c r="D242" s="83"/>
      <c r="E242" s="171"/>
      <c r="F242" s="55"/>
      <c r="G242" s="47"/>
      <c r="H242" s="50"/>
      <c r="I242" s="49"/>
      <c r="J242" s="40"/>
      <c r="K242" s="35"/>
      <c r="L242" s="66"/>
      <c r="M242" s="25"/>
      <c r="N242" s="134"/>
    </row>
    <row r="243" spans="2:14" s="29" customFormat="1" ht="15" hidden="1" customHeight="1" x14ac:dyDescent="0.25">
      <c r="B243" s="83"/>
      <c r="C243" s="96"/>
      <c r="D243" s="83"/>
      <c r="E243" s="171"/>
      <c r="F243" s="55"/>
      <c r="G243" s="47"/>
      <c r="H243" s="50"/>
      <c r="I243" s="49"/>
      <c r="J243" s="40"/>
      <c r="K243" s="35"/>
      <c r="L243" s="66"/>
      <c r="M243" s="25"/>
      <c r="N243" s="134"/>
    </row>
    <row r="244" spans="2:14" s="29" customFormat="1" ht="15" hidden="1" customHeight="1" x14ac:dyDescent="0.25">
      <c r="B244" s="83"/>
      <c r="C244" s="96"/>
      <c r="D244" s="83"/>
      <c r="E244" s="171"/>
      <c r="F244" s="55"/>
      <c r="G244" s="47"/>
      <c r="H244" s="50"/>
      <c r="I244" s="49"/>
      <c r="J244" s="40"/>
      <c r="K244" s="35"/>
      <c r="L244" s="66"/>
      <c r="M244" s="25"/>
      <c r="N244" s="134"/>
    </row>
    <row r="245" spans="2:14" s="29" customFormat="1" ht="15" hidden="1" customHeight="1" x14ac:dyDescent="0.25">
      <c r="B245" s="83"/>
      <c r="C245" s="96"/>
      <c r="D245" s="83"/>
      <c r="E245" s="171"/>
      <c r="F245" s="55"/>
      <c r="G245" s="47"/>
      <c r="H245" s="50"/>
      <c r="I245" s="49"/>
      <c r="J245" s="40"/>
      <c r="K245" s="35"/>
      <c r="L245" s="66"/>
      <c r="M245" s="25"/>
      <c r="N245" s="134"/>
    </row>
    <row r="246" spans="2:14" s="29" customFormat="1" ht="15" hidden="1" customHeight="1" x14ac:dyDescent="0.25">
      <c r="B246" s="83"/>
      <c r="C246" s="96"/>
      <c r="D246" s="83"/>
      <c r="E246" s="171"/>
      <c r="F246" s="55"/>
      <c r="G246" s="47"/>
      <c r="H246" s="50"/>
      <c r="I246" s="49"/>
      <c r="J246" s="40"/>
      <c r="K246" s="35"/>
      <c r="L246" s="66"/>
      <c r="M246" s="25"/>
      <c r="N246" s="134"/>
    </row>
    <row r="247" spans="2:14" s="29" customFormat="1" ht="15" hidden="1" customHeight="1" x14ac:dyDescent="0.25">
      <c r="B247" s="83"/>
      <c r="C247" s="96"/>
      <c r="D247" s="83"/>
      <c r="E247" s="171"/>
      <c r="F247" s="55"/>
      <c r="G247" s="47"/>
      <c r="H247" s="50"/>
      <c r="I247" s="49"/>
      <c r="J247" s="40"/>
      <c r="K247" s="35"/>
      <c r="L247" s="66"/>
      <c r="M247" s="25"/>
      <c r="N247" s="134"/>
    </row>
    <row r="248" spans="2:14" s="29" customFormat="1" ht="15" hidden="1" customHeight="1" x14ac:dyDescent="0.25">
      <c r="B248" s="83"/>
      <c r="C248" s="96"/>
      <c r="D248" s="83"/>
      <c r="E248" s="171"/>
      <c r="F248" s="55"/>
      <c r="G248" s="47"/>
      <c r="H248" s="50"/>
      <c r="I248" s="49"/>
      <c r="J248" s="40"/>
      <c r="K248" s="35"/>
      <c r="L248" s="66"/>
      <c r="M248" s="25"/>
      <c r="N248" s="134"/>
    </row>
    <row r="249" spans="2:14" s="29" customFormat="1" ht="15" hidden="1" customHeight="1" x14ac:dyDescent="0.25">
      <c r="B249" s="83"/>
      <c r="C249" s="96"/>
      <c r="D249" s="83"/>
      <c r="E249" s="171"/>
      <c r="F249" s="55"/>
      <c r="G249" s="47"/>
      <c r="H249" s="50"/>
      <c r="I249" s="49"/>
      <c r="J249" s="40"/>
      <c r="K249" s="35"/>
      <c r="L249" s="66"/>
      <c r="M249" s="25"/>
      <c r="N249" s="134"/>
    </row>
    <row r="250" spans="2:14" s="29" customFormat="1" ht="15" hidden="1" customHeight="1" x14ac:dyDescent="0.25">
      <c r="B250" s="83"/>
      <c r="C250" s="96"/>
      <c r="D250" s="83"/>
      <c r="E250" s="171"/>
      <c r="F250" s="55"/>
      <c r="G250" s="47"/>
      <c r="H250" s="50"/>
      <c r="I250" s="49"/>
      <c r="J250" s="40"/>
      <c r="K250" s="35"/>
      <c r="L250" s="66"/>
      <c r="M250" s="25"/>
      <c r="N250" s="134"/>
    </row>
    <row r="251" spans="2:14" s="29" customFormat="1" ht="15" hidden="1" customHeight="1" x14ac:dyDescent="0.25">
      <c r="B251" s="83"/>
      <c r="C251" s="96"/>
      <c r="D251" s="83"/>
      <c r="E251" s="171"/>
      <c r="F251" s="55"/>
      <c r="G251" s="47"/>
      <c r="H251" s="50"/>
      <c r="I251" s="49"/>
      <c r="J251" s="40"/>
      <c r="K251" s="35"/>
      <c r="L251" s="66"/>
      <c r="M251" s="25"/>
      <c r="N251" s="134"/>
    </row>
    <row r="252" spans="2:14" s="29" customFormat="1" ht="15" hidden="1" customHeight="1" x14ac:dyDescent="0.25">
      <c r="B252" s="83"/>
      <c r="C252" s="96"/>
      <c r="D252" s="83"/>
      <c r="E252" s="171"/>
      <c r="F252" s="55"/>
      <c r="G252" s="47"/>
      <c r="H252" s="50"/>
      <c r="I252" s="49"/>
      <c r="J252" s="40"/>
      <c r="K252" s="35"/>
      <c r="L252" s="66"/>
      <c r="M252" s="25"/>
      <c r="N252" s="134"/>
    </row>
    <row r="253" spans="2:14" s="29" customFormat="1" ht="15" hidden="1" customHeight="1" x14ac:dyDescent="0.25">
      <c r="B253" s="83"/>
      <c r="C253" s="96"/>
      <c r="D253" s="83"/>
      <c r="E253" s="171"/>
      <c r="F253" s="55"/>
      <c r="G253" s="47"/>
      <c r="H253" s="50"/>
      <c r="I253" s="49"/>
      <c r="J253" s="40"/>
      <c r="K253" s="35"/>
      <c r="L253" s="66"/>
      <c r="M253" s="25"/>
      <c r="N253" s="134"/>
    </row>
    <row r="254" spans="2:14" s="29" customFormat="1" ht="15" hidden="1" customHeight="1" x14ac:dyDescent="0.25">
      <c r="B254" s="83"/>
      <c r="C254" s="96"/>
      <c r="D254" s="83"/>
      <c r="E254" s="171"/>
      <c r="F254" s="55"/>
      <c r="G254" s="47"/>
      <c r="H254" s="50"/>
      <c r="I254" s="49"/>
      <c r="J254" s="40"/>
      <c r="K254" s="35"/>
      <c r="L254" s="66"/>
      <c r="M254" s="25"/>
      <c r="N254" s="134"/>
    </row>
    <row r="255" spans="2:14" s="29" customFormat="1" ht="15" hidden="1" customHeight="1" x14ac:dyDescent="0.25">
      <c r="B255" s="83"/>
      <c r="C255" s="96"/>
      <c r="D255" s="83"/>
      <c r="E255" s="171"/>
      <c r="F255" s="55"/>
      <c r="G255" s="47"/>
      <c r="H255" s="50"/>
      <c r="I255" s="49"/>
      <c r="J255" s="40"/>
      <c r="K255" s="35"/>
      <c r="L255" s="66"/>
      <c r="M255" s="25"/>
      <c r="N255" s="134"/>
    </row>
    <row r="256" spans="2:14" s="29" customFormat="1" ht="15" hidden="1" customHeight="1" x14ac:dyDescent="0.25">
      <c r="B256" s="83"/>
      <c r="C256" s="96"/>
      <c r="D256" s="83"/>
      <c r="E256" s="171"/>
      <c r="F256" s="55"/>
      <c r="G256" s="47"/>
      <c r="H256" s="50"/>
      <c r="I256" s="49"/>
      <c r="J256" s="40"/>
      <c r="K256" s="35"/>
      <c r="L256" s="66"/>
      <c r="M256" s="25"/>
      <c r="N256" s="134"/>
    </row>
    <row r="257" spans="2:14" s="29" customFormat="1" ht="15" hidden="1" customHeight="1" x14ac:dyDescent="0.25">
      <c r="B257" s="83"/>
      <c r="C257" s="96"/>
      <c r="D257" s="83"/>
      <c r="E257" s="171"/>
      <c r="F257" s="55"/>
      <c r="G257" s="47"/>
      <c r="H257" s="50"/>
      <c r="I257" s="49"/>
      <c r="J257" s="40"/>
      <c r="K257" s="35"/>
      <c r="L257" s="66"/>
      <c r="M257" s="25"/>
      <c r="N257" s="134"/>
    </row>
    <row r="258" spans="2:14" s="29" customFormat="1" ht="15" hidden="1" customHeight="1" x14ac:dyDescent="0.25">
      <c r="B258" s="83"/>
      <c r="C258" s="96"/>
      <c r="D258" s="83"/>
      <c r="E258" s="171"/>
      <c r="F258" s="55"/>
      <c r="G258" s="47"/>
      <c r="H258" s="50"/>
      <c r="I258" s="49"/>
      <c r="J258" s="40"/>
      <c r="K258" s="35"/>
      <c r="L258" s="66"/>
      <c r="M258" s="25"/>
      <c r="N258" s="134"/>
    </row>
    <row r="259" spans="2:14" s="29" customFormat="1" ht="15" hidden="1" customHeight="1" x14ac:dyDescent="0.25">
      <c r="B259" s="83"/>
      <c r="C259" s="96"/>
      <c r="D259" s="83"/>
      <c r="E259" s="171"/>
      <c r="F259" s="55"/>
      <c r="G259" s="47"/>
      <c r="H259" s="50"/>
      <c r="I259" s="49"/>
      <c r="J259" s="40"/>
      <c r="K259" s="35"/>
      <c r="L259" s="66"/>
      <c r="M259" s="25"/>
      <c r="N259" s="134"/>
    </row>
    <row r="260" spans="2:14" s="29" customFormat="1" ht="15" hidden="1" customHeight="1" x14ac:dyDescent="0.25">
      <c r="B260" s="83"/>
      <c r="C260" s="96"/>
      <c r="D260" s="83"/>
      <c r="E260" s="171"/>
      <c r="F260" s="55"/>
      <c r="G260" s="47"/>
      <c r="H260" s="50"/>
      <c r="I260" s="49"/>
      <c r="J260" s="40"/>
      <c r="K260" s="35"/>
      <c r="L260" s="66"/>
      <c r="M260" s="25"/>
      <c r="N260" s="134"/>
    </row>
    <row r="261" spans="2:14" s="29" customFormat="1" ht="15" hidden="1" customHeight="1" x14ac:dyDescent="0.25">
      <c r="B261" s="83"/>
      <c r="C261" s="96"/>
      <c r="D261" s="83"/>
      <c r="E261" s="171"/>
      <c r="F261" s="55"/>
      <c r="G261" s="47"/>
      <c r="H261" s="50"/>
      <c r="I261" s="49"/>
      <c r="J261" s="40"/>
      <c r="K261" s="35"/>
      <c r="L261" s="66"/>
      <c r="M261" s="25"/>
      <c r="N261" s="134"/>
    </row>
    <row r="262" spans="2:14" s="29" customFormat="1" ht="15" hidden="1" customHeight="1" x14ac:dyDescent="0.25">
      <c r="B262" s="83"/>
      <c r="C262" s="96"/>
      <c r="D262" s="83"/>
      <c r="E262" s="171"/>
      <c r="F262" s="55"/>
      <c r="G262" s="47"/>
      <c r="H262" s="50"/>
      <c r="I262" s="49"/>
      <c r="J262" s="40"/>
      <c r="K262" s="35"/>
      <c r="L262" s="66"/>
      <c r="M262" s="25"/>
      <c r="N262" s="134"/>
    </row>
    <row r="263" spans="2:14" s="29" customFormat="1" ht="15" hidden="1" customHeight="1" x14ac:dyDescent="0.25">
      <c r="B263" s="83"/>
      <c r="C263" s="96"/>
      <c r="D263" s="83"/>
      <c r="E263" s="171"/>
      <c r="F263" s="55"/>
      <c r="G263" s="47"/>
      <c r="H263" s="50"/>
      <c r="I263" s="49"/>
      <c r="J263" s="40"/>
      <c r="K263" s="35"/>
      <c r="L263" s="66"/>
      <c r="M263" s="25"/>
      <c r="N263" s="134"/>
    </row>
    <row r="264" spans="2:14" s="29" customFormat="1" ht="15" hidden="1" customHeight="1" x14ac:dyDescent="0.25">
      <c r="B264" s="83"/>
      <c r="C264" s="96"/>
      <c r="D264" s="83"/>
      <c r="E264" s="171"/>
      <c r="F264" s="55"/>
      <c r="G264" s="47"/>
      <c r="H264" s="50"/>
      <c r="I264" s="49"/>
      <c r="J264" s="40"/>
      <c r="K264" s="35"/>
      <c r="L264" s="66"/>
      <c r="M264" s="25"/>
      <c r="N264" s="134"/>
    </row>
    <row r="265" spans="2:14" s="29" customFormat="1" ht="15" hidden="1" customHeight="1" x14ac:dyDescent="0.25">
      <c r="B265" s="83"/>
      <c r="C265" s="96"/>
      <c r="D265" s="83"/>
      <c r="E265" s="171"/>
      <c r="F265" s="55"/>
      <c r="G265" s="47"/>
      <c r="H265" s="50"/>
      <c r="I265" s="49"/>
      <c r="J265" s="40"/>
      <c r="K265" s="35"/>
      <c r="L265" s="66"/>
      <c r="M265" s="25"/>
      <c r="N265" s="134"/>
    </row>
    <row r="266" spans="2:14" s="29" customFormat="1" ht="15" hidden="1" customHeight="1" x14ac:dyDescent="0.25">
      <c r="B266" s="83"/>
      <c r="C266" s="96"/>
      <c r="D266" s="83"/>
      <c r="E266" s="171"/>
      <c r="F266" s="55"/>
      <c r="G266" s="47"/>
      <c r="H266" s="50"/>
      <c r="I266" s="49"/>
      <c r="J266" s="40"/>
      <c r="K266" s="35"/>
      <c r="L266" s="66"/>
      <c r="M266" s="25"/>
      <c r="N266" s="134"/>
    </row>
    <row r="267" spans="2:14" s="29" customFormat="1" ht="15" hidden="1" customHeight="1" x14ac:dyDescent="0.25">
      <c r="B267" s="83"/>
      <c r="C267" s="96"/>
      <c r="D267" s="83"/>
      <c r="E267" s="171"/>
      <c r="F267" s="55"/>
      <c r="G267" s="47"/>
      <c r="H267" s="50"/>
      <c r="I267" s="49"/>
      <c r="J267" s="40"/>
      <c r="K267" s="35"/>
      <c r="L267" s="66"/>
      <c r="M267" s="25"/>
      <c r="N267" s="134"/>
    </row>
    <row r="268" spans="2:14" s="29" customFormat="1" ht="15" hidden="1" customHeight="1" x14ac:dyDescent="0.25">
      <c r="B268" s="83"/>
      <c r="C268" s="96"/>
      <c r="D268" s="83"/>
      <c r="E268" s="171"/>
      <c r="F268" s="55"/>
      <c r="G268" s="47"/>
      <c r="H268" s="50"/>
      <c r="I268" s="49"/>
      <c r="J268" s="40"/>
      <c r="K268" s="35"/>
      <c r="L268" s="66"/>
      <c r="M268" s="25"/>
      <c r="N268" s="134"/>
    </row>
    <row r="269" spans="2:14" s="29" customFormat="1" ht="15" hidden="1" customHeight="1" x14ac:dyDescent="0.25">
      <c r="B269" s="83"/>
      <c r="C269" s="96"/>
      <c r="D269" s="83"/>
      <c r="E269" s="171"/>
      <c r="F269" s="55"/>
      <c r="G269" s="47"/>
      <c r="H269" s="50"/>
      <c r="I269" s="49"/>
      <c r="J269" s="40"/>
      <c r="K269" s="35"/>
      <c r="L269" s="66"/>
      <c r="M269" s="25"/>
      <c r="N269" s="134"/>
    </row>
    <row r="270" spans="2:14" s="29" customFormat="1" ht="15" hidden="1" customHeight="1" x14ac:dyDescent="0.25">
      <c r="B270" s="83"/>
      <c r="C270" s="96"/>
      <c r="D270" s="83"/>
      <c r="E270" s="171"/>
      <c r="F270" s="55"/>
      <c r="G270" s="47"/>
      <c r="H270" s="50"/>
      <c r="I270" s="49"/>
      <c r="J270" s="40"/>
      <c r="K270" s="35"/>
      <c r="L270" s="66"/>
      <c r="M270" s="25"/>
      <c r="N270" s="134"/>
    </row>
    <row r="271" spans="2:14" s="29" customFormat="1" ht="15" hidden="1" customHeight="1" x14ac:dyDescent="0.25">
      <c r="B271" s="83"/>
      <c r="C271" s="96"/>
      <c r="D271" s="83"/>
      <c r="E271" s="171"/>
      <c r="F271" s="55"/>
      <c r="G271" s="47"/>
      <c r="H271" s="50"/>
      <c r="I271" s="49"/>
      <c r="J271" s="40"/>
      <c r="K271" s="35"/>
      <c r="L271" s="66"/>
      <c r="M271" s="25"/>
      <c r="N271" s="134"/>
    </row>
    <row r="272" spans="2:14" s="29" customFormat="1" ht="15" hidden="1" customHeight="1" x14ac:dyDescent="0.25">
      <c r="B272" s="83"/>
      <c r="C272" s="96"/>
      <c r="D272" s="83"/>
      <c r="E272" s="171"/>
      <c r="F272" s="55"/>
      <c r="G272" s="47"/>
      <c r="H272" s="50"/>
      <c r="I272" s="49"/>
      <c r="J272" s="40"/>
      <c r="K272" s="35"/>
      <c r="L272" s="66"/>
      <c r="M272" s="25"/>
      <c r="N272" s="134"/>
    </row>
    <row r="273" spans="2:14" s="29" customFormat="1" ht="15" hidden="1" customHeight="1" x14ac:dyDescent="0.25">
      <c r="B273" s="83"/>
      <c r="C273" s="96"/>
      <c r="D273" s="83"/>
      <c r="E273" s="171"/>
      <c r="F273" s="55"/>
      <c r="G273" s="47"/>
      <c r="H273" s="50"/>
      <c r="I273" s="49"/>
      <c r="J273" s="40"/>
      <c r="K273" s="35"/>
      <c r="L273" s="66"/>
      <c r="M273" s="25"/>
      <c r="N273" s="134"/>
    </row>
    <row r="274" spans="2:14" s="29" customFormat="1" ht="15" hidden="1" customHeight="1" x14ac:dyDescent="0.25">
      <c r="B274" s="83"/>
      <c r="C274" s="96"/>
      <c r="D274" s="83"/>
      <c r="E274" s="171"/>
      <c r="F274" s="55"/>
      <c r="G274" s="47"/>
      <c r="H274" s="50"/>
      <c r="I274" s="49"/>
      <c r="J274" s="40"/>
      <c r="K274" s="35"/>
      <c r="L274" s="66"/>
      <c r="M274" s="25"/>
      <c r="N274" s="134"/>
    </row>
    <row r="275" spans="2:14" s="29" customFormat="1" ht="15" hidden="1" customHeight="1" x14ac:dyDescent="0.25">
      <c r="B275" s="83"/>
      <c r="C275" s="96"/>
      <c r="D275" s="83"/>
      <c r="E275" s="171"/>
      <c r="F275" s="55"/>
      <c r="G275" s="47"/>
      <c r="H275" s="50"/>
      <c r="I275" s="49"/>
      <c r="J275" s="40"/>
      <c r="K275" s="35"/>
      <c r="L275" s="66"/>
      <c r="M275" s="25"/>
      <c r="N275" s="134"/>
    </row>
    <row r="276" spans="2:14" s="29" customFormat="1" ht="15" hidden="1" customHeight="1" x14ac:dyDescent="0.25">
      <c r="B276" s="83"/>
      <c r="C276" s="96"/>
      <c r="D276" s="83"/>
      <c r="E276" s="171"/>
      <c r="F276" s="55"/>
      <c r="G276" s="47"/>
      <c r="H276" s="50"/>
      <c r="I276" s="49"/>
      <c r="J276" s="40"/>
      <c r="K276" s="35"/>
      <c r="L276" s="66"/>
      <c r="M276" s="25"/>
      <c r="N276" s="134"/>
    </row>
    <row r="277" spans="2:14" s="29" customFormat="1" ht="15" hidden="1" customHeight="1" x14ac:dyDescent="0.25">
      <c r="B277" s="83"/>
      <c r="C277" s="96"/>
      <c r="D277" s="83"/>
      <c r="E277" s="171"/>
      <c r="F277" s="55"/>
      <c r="G277" s="47"/>
      <c r="H277" s="50"/>
      <c r="I277" s="49"/>
      <c r="J277" s="40"/>
      <c r="K277" s="35"/>
      <c r="L277" s="66"/>
      <c r="M277" s="25"/>
      <c r="N277" s="134"/>
    </row>
    <row r="278" spans="2:14" s="29" customFormat="1" ht="15" hidden="1" customHeight="1" x14ac:dyDescent="0.25">
      <c r="B278" s="48"/>
      <c r="C278" s="48"/>
      <c r="D278" s="48"/>
      <c r="E278" s="171"/>
      <c r="F278" s="55"/>
      <c r="G278" s="47"/>
      <c r="H278" s="50"/>
      <c r="I278" s="49"/>
      <c r="J278" s="40"/>
      <c r="K278" s="35"/>
      <c r="L278" s="66"/>
      <c r="M278" s="25"/>
      <c r="N278" s="134"/>
    </row>
    <row r="279" spans="2:14" s="29" customFormat="1" ht="15" hidden="1" customHeight="1" x14ac:dyDescent="0.25">
      <c r="C279" s="49"/>
      <c r="E279" s="171"/>
      <c r="F279" s="55"/>
      <c r="G279" s="47"/>
      <c r="H279" s="50"/>
      <c r="I279" s="49"/>
      <c r="J279" s="40"/>
      <c r="K279" s="35"/>
      <c r="L279" s="66"/>
      <c r="M279" s="25"/>
      <c r="N279" s="134"/>
    </row>
    <row r="280" spans="2:14" s="29" customFormat="1" ht="15" hidden="1" customHeight="1" x14ac:dyDescent="0.25">
      <c r="C280" s="49"/>
      <c r="E280" s="171"/>
      <c r="F280" s="55"/>
      <c r="G280" s="47"/>
      <c r="H280" s="50"/>
      <c r="I280" s="49"/>
      <c r="J280" s="40"/>
      <c r="K280" s="35"/>
      <c r="L280" s="66"/>
      <c r="M280" s="25"/>
      <c r="N280" s="134"/>
    </row>
    <row r="281" spans="2:14" s="29" customFormat="1" ht="15" hidden="1" customHeight="1" x14ac:dyDescent="0.25">
      <c r="C281" s="49"/>
      <c r="E281" s="171"/>
      <c r="F281" s="55"/>
      <c r="G281" s="47"/>
      <c r="H281" s="50"/>
      <c r="I281" s="49"/>
      <c r="J281" s="40"/>
      <c r="K281" s="35"/>
      <c r="L281" s="66"/>
      <c r="M281" s="25"/>
      <c r="N281" s="134"/>
    </row>
    <row r="282" spans="2:14" s="29" customFormat="1" ht="15" hidden="1" customHeight="1" x14ac:dyDescent="0.25">
      <c r="C282" s="49"/>
      <c r="E282" s="171"/>
      <c r="F282" s="55"/>
      <c r="G282" s="47"/>
      <c r="H282" s="50"/>
      <c r="I282" s="49"/>
      <c r="J282" s="40"/>
      <c r="K282" s="35"/>
      <c r="L282" s="66"/>
      <c r="M282" s="25"/>
      <c r="N282" s="134"/>
    </row>
    <row r="283" spans="2:14" s="29" customFormat="1" ht="15" hidden="1" customHeight="1" x14ac:dyDescent="0.25">
      <c r="C283" s="49"/>
      <c r="E283" s="171"/>
      <c r="F283" s="55"/>
      <c r="G283" s="47"/>
      <c r="H283" s="50"/>
      <c r="I283" s="49"/>
      <c r="J283" s="40"/>
      <c r="K283" s="35"/>
      <c r="L283" s="66"/>
      <c r="M283" s="25"/>
      <c r="N283" s="134"/>
    </row>
    <row r="284" spans="2:14" s="29" customFormat="1" ht="15" hidden="1" customHeight="1" x14ac:dyDescent="0.25">
      <c r="C284" s="49"/>
      <c r="E284" s="171"/>
      <c r="F284" s="55"/>
      <c r="G284" s="47"/>
      <c r="H284" s="50"/>
      <c r="I284" s="49"/>
      <c r="J284" s="40"/>
      <c r="K284" s="35"/>
      <c r="L284" s="66"/>
      <c r="M284" s="25"/>
      <c r="N284" s="134"/>
    </row>
    <row r="285" spans="2:14" s="29" customFormat="1" ht="15" hidden="1" customHeight="1" x14ac:dyDescent="0.25">
      <c r="C285" s="49"/>
      <c r="E285" s="171"/>
      <c r="F285" s="55"/>
      <c r="G285" s="47"/>
      <c r="H285" s="50"/>
      <c r="I285" s="49"/>
      <c r="J285" s="40"/>
      <c r="K285" s="35"/>
      <c r="L285" s="66"/>
      <c r="M285" s="25"/>
      <c r="N285" s="134"/>
    </row>
    <row r="286" spans="2:14" s="29" customFormat="1" ht="15" hidden="1" customHeight="1" x14ac:dyDescent="0.25">
      <c r="C286" s="49"/>
      <c r="E286" s="171"/>
      <c r="F286" s="55"/>
      <c r="G286" s="47"/>
      <c r="H286" s="50"/>
      <c r="I286" s="49"/>
      <c r="J286" s="40"/>
      <c r="K286" s="35"/>
      <c r="L286" s="66"/>
      <c r="M286" s="25"/>
      <c r="N286" s="134"/>
    </row>
    <row r="287" spans="2:14" s="29" customFormat="1" ht="15" hidden="1" customHeight="1" x14ac:dyDescent="0.25">
      <c r="C287" s="49"/>
      <c r="E287" s="171"/>
      <c r="F287" s="55"/>
      <c r="G287" s="47"/>
      <c r="H287" s="50"/>
      <c r="I287" s="49"/>
      <c r="J287" s="40"/>
      <c r="K287" s="35"/>
      <c r="L287" s="66"/>
      <c r="M287" s="25"/>
      <c r="N287" s="134"/>
    </row>
    <row r="288" spans="2:14" s="29" customFormat="1" ht="15" hidden="1" customHeight="1" x14ac:dyDescent="0.25">
      <c r="C288" s="49"/>
      <c r="E288" s="171"/>
      <c r="F288" s="55"/>
      <c r="G288" s="47"/>
      <c r="H288" s="50"/>
      <c r="I288" s="49"/>
      <c r="J288" s="40"/>
      <c r="K288" s="35"/>
      <c r="L288" s="66"/>
      <c r="M288" s="25"/>
      <c r="N288" s="134"/>
    </row>
    <row r="289" spans="3:15" s="29" customFormat="1" ht="15" hidden="1" customHeight="1" x14ac:dyDescent="0.25">
      <c r="C289" s="49"/>
      <c r="E289" s="171"/>
      <c r="F289" s="56"/>
      <c r="G289" s="48"/>
      <c r="H289" s="50"/>
      <c r="I289" s="48"/>
      <c r="J289" s="41"/>
      <c r="K289" s="26"/>
      <c r="L289" s="48"/>
      <c r="M289" s="26"/>
      <c r="N289" s="135"/>
      <c r="O289" s="48"/>
    </row>
  </sheetData>
  <sheetProtection formatCells="0"/>
  <mergeCells count="154">
    <mergeCell ref="F214:I215"/>
    <mergeCell ref="J214:L215"/>
    <mergeCell ref="M165:O165"/>
    <mergeCell ref="M173:O173"/>
    <mergeCell ref="M179:O179"/>
    <mergeCell ref="M187:O187"/>
    <mergeCell ref="F20:K21"/>
    <mergeCell ref="L20:L21"/>
    <mergeCell ref="F211:K212"/>
    <mergeCell ref="F201:K202"/>
    <mergeCell ref="L201:L202"/>
    <mergeCell ref="L211:L212"/>
    <mergeCell ref="M69:O69"/>
    <mergeCell ref="M80:O80"/>
    <mergeCell ref="M87:O87"/>
    <mergeCell ref="M103:O103"/>
    <mergeCell ref="M109:O109"/>
    <mergeCell ref="M118:O118"/>
    <mergeCell ref="M132:O132"/>
    <mergeCell ref="M145:O145"/>
    <mergeCell ref="M151:O151"/>
    <mergeCell ref="M214:M215"/>
    <mergeCell ref="M159:O159"/>
    <mergeCell ref="N214:O215"/>
    <mergeCell ref="M3:O3"/>
    <mergeCell ref="M20:M21"/>
    <mergeCell ref="N20:O21"/>
    <mergeCell ref="M201:M202"/>
    <mergeCell ref="N201:O202"/>
    <mergeCell ref="M211:M212"/>
    <mergeCell ref="N211:O212"/>
    <mergeCell ref="F3:L3"/>
    <mergeCell ref="G118:K118"/>
    <mergeCell ref="G22:K22"/>
    <mergeCell ref="M6:O6"/>
    <mergeCell ref="M11:O11"/>
    <mergeCell ref="M16:O16"/>
    <mergeCell ref="M22:O22"/>
    <mergeCell ref="M41:O41"/>
    <mergeCell ref="M51:O51"/>
    <mergeCell ref="F164:J164"/>
    <mergeCell ref="F172:J172"/>
    <mergeCell ref="M203:O203"/>
    <mergeCell ref="M207:O207"/>
    <mergeCell ref="F144:J144"/>
    <mergeCell ref="F150:J150"/>
    <mergeCell ref="G120:L120"/>
    <mergeCell ref="G159:L159"/>
    <mergeCell ref="G69:K69"/>
    <mergeCell ref="G80:K80"/>
    <mergeCell ref="G103:K103"/>
    <mergeCell ref="F50:J50"/>
    <mergeCell ref="G109:K109"/>
    <mergeCell ref="F102:J102"/>
    <mergeCell ref="F58:J58"/>
    <mergeCell ref="F68:J68"/>
    <mergeCell ref="F79:J79"/>
    <mergeCell ref="G59:K59"/>
    <mergeCell ref="G87:K87"/>
    <mergeCell ref="M120:O120"/>
    <mergeCell ref="F206:J206"/>
    <mergeCell ref="G207:K207"/>
    <mergeCell ref="F5:G5"/>
    <mergeCell ref="G6:K6"/>
    <mergeCell ref="F10:J10"/>
    <mergeCell ref="F15:J15"/>
    <mergeCell ref="F19:J19"/>
    <mergeCell ref="F40:J40"/>
    <mergeCell ref="F117:J117"/>
    <mergeCell ref="F131:J131"/>
    <mergeCell ref="G28:L28"/>
    <mergeCell ref="G32:L32"/>
    <mergeCell ref="G16:K16"/>
    <mergeCell ref="G11:K11"/>
    <mergeCell ref="L4:L5"/>
    <mergeCell ref="G41:K41"/>
    <mergeCell ref="G51:K51"/>
    <mergeCell ref="M24:O24"/>
    <mergeCell ref="M28:O28"/>
    <mergeCell ref="M32:O32"/>
    <mergeCell ref="G24:L24"/>
    <mergeCell ref="F86:J86"/>
    <mergeCell ref="F108:J108"/>
    <mergeCell ref="M59:O59"/>
    <mergeCell ref="B1:L1"/>
    <mergeCell ref="B2:L2"/>
    <mergeCell ref="B32:B33"/>
    <mergeCell ref="B22:D22"/>
    <mergeCell ref="B24:B25"/>
    <mergeCell ref="C24:D25"/>
    <mergeCell ref="B26:B27"/>
    <mergeCell ref="G132:K132"/>
    <mergeCell ref="B46:B47"/>
    <mergeCell ref="C46:C47"/>
    <mergeCell ref="D46:D47"/>
    <mergeCell ref="M4:M5"/>
    <mergeCell ref="N4:N5"/>
    <mergeCell ref="O4:O5"/>
    <mergeCell ref="C34:D35"/>
    <mergeCell ref="B36:B37"/>
    <mergeCell ref="C36:D37"/>
    <mergeCell ref="B38:B39"/>
    <mergeCell ref="C38:D39"/>
    <mergeCell ref="C14:D15"/>
    <mergeCell ref="C16:D17"/>
    <mergeCell ref="C18:D19"/>
    <mergeCell ref="C20:D21"/>
    <mergeCell ref="G145:K145"/>
    <mergeCell ref="B3:D3"/>
    <mergeCell ref="B4:B5"/>
    <mergeCell ref="C4:D5"/>
    <mergeCell ref="B6:B7"/>
    <mergeCell ref="B8:B9"/>
    <mergeCell ref="B10:B11"/>
    <mergeCell ref="B12:B13"/>
    <mergeCell ref="C6:D7"/>
    <mergeCell ref="C8:D9"/>
    <mergeCell ref="C10:D11"/>
    <mergeCell ref="C12:D13"/>
    <mergeCell ref="B40:D40"/>
    <mergeCell ref="B34:B35"/>
    <mergeCell ref="B28:B29"/>
    <mergeCell ref="C26:C27"/>
    <mergeCell ref="B48:B49"/>
    <mergeCell ref="C48:D49"/>
    <mergeCell ref="B42:B43"/>
    <mergeCell ref="C42:C43"/>
    <mergeCell ref="D42:D43"/>
    <mergeCell ref="B44:B45"/>
    <mergeCell ref="C44:C45"/>
    <mergeCell ref="D44:D45"/>
    <mergeCell ref="F210:J210"/>
    <mergeCell ref="G151:K151"/>
    <mergeCell ref="G165:K165"/>
    <mergeCell ref="G173:K173"/>
    <mergeCell ref="G208:J208"/>
    <mergeCell ref="G203:K203"/>
    <mergeCell ref="G179:K179"/>
    <mergeCell ref="G187:K187"/>
    <mergeCell ref="F178:J178"/>
    <mergeCell ref="F186:J186"/>
    <mergeCell ref="F200:J200"/>
    <mergeCell ref="C32:C33"/>
    <mergeCell ref="D32:D33"/>
    <mergeCell ref="B20:B21"/>
    <mergeCell ref="B18:B19"/>
    <mergeCell ref="B16:B17"/>
    <mergeCell ref="B14:B15"/>
    <mergeCell ref="D26:D27"/>
    <mergeCell ref="C28:C29"/>
    <mergeCell ref="D28:D29"/>
    <mergeCell ref="B30:B31"/>
    <mergeCell ref="C30:C31"/>
    <mergeCell ref="D30:D31"/>
  </mergeCells>
  <conditionalFormatting sqref="N7:N10 N12:N15 N17:N19 N23 N25:N27 N29:N31 N33:N40 N42:N50 N52:N58 N60:N68 N70:N79 N81:N86 N88:N102 N104:N108 N110:N117 N119 N121:N131 N133:N144 N146:N150 N152:N158 N160:N164 N166:N172 N174:N178 N180:N186 N188:N200 N204:N206 N208:N210">
    <cfRule type="cellIs" dxfId="11" priority="4" operator="lessThan">
      <formula>0</formula>
    </cfRule>
    <cfRule type="cellIs" dxfId="10" priority="5" operator="greaterThanOrEqual">
      <formula>0</formula>
    </cfRule>
  </conditionalFormatting>
  <conditionalFormatting sqref="N20:O21 N201:O202 N211:O212 N214:O215">
    <cfRule type="cellIs" dxfId="9" priority="1" operator="greaterThanOrEqual">
      <formula>0</formula>
    </cfRule>
    <cfRule type="cellIs" dxfId="8" priority="3" operator="lessThan">
      <formula>0</formula>
    </cfRule>
  </conditionalFormatting>
  <dataValidations count="1">
    <dataValidation type="decimal" operator="greaterThanOrEqual" allowBlank="1" showInputMessage="1" showErrorMessage="1" sqref="K208" xr:uid="{00000000-0002-0000-0200-000000000000}">
      <formula1>L208</formula1>
    </dataValidation>
  </dataValidations>
  <pageMargins left="0.74803149606299213" right="0.74803149606299213" top="0.98425196850393704" bottom="0.98425196850393704" header="0.51181102362204722" footer="0.51181102362204722"/>
  <pageSetup paperSize="9" scale="67" fitToHeight="3" orientation="portrait" r:id="rId1"/>
  <headerFooter alignWithMargins="0">
    <oddFooter>&amp;RPage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C98498-F15E-41F7-B167-A98499419B0B}">
  <sheetPr>
    <tabColor theme="9"/>
    <pageSetUpPr fitToPage="1"/>
  </sheetPr>
  <dimension ref="A1:AO259"/>
  <sheetViews>
    <sheetView showGridLines="0" showZeros="0" zoomScaleNormal="100" workbookViewId="0">
      <pane ySplit="4" topLeftCell="A153" activePane="bottomLeft" state="frozen"/>
      <selection pane="bottomLeft" activeCell="J172" sqref="I172:J172"/>
    </sheetView>
  </sheetViews>
  <sheetFormatPr defaultColWidth="0" defaultRowHeight="0" customHeight="1" zeroHeight="1" x14ac:dyDescent="0.3"/>
  <cols>
    <col min="1" max="1" width="0.77734375" style="29" customWidth="1"/>
    <col min="2" max="2" width="11" style="55" customWidth="1"/>
    <col min="3" max="3" width="38.77734375" style="47" customWidth="1"/>
    <col min="4" max="4" width="11" style="23" customWidth="1"/>
    <col min="5" max="5" width="7.77734375" style="49" customWidth="1"/>
    <col min="6" max="6" width="9.77734375" style="40" customWidth="1"/>
    <col min="7" max="7" width="11.21875" style="35" bestFit="1" customWidth="1"/>
    <col min="8" max="8" width="46.44140625" style="66" customWidth="1"/>
    <col min="9" max="9" width="14.77734375" style="25" customWidth="1"/>
    <col min="10" max="10" width="12" style="25" customWidth="1"/>
    <col min="11" max="11" width="41.5546875" style="29" customWidth="1"/>
    <col min="12" max="12" width="0.77734375" style="74" customWidth="1"/>
    <col min="13" max="41" width="9.21875" style="75" hidden="1" customWidth="1"/>
    <col min="42" max="16384" width="0" style="75" hidden="1"/>
  </cols>
  <sheetData>
    <row r="1" spans="2:12" s="72" customFormat="1" ht="34.950000000000003" customHeight="1" thickBot="1" x14ac:dyDescent="0.35">
      <c r="B1" s="428" t="s">
        <v>260</v>
      </c>
      <c r="C1" s="428"/>
      <c r="D1" s="428"/>
      <c r="E1" s="428"/>
      <c r="F1" s="428"/>
      <c r="G1" s="428"/>
      <c r="H1" s="428"/>
      <c r="I1" s="428"/>
      <c r="J1" s="428"/>
      <c r="K1" s="428"/>
      <c r="L1" s="428"/>
    </row>
    <row r="2" spans="2:12" s="29" customFormat="1" ht="15" customHeight="1" thickTop="1" thickBot="1" x14ac:dyDescent="0.35">
      <c r="B2" s="550" t="s">
        <v>21</v>
      </c>
      <c r="C2" s="551"/>
      <c r="D2" s="551"/>
      <c r="E2" s="551"/>
      <c r="F2" s="551"/>
      <c r="G2" s="551"/>
      <c r="H2" s="552"/>
      <c r="I2" s="476" t="s">
        <v>61</v>
      </c>
      <c r="J2" s="477"/>
      <c r="K2" s="478"/>
    </row>
    <row r="3" spans="2:12" s="29" customFormat="1" ht="15" customHeight="1" thickTop="1" x14ac:dyDescent="0.3">
      <c r="B3" s="177" t="s">
        <v>63</v>
      </c>
      <c r="C3" s="178" t="s">
        <v>64</v>
      </c>
      <c r="D3" s="179" t="s">
        <v>65</v>
      </c>
      <c r="E3" s="178" t="s">
        <v>66</v>
      </c>
      <c r="F3" s="180" t="s">
        <v>67</v>
      </c>
      <c r="G3" s="181" t="s">
        <v>68</v>
      </c>
      <c r="H3" s="553" t="s">
        <v>69</v>
      </c>
      <c r="I3" s="437" t="s">
        <v>70</v>
      </c>
      <c r="J3" s="437" t="s">
        <v>71</v>
      </c>
      <c r="K3" s="441" t="s">
        <v>69</v>
      </c>
    </row>
    <row r="4" spans="2:12" s="29" customFormat="1" ht="15" customHeight="1" thickBot="1" x14ac:dyDescent="0.35">
      <c r="B4" s="548" t="s">
        <v>72</v>
      </c>
      <c r="C4" s="549"/>
      <c r="D4" s="18">
        <v>5</v>
      </c>
      <c r="E4" s="30" t="s">
        <v>73</v>
      </c>
      <c r="F4" s="36">
        <v>500</v>
      </c>
      <c r="G4" s="31">
        <f>D4*F4</f>
        <v>2500</v>
      </c>
      <c r="H4" s="554"/>
      <c r="I4" s="438"/>
      <c r="J4" s="438"/>
      <c r="K4" s="442"/>
    </row>
    <row r="5" spans="2:12" s="29" customFormat="1" ht="15" customHeight="1" x14ac:dyDescent="0.3">
      <c r="B5" s="182"/>
      <c r="C5" s="392" t="s">
        <v>261</v>
      </c>
      <c r="D5" s="392"/>
      <c r="E5" s="392"/>
      <c r="F5" s="392"/>
      <c r="G5" s="392"/>
      <c r="H5" s="150"/>
      <c r="I5" s="425"/>
      <c r="J5" s="426"/>
      <c r="K5" s="427"/>
    </row>
    <row r="6" spans="2:12" s="29" customFormat="1" ht="15" customHeight="1" x14ac:dyDescent="0.3">
      <c r="B6" s="51"/>
      <c r="C6" s="42"/>
      <c r="D6" s="19"/>
      <c r="E6" s="42"/>
      <c r="F6" s="37"/>
      <c r="G6" s="76">
        <f>F6*D6</f>
        <v>0</v>
      </c>
      <c r="H6" s="60"/>
      <c r="I6" s="27"/>
      <c r="J6" s="77">
        <f>G6-I6</f>
        <v>0</v>
      </c>
      <c r="K6" s="67"/>
    </row>
    <row r="7" spans="2:12" s="29" customFormat="1" ht="15" customHeight="1" x14ac:dyDescent="0.3">
      <c r="B7" s="51"/>
      <c r="C7" s="42"/>
      <c r="D7" s="19"/>
      <c r="E7" s="42"/>
      <c r="F7" s="37"/>
      <c r="G7" s="76">
        <f t="shared" ref="G7:G15" si="0">F7*D7</f>
        <v>0</v>
      </c>
      <c r="H7" s="60"/>
      <c r="I7" s="27"/>
      <c r="J7" s="77">
        <f>G7-I7</f>
        <v>0</v>
      </c>
      <c r="K7" s="67"/>
    </row>
    <row r="8" spans="2:12" s="29" customFormat="1" ht="15" customHeight="1" x14ac:dyDescent="0.3">
      <c r="B8" s="51"/>
      <c r="C8" s="42"/>
      <c r="D8" s="19"/>
      <c r="E8" s="42"/>
      <c r="F8" s="37"/>
      <c r="G8" s="76">
        <f t="shared" si="0"/>
        <v>0</v>
      </c>
      <c r="H8" s="60"/>
      <c r="I8" s="27"/>
      <c r="J8" s="77">
        <f t="shared" ref="J8:J15" si="1">G8-I8</f>
        <v>0</v>
      </c>
      <c r="K8" s="67"/>
    </row>
    <row r="9" spans="2:12" s="29" customFormat="1" ht="14.55" customHeight="1" x14ac:dyDescent="0.3">
      <c r="B9" s="51"/>
      <c r="C9" s="42"/>
      <c r="D9" s="19"/>
      <c r="E9" s="42"/>
      <c r="F9" s="37"/>
      <c r="G9" s="76">
        <f t="shared" si="0"/>
        <v>0</v>
      </c>
      <c r="H9" s="60"/>
      <c r="I9" s="27"/>
      <c r="J9" s="77">
        <f t="shared" si="1"/>
        <v>0</v>
      </c>
      <c r="K9" s="67"/>
    </row>
    <row r="10" spans="2:12" s="29" customFormat="1" ht="15" customHeight="1" x14ac:dyDescent="0.3">
      <c r="B10" s="51"/>
      <c r="C10" s="42"/>
      <c r="D10" s="19"/>
      <c r="E10" s="42"/>
      <c r="F10" s="37"/>
      <c r="G10" s="76">
        <f t="shared" si="0"/>
        <v>0</v>
      </c>
      <c r="H10" s="60"/>
      <c r="I10" s="27"/>
      <c r="J10" s="77">
        <f t="shared" si="1"/>
        <v>0</v>
      </c>
      <c r="K10" s="67"/>
    </row>
    <row r="11" spans="2:12" s="29" customFormat="1" ht="15" customHeight="1" x14ac:dyDescent="0.3">
      <c r="B11" s="51"/>
      <c r="C11" s="42"/>
      <c r="D11" s="19"/>
      <c r="E11" s="42"/>
      <c r="F11" s="37"/>
      <c r="G11" s="76">
        <f t="shared" si="0"/>
        <v>0</v>
      </c>
      <c r="H11" s="60"/>
      <c r="I11" s="27"/>
      <c r="J11" s="77">
        <f t="shared" si="1"/>
        <v>0</v>
      </c>
      <c r="K11" s="67"/>
    </row>
    <row r="12" spans="2:12" s="29" customFormat="1" ht="15" customHeight="1" x14ac:dyDescent="0.3">
      <c r="B12" s="51"/>
      <c r="C12" s="42"/>
      <c r="D12" s="19"/>
      <c r="E12" s="42"/>
      <c r="F12" s="37"/>
      <c r="G12" s="76">
        <f t="shared" si="0"/>
        <v>0</v>
      </c>
      <c r="H12" s="60"/>
      <c r="I12" s="27"/>
      <c r="J12" s="77">
        <f t="shared" si="1"/>
        <v>0</v>
      </c>
      <c r="K12" s="67"/>
    </row>
    <row r="13" spans="2:12" s="29" customFormat="1" ht="15" customHeight="1" x14ac:dyDescent="0.3">
      <c r="B13" s="51"/>
      <c r="C13" s="42"/>
      <c r="D13" s="19"/>
      <c r="E13" s="42"/>
      <c r="F13" s="37"/>
      <c r="G13" s="76">
        <f t="shared" si="0"/>
        <v>0</v>
      </c>
      <c r="H13" s="60"/>
      <c r="I13" s="27"/>
      <c r="J13" s="77">
        <f t="shared" si="1"/>
        <v>0</v>
      </c>
      <c r="K13" s="67"/>
    </row>
    <row r="14" spans="2:12" s="29" customFormat="1" ht="14.55" customHeight="1" x14ac:dyDescent="0.3">
      <c r="B14" s="51"/>
      <c r="C14" s="42"/>
      <c r="D14" s="19"/>
      <c r="E14" s="42"/>
      <c r="F14" s="37"/>
      <c r="G14" s="76">
        <f t="shared" si="0"/>
        <v>0</v>
      </c>
      <c r="H14" s="60"/>
      <c r="I14" s="27"/>
      <c r="J14" s="77">
        <f t="shared" si="1"/>
        <v>0</v>
      </c>
      <c r="K14" s="67"/>
    </row>
    <row r="15" spans="2:12" s="29" customFormat="1" ht="15" customHeight="1" x14ac:dyDescent="0.3">
      <c r="B15" s="51"/>
      <c r="C15" s="42"/>
      <c r="D15" s="19"/>
      <c r="E15" s="42"/>
      <c r="F15" s="37"/>
      <c r="G15" s="76">
        <f t="shared" si="0"/>
        <v>0</v>
      </c>
      <c r="H15" s="60"/>
      <c r="I15" s="27"/>
      <c r="J15" s="77">
        <f t="shared" si="1"/>
        <v>0</v>
      </c>
      <c r="K15" s="67"/>
    </row>
    <row r="16" spans="2:12" s="73" customFormat="1" ht="15" customHeight="1" thickBot="1" x14ac:dyDescent="0.35">
      <c r="B16" s="51"/>
      <c r="C16" s="43"/>
      <c r="D16" s="20"/>
      <c r="E16" s="44"/>
      <c r="F16" s="38"/>
      <c r="G16" s="85"/>
      <c r="H16" s="60"/>
      <c r="I16" s="28"/>
      <c r="J16" s="86"/>
      <c r="K16" s="68"/>
    </row>
    <row r="17" spans="2:11" s="29" customFormat="1" ht="14.4" thickTop="1" thickBot="1" x14ac:dyDescent="0.35">
      <c r="B17" s="390" t="s">
        <v>80</v>
      </c>
      <c r="C17" s="391"/>
      <c r="D17" s="391"/>
      <c r="E17" s="391"/>
      <c r="F17" s="391"/>
      <c r="G17" s="32">
        <f>SUM(G6:G16)</f>
        <v>0</v>
      </c>
      <c r="H17" s="61"/>
      <c r="I17" s="78">
        <f>SUM(I6:I16)</f>
        <v>0</v>
      </c>
      <c r="J17" s="79">
        <f>SUM(J6:J16)</f>
        <v>0</v>
      </c>
      <c r="K17" s="69"/>
    </row>
    <row r="18" spans="2:11" s="73" customFormat="1" ht="15" customHeight="1" thickTop="1" x14ac:dyDescent="0.3">
      <c r="B18" s="523" t="s">
        <v>262</v>
      </c>
      <c r="C18" s="524"/>
      <c r="D18" s="524"/>
      <c r="E18" s="524"/>
      <c r="F18" s="524"/>
      <c r="G18" s="524"/>
      <c r="H18" s="519">
        <f>G17</f>
        <v>0</v>
      </c>
      <c r="I18" s="537">
        <f>SUM(I9:I16)</f>
        <v>0</v>
      </c>
      <c r="J18" s="529">
        <f>SUM(J17)</f>
        <v>0</v>
      </c>
      <c r="K18" s="530"/>
    </row>
    <row r="19" spans="2:11" s="73" customFormat="1" ht="15" customHeight="1" thickBot="1" x14ac:dyDescent="0.35">
      <c r="B19" s="525"/>
      <c r="C19" s="526"/>
      <c r="D19" s="526"/>
      <c r="E19" s="526"/>
      <c r="F19" s="526"/>
      <c r="G19" s="526"/>
      <c r="H19" s="520"/>
      <c r="I19" s="538"/>
      <c r="J19" s="531"/>
      <c r="K19" s="532"/>
    </row>
    <row r="20" spans="2:11" s="29" customFormat="1" ht="15" customHeight="1" thickTop="1" x14ac:dyDescent="0.3">
      <c r="B20" s="155">
        <v>4</v>
      </c>
      <c r="C20" s="539" t="s">
        <v>92</v>
      </c>
      <c r="D20" s="539"/>
      <c r="E20" s="539"/>
      <c r="F20" s="539"/>
      <c r="G20" s="539"/>
      <c r="H20" s="156"/>
      <c r="I20" s="425"/>
      <c r="J20" s="540"/>
      <c r="K20" s="541"/>
    </row>
    <row r="21" spans="2:11" s="29" customFormat="1" ht="15" customHeight="1" x14ac:dyDescent="0.3">
      <c r="B21" s="51">
        <v>4.0999999999999996</v>
      </c>
      <c r="C21" s="43" t="s">
        <v>96</v>
      </c>
      <c r="D21" s="19"/>
      <c r="E21" s="42"/>
      <c r="F21" s="37"/>
      <c r="G21" s="76">
        <f>D21*F21</f>
        <v>0</v>
      </c>
      <c r="H21" s="60"/>
      <c r="I21" s="27"/>
      <c r="J21" s="77">
        <f>G21-I21</f>
        <v>0</v>
      </c>
      <c r="K21" s="67"/>
    </row>
    <row r="22" spans="2:11" s="29" customFormat="1" ht="15" customHeight="1" x14ac:dyDescent="0.3">
      <c r="B22" s="52">
        <v>4.2</v>
      </c>
      <c r="C22" s="468" t="s">
        <v>98</v>
      </c>
      <c r="D22" s="469"/>
      <c r="E22" s="469"/>
      <c r="F22" s="469"/>
      <c r="G22" s="469"/>
      <c r="H22" s="470"/>
      <c r="I22" s="473"/>
      <c r="J22" s="474"/>
      <c r="K22" s="475"/>
    </row>
    <row r="23" spans="2:11" s="29" customFormat="1" ht="15" customHeight="1" x14ac:dyDescent="0.3">
      <c r="B23" s="51" t="s">
        <v>99</v>
      </c>
      <c r="C23" s="43" t="s">
        <v>100</v>
      </c>
      <c r="D23" s="19"/>
      <c r="E23" s="42"/>
      <c r="F23" s="37"/>
      <c r="G23" s="76">
        <f>D23*F23</f>
        <v>0</v>
      </c>
      <c r="H23" s="60"/>
      <c r="I23" s="27"/>
      <c r="J23" s="77">
        <f>G23-I23</f>
        <v>0</v>
      </c>
      <c r="K23" s="67"/>
    </row>
    <row r="24" spans="2:11" s="29" customFormat="1" ht="15" customHeight="1" x14ac:dyDescent="0.3">
      <c r="B24" s="51" t="s">
        <v>103</v>
      </c>
      <c r="C24" s="43" t="s">
        <v>104</v>
      </c>
      <c r="D24" s="19"/>
      <c r="E24" s="42"/>
      <c r="F24" s="37"/>
      <c r="G24" s="76">
        <f>D24*F24</f>
        <v>0</v>
      </c>
      <c r="H24" s="60"/>
      <c r="I24" s="27"/>
      <c r="J24" s="77">
        <f>G24-I24</f>
        <v>0</v>
      </c>
      <c r="K24" s="67"/>
    </row>
    <row r="25" spans="2:11" s="29" customFormat="1" ht="15" customHeight="1" x14ac:dyDescent="0.3">
      <c r="B25" s="51" t="s">
        <v>105</v>
      </c>
      <c r="C25" s="43" t="s">
        <v>106</v>
      </c>
      <c r="D25" s="19"/>
      <c r="E25" s="42"/>
      <c r="F25" s="37"/>
      <c r="G25" s="76">
        <f>D25*F25</f>
        <v>0</v>
      </c>
      <c r="H25" s="60"/>
      <c r="I25" s="27"/>
      <c r="J25" s="77">
        <f>G25-I25</f>
        <v>0</v>
      </c>
      <c r="K25" s="67"/>
    </row>
    <row r="26" spans="2:11" s="29" customFormat="1" ht="15" customHeight="1" x14ac:dyDescent="0.3">
      <c r="B26" s="52">
        <v>4.3</v>
      </c>
      <c r="C26" s="468" t="s">
        <v>107</v>
      </c>
      <c r="D26" s="469"/>
      <c r="E26" s="469"/>
      <c r="F26" s="469"/>
      <c r="G26" s="469"/>
      <c r="H26" s="470"/>
      <c r="I26" s="473"/>
      <c r="J26" s="474"/>
      <c r="K26" s="475"/>
    </row>
    <row r="27" spans="2:11" s="29" customFormat="1" ht="15" customHeight="1" x14ac:dyDescent="0.3">
      <c r="B27" s="51" t="s">
        <v>108</v>
      </c>
      <c r="C27" s="43" t="s">
        <v>109</v>
      </c>
      <c r="D27" s="19"/>
      <c r="E27" s="42"/>
      <c r="F27" s="37"/>
      <c r="G27" s="76">
        <f>D27*F27</f>
        <v>0</v>
      </c>
      <c r="H27" s="60"/>
      <c r="I27" s="27"/>
      <c r="J27" s="77">
        <f>G27-I27</f>
        <v>0</v>
      </c>
      <c r="K27" s="67"/>
    </row>
    <row r="28" spans="2:11" s="29" customFormat="1" ht="15" customHeight="1" x14ac:dyDescent="0.3">
      <c r="B28" s="51" t="s">
        <v>110</v>
      </c>
      <c r="C28" s="43" t="s">
        <v>111</v>
      </c>
      <c r="D28" s="19"/>
      <c r="E28" s="42"/>
      <c r="F28" s="37"/>
      <c r="G28" s="76">
        <f>D28*F28</f>
        <v>0</v>
      </c>
      <c r="H28" s="60"/>
      <c r="I28" s="27"/>
      <c r="J28" s="77">
        <f>G28-I28</f>
        <v>0</v>
      </c>
      <c r="K28" s="67"/>
    </row>
    <row r="29" spans="2:11" s="29" customFormat="1" ht="15" customHeight="1" x14ac:dyDescent="0.3">
      <c r="B29" s="51" t="s">
        <v>112</v>
      </c>
      <c r="C29" s="43" t="s">
        <v>113</v>
      </c>
      <c r="D29" s="19"/>
      <c r="E29" s="42"/>
      <c r="F29" s="37"/>
      <c r="G29" s="76">
        <f>D29*F29</f>
        <v>0</v>
      </c>
      <c r="H29" s="60"/>
      <c r="I29" s="27"/>
      <c r="J29" s="77">
        <f>G29-I29</f>
        <v>0</v>
      </c>
      <c r="K29" s="67"/>
    </row>
    <row r="30" spans="2:11" s="29" customFormat="1" ht="15" customHeight="1" x14ac:dyDescent="0.3">
      <c r="B30" s="52">
        <v>4.4000000000000004</v>
      </c>
      <c r="C30" s="468" t="s">
        <v>114</v>
      </c>
      <c r="D30" s="469"/>
      <c r="E30" s="469"/>
      <c r="F30" s="469"/>
      <c r="G30" s="469"/>
      <c r="H30" s="470"/>
      <c r="I30" s="462"/>
      <c r="J30" s="463"/>
      <c r="K30" s="464"/>
    </row>
    <row r="31" spans="2:11" s="29" customFormat="1" ht="15" customHeight="1" x14ac:dyDescent="0.3">
      <c r="B31" s="51" t="s">
        <v>115</v>
      </c>
      <c r="C31" s="43" t="s">
        <v>116</v>
      </c>
      <c r="D31" s="19"/>
      <c r="E31" s="42"/>
      <c r="F31" s="37"/>
      <c r="G31" s="76">
        <f t="shared" ref="G31:G36" si="2">D31*F31</f>
        <v>0</v>
      </c>
      <c r="H31" s="60"/>
      <c r="I31" s="27"/>
      <c r="J31" s="77">
        <f t="shared" ref="J31:J36" si="3">G31-I31</f>
        <v>0</v>
      </c>
      <c r="K31" s="67"/>
    </row>
    <row r="32" spans="2:11" s="29" customFormat="1" ht="15" customHeight="1" x14ac:dyDescent="0.3">
      <c r="B32" s="51" t="s">
        <v>118</v>
      </c>
      <c r="C32" s="43" t="s">
        <v>116</v>
      </c>
      <c r="D32" s="19"/>
      <c r="E32" s="42"/>
      <c r="F32" s="37"/>
      <c r="G32" s="76">
        <f t="shared" si="2"/>
        <v>0</v>
      </c>
      <c r="H32" s="60"/>
      <c r="I32" s="27"/>
      <c r="J32" s="77">
        <f t="shared" si="3"/>
        <v>0</v>
      </c>
      <c r="K32" s="67"/>
    </row>
    <row r="33" spans="2:11" s="29" customFormat="1" ht="15" customHeight="1" x14ac:dyDescent="0.3">
      <c r="B33" s="51" t="s">
        <v>119</v>
      </c>
      <c r="C33" s="43" t="s">
        <v>116</v>
      </c>
      <c r="D33" s="19"/>
      <c r="E33" s="42"/>
      <c r="F33" s="37"/>
      <c r="G33" s="76">
        <f t="shared" si="2"/>
        <v>0</v>
      </c>
      <c r="H33" s="60"/>
      <c r="I33" s="27"/>
      <c r="J33" s="77">
        <f t="shared" si="3"/>
        <v>0</v>
      </c>
      <c r="K33" s="67"/>
    </row>
    <row r="34" spans="2:11" s="29" customFormat="1" ht="15" customHeight="1" x14ac:dyDescent="0.3">
      <c r="B34" s="51">
        <v>4.5</v>
      </c>
      <c r="C34" s="43" t="s">
        <v>121</v>
      </c>
      <c r="D34" s="19"/>
      <c r="E34" s="42"/>
      <c r="F34" s="37"/>
      <c r="G34" s="76">
        <f t="shared" si="2"/>
        <v>0</v>
      </c>
      <c r="H34" s="60"/>
      <c r="I34" s="27"/>
      <c r="J34" s="77">
        <f t="shared" si="3"/>
        <v>0</v>
      </c>
      <c r="K34" s="67"/>
    </row>
    <row r="35" spans="2:11" s="29" customFormat="1" ht="15" customHeight="1" x14ac:dyDescent="0.3">
      <c r="B35" s="51">
        <v>4.5999999999999996</v>
      </c>
      <c r="C35" s="43" t="s">
        <v>122</v>
      </c>
      <c r="D35" s="19"/>
      <c r="E35" s="42"/>
      <c r="F35" s="37"/>
      <c r="G35" s="76">
        <f t="shared" si="2"/>
        <v>0</v>
      </c>
      <c r="H35" s="60"/>
      <c r="I35" s="27"/>
      <c r="J35" s="77">
        <f t="shared" si="3"/>
        <v>0</v>
      </c>
      <c r="K35" s="67"/>
    </row>
    <row r="36" spans="2:11" s="29" customFormat="1" ht="15" customHeight="1" x14ac:dyDescent="0.3">
      <c r="B36" s="51">
        <v>4.7</v>
      </c>
      <c r="C36" s="43" t="s">
        <v>124</v>
      </c>
      <c r="D36" s="19"/>
      <c r="E36" s="42"/>
      <c r="F36" s="37"/>
      <c r="G36" s="76">
        <f t="shared" si="2"/>
        <v>0</v>
      </c>
      <c r="H36" s="60"/>
      <c r="I36" s="27"/>
      <c r="J36" s="77">
        <f t="shared" si="3"/>
        <v>0</v>
      </c>
      <c r="K36" s="67"/>
    </row>
    <row r="37" spans="2:11" s="29" customFormat="1" ht="15" customHeight="1" thickBot="1" x14ac:dyDescent="0.35">
      <c r="B37" s="51"/>
      <c r="C37" s="43"/>
      <c r="D37" s="20"/>
      <c r="E37" s="44"/>
      <c r="F37" s="38"/>
      <c r="G37" s="85"/>
      <c r="H37" s="60"/>
      <c r="I37" s="28"/>
      <c r="J37" s="86"/>
      <c r="K37" s="68"/>
    </row>
    <row r="38" spans="2:11" s="29" customFormat="1" ht="15" customHeight="1" thickTop="1" thickBot="1" x14ac:dyDescent="0.35">
      <c r="B38" s="396" t="s">
        <v>80</v>
      </c>
      <c r="C38" s="397"/>
      <c r="D38" s="397"/>
      <c r="E38" s="397"/>
      <c r="F38" s="397"/>
      <c r="G38" s="33">
        <f>SUM(G21:G37)</f>
        <v>0</v>
      </c>
      <c r="H38" s="62"/>
      <c r="I38" s="87">
        <f>SUM(I21:I37)</f>
        <v>0</v>
      </c>
      <c r="J38" s="81">
        <f>SUM(J21:J37)</f>
        <v>0</v>
      </c>
      <c r="K38" s="70"/>
    </row>
    <row r="39" spans="2:11" s="73" customFormat="1" ht="15" customHeight="1" x14ac:dyDescent="0.3">
      <c r="B39" s="149">
        <v>5</v>
      </c>
      <c r="C39" s="392" t="s">
        <v>125</v>
      </c>
      <c r="D39" s="392"/>
      <c r="E39" s="392"/>
      <c r="F39" s="392"/>
      <c r="G39" s="392"/>
      <c r="H39" s="162"/>
      <c r="I39" s="425"/>
      <c r="J39" s="426"/>
      <c r="K39" s="427"/>
    </row>
    <row r="40" spans="2:11" s="73" customFormat="1" ht="15" customHeight="1" x14ac:dyDescent="0.3">
      <c r="B40" s="51">
        <v>5.0999999999999996</v>
      </c>
      <c r="C40" s="43" t="s">
        <v>127</v>
      </c>
      <c r="D40" s="19"/>
      <c r="E40" s="42"/>
      <c r="F40" s="37"/>
      <c r="G40" s="76">
        <f t="shared" ref="G40:G46" si="4">D40*F40</f>
        <v>0</v>
      </c>
      <c r="H40" s="60"/>
      <c r="I40" s="27"/>
      <c r="J40" s="77">
        <f t="shared" ref="J40:J46" si="5">G40-I40</f>
        <v>0</v>
      </c>
      <c r="K40" s="67"/>
    </row>
    <row r="41" spans="2:11" s="29" customFormat="1" ht="15" customHeight="1" x14ac:dyDescent="0.3">
      <c r="B41" s="51">
        <v>5.2</v>
      </c>
      <c r="C41" s="43" t="s">
        <v>128</v>
      </c>
      <c r="D41" s="19"/>
      <c r="E41" s="42"/>
      <c r="F41" s="37"/>
      <c r="G41" s="76">
        <f t="shared" si="4"/>
        <v>0</v>
      </c>
      <c r="H41" s="60"/>
      <c r="I41" s="27"/>
      <c r="J41" s="77">
        <f t="shared" si="5"/>
        <v>0</v>
      </c>
      <c r="K41" s="67"/>
    </row>
    <row r="42" spans="2:11" s="73" customFormat="1" ht="15" customHeight="1" x14ac:dyDescent="0.3">
      <c r="B42" s="51">
        <v>5.3</v>
      </c>
      <c r="C42" s="43" t="s">
        <v>129</v>
      </c>
      <c r="D42" s="19"/>
      <c r="E42" s="42"/>
      <c r="F42" s="37"/>
      <c r="G42" s="76">
        <f t="shared" si="4"/>
        <v>0</v>
      </c>
      <c r="H42" s="60"/>
      <c r="I42" s="27"/>
      <c r="J42" s="77">
        <f t="shared" si="5"/>
        <v>0</v>
      </c>
      <c r="K42" s="67"/>
    </row>
    <row r="43" spans="2:11" s="29" customFormat="1" ht="15" customHeight="1" x14ac:dyDescent="0.3">
      <c r="B43" s="51">
        <v>5.4</v>
      </c>
      <c r="C43" s="43" t="s">
        <v>130</v>
      </c>
      <c r="D43" s="19"/>
      <c r="E43" s="42"/>
      <c r="F43" s="37"/>
      <c r="G43" s="76">
        <f t="shared" si="4"/>
        <v>0</v>
      </c>
      <c r="H43" s="60"/>
      <c r="I43" s="27"/>
      <c r="J43" s="77">
        <f t="shared" si="5"/>
        <v>0</v>
      </c>
      <c r="K43" s="67"/>
    </row>
    <row r="44" spans="2:11" s="29" customFormat="1" ht="15" customHeight="1" x14ac:dyDescent="0.3">
      <c r="B44" s="51">
        <v>5.5</v>
      </c>
      <c r="C44" s="43" t="s">
        <v>131</v>
      </c>
      <c r="D44" s="19"/>
      <c r="E44" s="42"/>
      <c r="F44" s="37"/>
      <c r="G44" s="76">
        <f t="shared" si="4"/>
        <v>0</v>
      </c>
      <c r="H44" s="60"/>
      <c r="I44" s="27"/>
      <c r="J44" s="77">
        <f t="shared" si="5"/>
        <v>0</v>
      </c>
      <c r="K44" s="67"/>
    </row>
    <row r="45" spans="2:11" s="73" customFormat="1" ht="15" customHeight="1" x14ac:dyDescent="0.3">
      <c r="B45" s="51">
        <v>5.6</v>
      </c>
      <c r="C45" s="43" t="s">
        <v>132</v>
      </c>
      <c r="D45" s="19"/>
      <c r="E45" s="42"/>
      <c r="F45" s="37"/>
      <c r="G45" s="76">
        <f t="shared" si="4"/>
        <v>0</v>
      </c>
      <c r="H45" s="60"/>
      <c r="I45" s="27"/>
      <c r="J45" s="77">
        <f t="shared" si="5"/>
        <v>0</v>
      </c>
      <c r="K45" s="67"/>
    </row>
    <row r="46" spans="2:11" s="73" customFormat="1" ht="15" customHeight="1" x14ac:dyDescent="0.3">
      <c r="B46" s="51">
        <v>5.7</v>
      </c>
      <c r="C46" s="43" t="s">
        <v>134</v>
      </c>
      <c r="D46" s="19"/>
      <c r="E46" s="42"/>
      <c r="F46" s="37"/>
      <c r="G46" s="76">
        <f t="shared" si="4"/>
        <v>0</v>
      </c>
      <c r="H46" s="60"/>
      <c r="I46" s="27"/>
      <c r="J46" s="77">
        <f t="shared" si="5"/>
        <v>0</v>
      </c>
      <c r="K46" s="67"/>
    </row>
    <row r="47" spans="2:11" s="73" customFormat="1" ht="15" customHeight="1" thickBot="1" x14ac:dyDescent="0.35">
      <c r="B47" s="51"/>
      <c r="C47" s="43"/>
      <c r="D47" s="20"/>
      <c r="E47" s="44"/>
      <c r="F47" s="38"/>
      <c r="G47" s="85"/>
      <c r="H47" s="60"/>
      <c r="I47" s="28"/>
      <c r="J47" s="86"/>
      <c r="K47" s="68"/>
    </row>
    <row r="48" spans="2:11" s="29" customFormat="1" ht="15" customHeight="1" thickTop="1" thickBot="1" x14ac:dyDescent="0.35">
      <c r="B48" s="396" t="s">
        <v>80</v>
      </c>
      <c r="C48" s="397"/>
      <c r="D48" s="397"/>
      <c r="E48" s="397"/>
      <c r="F48" s="397"/>
      <c r="G48" s="33">
        <f>SUM(G40:G47)</f>
        <v>0</v>
      </c>
      <c r="H48" s="62"/>
      <c r="I48" s="80">
        <f>SUM(I40:I47)</f>
        <v>0</v>
      </c>
      <c r="J48" s="81">
        <f>SUM(J40:J47)</f>
        <v>0</v>
      </c>
      <c r="K48" s="70"/>
    </row>
    <row r="49" spans="2:11" s="165" customFormat="1" ht="15" customHeight="1" x14ac:dyDescent="0.3">
      <c r="B49" s="155">
        <v>6</v>
      </c>
      <c r="C49" s="392" t="s">
        <v>135</v>
      </c>
      <c r="D49" s="392"/>
      <c r="E49" s="392"/>
      <c r="F49" s="392"/>
      <c r="G49" s="392"/>
      <c r="H49" s="164"/>
      <c r="I49" s="425"/>
      <c r="J49" s="426"/>
      <c r="K49" s="427"/>
    </row>
    <row r="50" spans="2:11" s="29" customFormat="1" ht="15" customHeight="1" x14ac:dyDescent="0.3">
      <c r="B50" s="51">
        <v>6.1</v>
      </c>
      <c r="C50" s="43" t="s">
        <v>136</v>
      </c>
      <c r="D50" s="19"/>
      <c r="E50" s="42"/>
      <c r="F50" s="37"/>
      <c r="G50" s="76">
        <f t="shared" ref="G50:G54" si="6">D50*F50</f>
        <v>0</v>
      </c>
      <c r="H50" s="60"/>
      <c r="I50" s="27"/>
      <c r="J50" s="77">
        <f>G50-I50</f>
        <v>0</v>
      </c>
      <c r="K50" s="67"/>
    </row>
    <row r="51" spans="2:11" s="29" customFormat="1" ht="15" customHeight="1" x14ac:dyDescent="0.3">
      <c r="B51" s="51">
        <v>6.2</v>
      </c>
      <c r="C51" s="43" t="s">
        <v>137</v>
      </c>
      <c r="D51" s="19"/>
      <c r="E51" s="42"/>
      <c r="F51" s="37"/>
      <c r="G51" s="76">
        <f t="shared" si="6"/>
        <v>0</v>
      </c>
      <c r="H51" s="60"/>
      <c r="I51" s="27"/>
      <c r="J51" s="77">
        <f>G51-I51</f>
        <v>0</v>
      </c>
      <c r="K51" s="67"/>
    </row>
    <row r="52" spans="2:11" s="29" customFormat="1" ht="15" customHeight="1" x14ac:dyDescent="0.3">
      <c r="B52" s="51">
        <v>6.3</v>
      </c>
      <c r="C52" s="43" t="s">
        <v>138</v>
      </c>
      <c r="D52" s="19"/>
      <c r="E52" s="42"/>
      <c r="F52" s="37"/>
      <c r="G52" s="76">
        <f t="shared" si="6"/>
        <v>0</v>
      </c>
      <c r="H52" s="60"/>
      <c r="I52" s="27"/>
      <c r="J52" s="77">
        <f>G52-I52</f>
        <v>0</v>
      </c>
      <c r="K52" s="67"/>
    </row>
    <row r="53" spans="2:11" s="29" customFormat="1" ht="15" customHeight="1" x14ac:dyDescent="0.3">
      <c r="B53" s="51">
        <v>6.4</v>
      </c>
      <c r="C53" s="43" t="s">
        <v>139</v>
      </c>
      <c r="D53" s="19"/>
      <c r="E53" s="42"/>
      <c r="F53" s="37"/>
      <c r="G53" s="76">
        <f t="shared" si="6"/>
        <v>0</v>
      </c>
      <c r="H53" s="60"/>
      <c r="I53" s="27"/>
      <c r="J53" s="77">
        <f>G53-I53</f>
        <v>0</v>
      </c>
      <c r="K53" s="67"/>
    </row>
    <row r="54" spans="2:11" s="73" customFormat="1" ht="15" customHeight="1" x14ac:dyDescent="0.3">
      <c r="B54" s="51">
        <v>6.5</v>
      </c>
      <c r="C54" s="43" t="s">
        <v>140</v>
      </c>
      <c r="D54" s="19"/>
      <c r="E54" s="42"/>
      <c r="F54" s="37"/>
      <c r="G54" s="76">
        <f t="shared" si="6"/>
        <v>0</v>
      </c>
      <c r="H54" s="60"/>
      <c r="I54" s="27"/>
      <c r="J54" s="77">
        <f>G54-I54</f>
        <v>0</v>
      </c>
      <c r="K54" s="67"/>
    </row>
    <row r="55" spans="2:11" s="73" customFormat="1" ht="15" customHeight="1" thickBot="1" x14ac:dyDescent="0.35">
      <c r="B55" s="51"/>
      <c r="C55" s="43"/>
      <c r="D55" s="20"/>
      <c r="E55" s="44"/>
      <c r="F55" s="38"/>
      <c r="G55" s="85"/>
      <c r="H55" s="60"/>
      <c r="I55" s="28"/>
      <c r="J55" s="86"/>
      <c r="K55" s="68"/>
    </row>
    <row r="56" spans="2:11" s="73" customFormat="1" ht="15" customHeight="1" thickTop="1" thickBot="1" x14ac:dyDescent="0.35">
      <c r="B56" s="396" t="s">
        <v>80</v>
      </c>
      <c r="C56" s="397"/>
      <c r="D56" s="397"/>
      <c r="E56" s="397"/>
      <c r="F56" s="397"/>
      <c r="G56" s="33">
        <f>SUM(G50:G55)</f>
        <v>0</v>
      </c>
      <c r="H56" s="62"/>
      <c r="I56" s="80">
        <f>SUM(I50:I55)</f>
        <v>0</v>
      </c>
      <c r="J56" s="81">
        <f>SUM(J50:J55)</f>
        <v>0</v>
      </c>
      <c r="K56" s="70"/>
    </row>
    <row r="57" spans="2:11" s="165" customFormat="1" ht="15" customHeight="1" x14ac:dyDescent="0.3">
      <c r="B57" s="149">
        <v>7</v>
      </c>
      <c r="C57" s="392" t="s">
        <v>141</v>
      </c>
      <c r="D57" s="392"/>
      <c r="E57" s="392"/>
      <c r="F57" s="392"/>
      <c r="G57" s="392"/>
      <c r="H57" s="162"/>
      <c r="I57" s="425"/>
      <c r="J57" s="426"/>
      <c r="K57" s="427"/>
    </row>
    <row r="58" spans="2:11" s="29" customFormat="1" ht="15" customHeight="1" x14ac:dyDescent="0.3">
      <c r="B58" s="51">
        <v>7.1</v>
      </c>
      <c r="C58" s="43" t="s">
        <v>142</v>
      </c>
      <c r="D58" s="19"/>
      <c r="E58" s="42"/>
      <c r="F58" s="37"/>
      <c r="G58" s="76">
        <f t="shared" ref="G58:G63" si="7">D58*F58</f>
        <v>0</v>
      </c>
      <c r="H58" s="60"/>
      <c r="I58" s="27"/>
      <c r="J58" s="77">
        <f t="shared" ref="J58:J63" si="8">G58-I58</f>
        <v>0</v>
      </c>
      <c r="K58" s="67"/>
    </row>
    <row r="59" spans="2:11" s="73" customFormat="1" ht="15" customHeight="1" x14ac:dyDescent="0.3">
      <c r="B59" s="51">
        <v>7.2</v>
      </c>
      <c r="C59" s="43" t="s">
        <v>143</v>
      </c>
      <c r="D59" s="19"/>
      <c r="E59" s="42"/>
      <c r="F59" s="37"/>
      <c r="G59" s="76">
        <f t="shared" si="7"/>
        <v>0</v>
      </c>
      <c r="H59" s="60"/>
      <c r="I59" s="27"/>
      <c r="J59" s="77">
        <f t="shared" si="8"/>
        <v>0</v>
      </c>
      <c r="K59" s="67"/>
    </row>
    <row r="60" spans="2:11" s="73" customFormat="1" ht="15" customHeight="1" x14ac:dyDescent="0.3">
      <c r="B60" s="51">
        <v>7.3</v>
      </c>
      <c r="C60" s="43" t="s">
        <v>144</v>
      </c>
      <c r="D60" s="19"/>
      <c r="E60" s="42"/>
      <c r="F60" s="37"/>
      <c r="G60" s="76">
        <f t="shared" si="7"/>
        <v>0</v>
      </c>
      <c r="H60" s="60"/>
      <c r="I60" s="27"/>
      <c r="J60" s="77">
        <f t="shared" si="8"/>
        <v>0</v>
      </c>
      <c r="K60" s="67"/>
    </row>
    <row r="61" spans="2:11" s="29" customFormat="1" ht="15" customHeight="1" x14ac:dyDescent="0.3">
      <c r="B61" s="51">
        <v>7.4</v>
      </c>
      <c r="C61" s="43" t="s">
        <v>145</v>
      </c>
      <c r="D61" s="19"/>
      <c r="E61" s="42"/>
      <c r="F61" s="37"/>
      <c r="G61" s="76">
        <f t="shared" si="7"/>
        <v>0</v>
      </c>
      <c r="H61" s="60"/>
      <c r="I61" s="27"/>
      <c r="J61" s="77">
        <f t="shared" si="8"/>
        <v>0</v>
      </c>
      <c r="K61" s="67"/>
    </row>
    <row r="62" spans="2:11" s="29" customFormat="1" ht="15" customHeight="1" x14ac:dyDescent="0.3">
      <c r="B62" s="51">
        <v>7.5</v>
      </c>
      <c r="C62" s="43" t="s">
        <v>146</v>
      </c>
      <c r="D62" s="19"/>
      <c r="E62" s="42"/>
      <c r="F62" s="37"/>
      <c r="G62" s="76">
        <f t="shared" si="7"/>
        <v>0</v>
      </c>
      <c r="H62" s="60"/>
      <c r="I62" s="27"/>
      <c r="J62" s="77">
        <f t="shared" si="8"/>
        <v>0</v>
      </c>
      <c r="K62" s="67"/>
    </row>
    <row r="63" spans="2:11" s="29" customFormat="1" ht="15" customHeight="1" x14ac:dyDescent="0.3">
      <c r="B63" s="51">
        <v>7.6</v>
      </c>
      <c r="C63" s="43" t="s">
        <v>147</v>
      </c>
      <c r="D63" s="19"/>
      <c r="E63" s="42"/>
      <c r="F63" s="37"/>
      <c r="G63" s="76">
        <f t="shared" si="7"/>
        <v>0</v>
      </c>
      <c r="H63" s="60"/>
      <c r="I63" s="27"/>
      <c r="J63" s="77">
        <f t="shared" si="8"/>
        <v>0</v>
      </c>
      <c r="K63" s="67"/>
    </row>
    <row r="64" spans="2:11" s="29" customFormat="1" ht="15" customHeight="1" thickBot="1" x14ac:dyDescent="0.35">
      <c r="B64" s="51"/>
      <c r="C64" s="43"/>
      <c r="D64" s="20"/>
      <c r="E64" s="44"/>
      <c r="F64" s="38"/>
      <c r="G64" s="85"/>
      <c r="H64" s="60"/>
      <c r="I64" s="28"/>
      <c r="J64" s="86"/>
      <c r="K64" s="68"/>
    </row>
    <row r="65" spans="2:11" s="29" customFormat="1" ht="15" customHeight="1" thickTop="1" thickBot="1" x14ac:dyDescent="0.35">
      <c r="B65" s="396" t="s">
        <v>80</v>
      </c>
      <c r="C65" s="397"/>
      <c r="D65" s="397"/>
      <c r="E65" s="397"/>
      <c r="F65" s="397"/>
      <c r="G65" s="33">
        <f>SUM(G58:G64)</f>
        <v>0</v>
      </c>
      <c r="H65" s="62"/>
      <c r="I65" s="80">
        <f>SUM(I58:I64)</f>
        <v>0</v>
      </c>
      <c r="J65" s="81">
        <f>SUM(J58:J64)</f>
        <v>0</v>
      </c>
      <c r="K65" s="70"/>
    </row>
    <row r="66" spans="2:11" s="163" customFormat="1" ht="15" customHeight="1" x14ac:dyDescent="0.3">
      <c r="B66" s="149">
        <v>8</v>
      </c>
      <c r="C66" s="392" t="s">
        <v>149</v>
      </c>
      <c r="D66" s="392"/>
      <c r="E66" s="392"/>
      <c r="F66" s="392"/>
      <c r="G66" s="392"/>
      <c r="H66" s="162"/>
      <c r="I66" s="425"/>
      <c r="J66" s="426"/>
      <c r="K66" s="427"/>
    </row>
    <row r="67" spans="2:11" s="29" customFormat="1" ht="15" customHeight="1" x14ac:dyDescent="0.3">
      <c r="B67" s="51">
        <v>8.1</v>
      </c>
      <c r="C67" s="43" t="s">
        <v>150</v>
      </c>
      <c r="D67" s="19"/>
      <c r="E67" s="42"/>
      <c r="F67" s="37"/>
      <c r="G67" s="76">
        <f t="shared" ref="G67:G73" si="9">D67*F67</f>
        <v>0</v>
      </c>
      <c r="H67" s="60"/>
      <c r="I67" s="27"/>
      <c r="J67" s="77">
        <f t="shared" ref="J67:J73" si="10">G67-I67</f>
        <v>0</v>
      </c>
      <c r="K67" s="67"/>
    </row>
    <row r="68" spans="2:11" s="29" customFormat="1" ht="15" customHeight="1" x14ac:dyDescent="0.3">
      <c r="B68" s="51">
        <v>8.1999999999999993</v>
      </c>
      <c r="C68" s="43" t="s">
        <v>151</v>
      </c>
      <c r="D68" s="19"/>
      <c r="E68" s="42"/>
      <c r="F68" s="37"/>
      <c r="G68" s="76">
        <f t="shared" si="9"/>
        <v>0</v>
      </c>
      <c r="H68" s="60"/>
      <c r="I68" s="27"/>
      <c r="J68" s="77">
        <f t="shared" si="10"/>
        <v>0</v>
      </c>
      <c r="K68" s="67"/>
    </row>
    <row r="69" spans="2:11" s="29" customFormat="1" ht="15" customHeight="1" x14ac:dyDescent="0.3">
      <c r="B69" s="51">
        <v>8.3000000000000007</v>
      </c>
      <c r="C69" s="43" t="s">
        <v>152</v>
      </c>
      <c r="D69" s="19"/>
      <c r="E69" s="42"/>
      <c r="F69" s="37"/>
      <c r="G69" s="76">
        <f t="shared" si="9"/>
        <v>0</v>
      </c>
      <c r="H69" s="60"/>
      <c r="I69" s="27"/>
      <c r="J69" s="77">
        <f t="shared" si="10"/>
        <v>0</v>
      </c>
      <c r="K69" s="67"/>
    </row>
    <row r="70" spans="2:11" s="29" customFormat="1" ht="15" customHeight="1" x14ac:dyDescent="0.3">
      <c r="B70" s="51">
        <v>8.4</v>
      </c>
      <c r="C70" s="43" t="s">
        <v>153</v>
      </c>
      <c r="D70" s="19"/>
      <c r="E70" s="42"/>
      <c r="F70" s="37"/>
      <c r="G70" s="76">
        <f t="shared" si="9"/>
        <v>0</v>
      </c>
      <c r="H70" s="60"/>
      <c r="I70" s="27"/>
      <c r="J70" s="77">
        <f t="shared" si="10"/>
        <v>0</v>
      </c>
      <c r="K70" s="67"/>
    </row>
    <row r="71" spans="2:11" s="29" customFormat="1" ht="15" customHeight="1" x14ac:dyDescent="0.3">
      <c r="B71" s="51">
        <v>8.5</v>
      </c>
      <c r="C71" s="43" t="s">
        <v>154</v>
      </c>
      <c r="D71" s="19"/>
      <c r="E71" s="42"/>
      <c r="F71" s="37"/>
      <c r="G71" s="76">
        <f t="shared" si="9"/>
        <v>0</v>
      </c>
      <c r="H71" s="60"/>
      <c r="I71" s="27"/>
      <c r="J71" s="77">
        <f t="shared" si="10"/>
        <v>0</v>
      </c>
      <c r="K71" s="67"/>
    </row>
    <row r="72" spans="2:11" s="29" customFormat="1" ht="15" customHeight="1" x14ac:dyDescent="0.3">
      <c r="B72" s="51">
        <v>8.6</v>
      </c>
      <c r="C72" s="43" t="s">
        <v>156</v>
      </c>
      <c r="D72" s="19"/>
      <c r="E72" s="42"/>
      <c r="F72" s="37"/>
      <c r="G72" s="76">
        <f t="shared" si="9"/>
        <v>0</v>
      </c>
      <c r="H72" s="60"/>
      <c r="I72" s="27"/>
      <c r="J72" s="77">
        <f t="shared" si="10"/>
        <v>0</v>
      </c>
      <c r="K72" s="67"/>
    </row>
    <row r="73" spans="2:11" s="29" customFormat="1" ht="15" customHeight="1" x14ac:dyDescent="0.3">
      <c r="B73" s="51">
        <v>8.6999999999999993</v>
      </c>
      <c r="C73" s="43" t="s">
        <v>157</v>
      </c>
      <c r="D73" s="19"/>
      <c r="E73" s="42"/>
      <c r="F73" s="37"/>
      <c r="G73" s="76">
        <f t="shared" si="9"/>
        <v>0</v>
      </c>
      <c r="H73" s="60"/>
      <c r="I73" s="27"/>
      <c r="J73" s="77">
        <f t="shared" si="10"/>
        <v>0</v>
      </c>
      <c r="K73" s="67"/>
    </row>
    <row r="74" spans="2:11" s="29" customFormat="1" ht="15" customHeight="1" thickBot="1" x14ac:dyDescent="0.35">
      <c r="B74" s="51"/>
      <c r="C74" s="43"/>
      <c r="D74" s="20"/>
      <c r="E74" s="44"/>
      <c r="F74" s="38"/>
      <c r="G74" s="85"/>
      <c r="H74" s="60"/>
      <c r="I74" s="28"/>
      <c r="J74" s="86"/>
      <c r="K74" s="68"/>
    </row>
    <row r="75" spans="2:11" s="29" customFormat="1" ht="15" customHeight="1" thickTop="1" thickBot="1" x14ac:dyDescent="0.35">
      <c r="B75" s="396" t="s">
        <v>80</v>
      </c>
      <c r="C75" s="397"/>
      <c r="D75" s="397"/>
      <c r="E75" s="397"/>
      <c r="F75" s="397"/>
      <c r="G75" s="33">
        <f>SUM(G67:G74)</f>
        <v>0</v>
      </c>
      <c r="H75" s="62"/>
      <c r="I75" s="80">
        <f>SUM(I67:I74)</f>
        <v>0</v>
      </c>
      <c r="J75" s="81">
        <f>SUM(J67:J74)</f>
        <v>0</v>
      </c>
      <c r="K75" s="70"/>
    </row>
    <row r="76" spans="2:11" s="163" customFormat="1" ht="15" customHeight="1" x14ac:dyDescent="0.3">
      <c r="B76" s="149">
        <v>9</v>
      </c>
      <c r="C76" s="392" t="s">
        <v>158</v>
      </c>
      <c r="D76" s="392"/>
      <c r="E76" s="392"/>
      <c r="F76" s="392"/>
      <c r="G76" s="392"/>
      <c r="H76" s="162"/>
      <c r="I76" s="425"/>
      <c r="J76" s="426"/>
      <c r="K76" s="427"/>
    </row>
    <row r="77" spans="2:11" s="29" customFormat="1" ht="15" customHeight="1" x14ac:dyDescent="0.3">
      <c r="B77" s="51">
        <v>9.1</v>
      </c>
      <c r="C77" s="43" t="s">
        <v>159</v>
      </c>
      <c r="D77" s="19"/>
      <c r="E77" s="42"/>
      <c r="F77" s="37"/>
      <c r="G77" s="76">
        <f>D77*F77</f>
        <v>0</v>
      </c>
      <c r="H77" s="60"/>
      <c r="I77" s="27"/>
      <c r="J77" s="77">
        <f>G77-I77</f>
        <v>0</v>
      </c>
      <c r="K77" s="67"/>
    </row>
    <row r="78" spans="2:11" s="29" customFormat="1" ht="15" customHeight="1" x14ac:dyDescent="0.3">
      <c r="B78" s="51">
        <v>9.1999999999999993</v>
      </c>
      <c r="C78" s="43" t="s">
        <v>160</v>
      </c>
      <c r="D78" s="19"/>
      <c r="E78" s="42"/>
      <c r="F78" s="37"/>
      <c r="G78" s="76">
        <f>D78*F78</f>
        <v>0</v>
      </c>
      <c r="H78" s="60"/>
      <c r="I78" s="27"/>
      <c r="J78" s="77">
        <f>G78-I78</f>
        <v>0</v>
      </c>
      <c r="K78" s="67"/>
    </row>
    <row r="79" spans="2:11" s="29" customFormat="1" ht="15" customHeight="1" x14ac:dyDescent="0.3">
      <c r="B79" s="51">
        <v>9.3000000000000007</v>
      </c>
      <c r="C79" s="43" t="s">
        <v>161</v>
      </c>
      <c r="D79" s="19"/>
      <c r="E79" s="42"/>
      <c r="F79" s="37"/>
      <c r="G79" s="76">
        <f>D79*F79</f>
        <v>0</v>
      </c>
      <c r="H79" s="60"/>
      <c r="I79" s="27"/>
      <c r="J79" s="77">
        <f>G79-I79</f>
        <v>0</v>
      </c>
      <c r="K79" s="67"/>
    </row>
    <row r="80" spans="2:11" s="29" customFormat="1" ht="15" customHeight="1" x14ac:dyDescent="0.3">
      <c r="B80" s="51">
        <v>9.4</v>
      </c>
      <c r="C80" s="43" t="s">
        <v>162</v>
      </c>
      <c r="D80" s="19"/>
      <c r="E80" s="42"/>
      <c r="F80" s="37"/>
      <c r="G80" s="76">
        <f>D80*F80</f>
        <v>0</v>
      </c>
      <c r="H80" s="60"/>
      <c r="I80" s="27"/>
      <c r="J80" s="77">
        <f>G80-I80</f>
        <v>0</v>
      </c>
      <c r="K80" s="67"/>
    </row>
    <row r="81" spans="2:11" s="29" customFormat="1" ht="15" customHeight="1" thickBot="1" x14ac:dyDescent="0.35">
      <c r="B81" s="51"/>
      <c r="C81" s="43"/>
      <c r="D81" s="20"/>
      <c r="E81" s="44"/>
      <c r="F81" s="38"/>
      <c r="G81" s="85"/>
      <c r="H81" s="60"/>
      <c r="I81" s="28"/>
      <c r="J81" s="86"/>
      <c r="K81" s="68"/>
    </row>
    <row r="82" spans="2:11" s="29" customFormat="1" ht="15" customHeight="1" thickTop="1" thickBot="1" x14ac:dyDescent="0.35">
      <c r="B82" s="396" t="s">
        <v>80</v>
      </c>
      <c r="C82" s="397"/>
      <c r="D82" s="397"/>
      <c r="E82" s="397"/>
      <c r="F82" s="397"/>
      <c r="G82" s="33">
        <f>SUM(G77:G81)</f>
        <v>0</v>
      </c>
      <c r="H82" s="62"/>
      <c r="I82" s="80">
        <f>SUM(I77:I81)</f>
        <v>0</v>
      </c>
      <c r="J82" s="81">
        <f>SUM(J77:J81)</f>
        <v>0</v>
      </c>
      <c r="K82" s="70"/>
    </row>
    <row r="83" spans="2:11" s="163" customFormat="1" ht="15" customHeight="1" x14ac:dyDescent="0.3">
      <c r="B83" s="149">
        <v>10</v>
      </c>
      <c r="C83" s="392" t="s">
        <v>163</v>
      </c>
      <c r="D83" s="392"/>
      <c r="E83" s="392"/>
      <c r="F83" s="392"/>
      <c r="G83" s="392"/>
      <c r="H83" s="150"/>
      <c r="I83" s="425"/>
      <c r="J83" s="426"/>
      <c r="K83" s="427"/>
    </row>
    <row r="84" spans="2:11" s="29" customFormat="1" ht="15" customHeight="1" x14ac:dyDescent="0.3">
      <c r="B84" s="51">
        <v>10.1</v>
      </c>
      <c r="C84" s="43" t="s">
        <v>164</v>
      </c>
      <c r="D84" s="19"/>
      <c r="E84" s="42"/>
      <c r="F84" s="37"/>
      <c r="G84" s="76">
        <f t="shared" ref="G84:G96" si="11">D84*F84</f>
        <v>0</v>
      </c>
      <c r="H84" s="60"/>
      <c r="I84" s="27"/>
      <c r="J84" s="77">
        <f t="shared" ref="J84:J96" si="12">G84-I84</f>
        <v>0</v>
      </c>
      <c r="K84" s="67"/>
    </row>
    <row r="85" spans="2:11" s="29" customFormat="1" ht="15" customHeight="1" x14ac:dyDescent="0.3">
      <c r="B85" s="51">
        <v>10.199999999999999</v>
      </c>
      <c r="C85" s="43" t="s">
        <v>165</v>
      </c>
      <c r="D85" s="19"/>
      <c r="E85" s="42"/>
      <c r="F85" s="37"/>
      <c r="G85" s="76">
        <f t="shared" si="11"/>
        <v>0</v>
      </c>
      <c r="H85" s="60"/>
      <c r="I85" s="27"/>
      <c r="J85" s="77">
        <f t="shared" si="12"/>
        <v>0</v>
      </c>
      <c r="K85" s="67"/>
    </row>
    <row r="86" spans="2:11" s="29" customFormat="1" ht="15" customHeight="1" x14ac:dyDescent="0.3">
      <c r="B86" s="51">
        <v>10.3</v>
      </c>
      <c r="C86" s="43" t="s">
        <v>166</v>
      </c>
      <c r="D86" s="19"/>
      <c r="E86" s="42"/>
      <c r="F86" s="37"/>
      <c r="G86" s="76">
        <f t="shared" si="11"/>
        <v>0</v>
      </c>
      <c r="H86" s="60"/>
      <c r="I86" s="27"/>
      <c r="J86" s="77">
        <f t="shared" si="12"/>
        <v>0</v>
      </c>
      <c r="K86" s="67"/>
    </row>
    <row r="87" spans="2:11" s="29" customFormat="1" ht="15" customHeight="1" x14ac:dyDescent="0.3">
      <c r="B87" s="51">
        <v>10.4</v>
      </c>
      <c r="C87" s="43" t="s">
        <v>167</v>
      </c>
      <c r="D87" s="19"/>
      <c r="E87" s="42"/>
      <c r="F87" s="37"/>
      <c r="G87" s="76">
        <f t="shared" si="11"/>
        <v>0</v>
      </c>
      <c r="H87" s="60"/>
      <c r="I87" s="27"/>
      <c r="J87" s="77">
        <f t="shared" si="12"/>
        <v>0</v>
      </c>
      <c r="K87" s="67"/>
    </row>
    <row r="88" spans="2:11" s="29" customFormat="1" ht="15" customHeight="1" x14ac:dyDescent="0.3">
      <c r="B88" s="51">
        <v>10.5</v>
      </c>
      <c r="C88" s="43" t="s">
        <v>168</v>
      </c>
      <c r="D88" s="19"/>
      <c r="E88" s="42"/>
      <c r="F88" s="37"/>
      <c r="G88" s="76">
        <f t="shared" si="11"/>
        <v>0</v>
      </c>
      <c r="H88" s="60"/>
      <c r="I88" s="27"/>
      <c r="J88" s="77">
        <f t="shared" si="12"/>
        <v>0</v>
      </c>
      <c r="K88" s="67"/>
    </row>
    <row r="89" spans="2:11" s="29" customFormat="1" ht="15" customHeight="1" x14ac:dyDescent="0.3">
      <c r="B89" s="51">
        <v>10.6</v>
      </c>
      <c r="C89" s="43" t="s">
        <v>169</v>
      </c>
      <c r="D89" s="19"/>
      <c r="E89" s="42"/>
      <c r="F89" s="37"/>
      <c r="G89" s="76">
        <f t="shared" si="11"/>
        <v>0</v>
      </c>
      <c r="H89" s="60"/>
      <c r="I89" s="27"/>
      <c r="J89" s="77">
        <f t="shared" si="12"/>
        <v>0</v>
      </c>
      <c r="K89" s="67"/>
    </row>
    <row r="90" spans="2:11" s="73" customFormat="1" ht="15" customHeight="1" x14ac:dyDescent="0.3">
      <c r="B90" s="51">
        <v>10.7</v>
      </c>
      <c r="C90" s="43" t="s">
        <v>170</v>
      </c>
      <c r="D90" s="19"/>
      <c r="E90" s="42"/>
      <c r="F90" s="37"/>
      <c r="G90" s="76">
        <f t="shared" si="11"/>
        <v>0</v>
      </c>
      <c r="H90" s="60"/>
      <c r="I90" s="27"/>
      <c r="J90" s="77">
        <f t="shared" si="12"/>
        <v>0</v>
      </c>
      <c r="K90" s="67"/>
    </row>
    <row r="91" spans="2:11" s="29" customFormat="1" ht="15" customHeight="1" x14ac:dyDescent="0.3">
      <c r="B91" s="51">
        <v>10.8</v>
      </c>
      <c r="C91" s="43" t="s">
        <v>171</v>
      </c>
      <c r="D91" s="19"/>
      <c r="E91" s="42"/>
      <c r="F91" s="37"/>
      <c r="G91" s="76">
        <f t="shared" si="11"/>
        <v>0</v>
      </c>
      <c r="H91" s="60"/>
      <c r="I91" s="27"/>
      <c r="J91" s="77">
        <f t="shared" si="12"/>
        <v>0</v>
      </c>
      <c r="K91" s="67"/>
    </row>
    <row r="92" spans="2:11" s="73" customFormat="1" ht="15" customHeight="1" x14ac:dyDescent="0.3">
      <c r="B92" s="51">
        <v>10.9</v>
      </c>
      <c r="C92" s="43" t="s">
        <v>172</v>
      </c>
      <c r="D92" s="19"/>
      <c r="E92" s="42"/>
      <c r="F92" s="37"/>
      <c r="G92" s="76">
        <f t="shared" si="11"/>
        <v>0</v>
      </c>
      <c r="H92" s="60"/>
      <c r="I92" s="27"/>
      <c r="J92" s="77">
        <f t="shared" si="12"/>
        <v>0</v>
      </c>
      <c r="K92" s="67"/>
    </row>
    <row r="93" spans="2:11" s="29" customFormat="1" ht="15" customHeight="1" x14ac:dyDescent="0.3">
      <c r="B93" s="24">
        <v>10.1</v>
      </c>
      <c r="C93" s="43" t="s">
        <v>173</v>
      </c>
      <c r="D93" s="19"/>
      <c r="E93" s="42"/>
      <c r="F93" s="37"/>
      <c r="G93" s="76">
        <f t="shared" si="11"/>
        <v>0</v>
      </c>
      <c r="H93" s="60"/>
      <c r="I93" s="27"/>
      <c r="J93" s="77">
        <f t="shared" si="12"/>
        <v>0</v>
      </c>
      <c r="K93" s="67"/>
    </row>
    <row r="94" spans="2:11" s="29" customFormat="1" ht="15" customHeight="1" x14ac:dyDescent="0.3">
      <c r="B94" s="24">
        <v>10.11</v>
      </c>
      <c r="C94" s="43" t="s">
        <v>174</v>
      </c>
      <c r="D94" s="19"/>
      <c r="E94" s="42"/>
      <c r="F94" s="37"/>
      <c r="G94" s="76">
        <f t="shared" si="11"/>
        <v>0</v>
      </c>
      <c r="H94" s="60"/>
      <c r="I94" s="27"/>
      <c r="J94" s="77">
        <f t="shared" si="12"/>
        <v>0</v>
      </c>
      <c r="K94" s="67" t="s">
        <v>175</v>
      </c>
    </row>
    <row r="95" spans="2:11" s="29" customFormat="1" ht="15" customHeight="1" x14ac:dyDescent="0.3">
      <c r="B95" s="24">
        <v>10.119999999999999</v>
      </c>
      <c r="C95" s="43" t="s">
        <v>176</v>
      </c>
      <c r="D95" s="19"/>
      <c r="E95" s="42"/>
      <c r="F95" s="37"/>
      <c r="G95" s="76">
        <f t="shared" si="11"/>
        <v>0</v>
      </c>
      <c r="H95" s="60"/>
      <c r="I95" s="27"/>
      <c r="J95" s="77">
        <f t="shared" si="12"/>
        <v>0</v>
      </c>
      <c r="K95" s="67"/>
    </row>
    <row r="96" spans="2:11" s="29" customFormat="1" ht="15" customHeight="1" x14ac:dyDescent="0.3">
      <c r="B96" s="24">
        <v>10.130000000000001</v>
      </c>
      <c r="C96" s="43" t="s">
        <v>177</v>
      </c>
      <c r="D96" s="19"/>
      <c r="E96" s="42"/>
      <c r="F96" s="37"/>
      <c r="G96" s="76">
        <f t="shared" si="11"/>
        <v>0</v>
      </c>
      <c r="H96" s="60"/>
      <c r="I96" s="27"/>
      <c r="J96" s="77">
        <f t="shared" si="12"/>
        <v>0</v>
      </c>
      <c r="K96" s="67"/>
    </row>
    <row r="97" spans="2:11" s="29" customFormat="1" ht="15" customHeight="1" thickBot="1" x14ac:dyDescent="0.35">
      <c r="B97" s="51"/>
      <c r="C97" s="43"/>
      <c r="D97" s="20"/>
      <c r="E97" s="44"/>
      <c r="F97" s="38"/>
      <c r="G97" s="85"/>
      <c r="H97" s="60"/>
      <c r="I97" s="28"/>
      <c r="J97" s="86"/>
      <c r="K97" s="68"/>
    </row>
    <row r="98" spans="2:11" s="73" customFormat="1" ht="15" customHeight="1" thickTop="1" thickBot="1" x14ac:dyDescent="0.35">
      <c r="B98" s="396" t="s">
        <v>80</v>
      </c>
      <c r="C98" s="397"/>
      <c r="D98" s="397"/>
      <c r="E98" s="397"/>
      <c r="F98" s="397"/>
      <c r="G98" s="33">
        <f>SUM(G84:G97)</f>
        <v>0</v>
      </c>
      <c r="H98" s="62"/>
      <c r="I98" s="80">
        <f>SUM(I84:I97)</f>
        <v>0</v>
      </c>
      <c r="J98" s="81">
        <f>SUM(J84:J97)</f>
        <v>0</v>
      </c>
      <c r="K98" s="70"/>
    </row>
    <row r="99" spans="2:11" s="165" customFormat="1" ht="15" customHeight="1" x14ac:dyDescent="0.3">
      <c r="B99" s="149">
        <v>11</v>
      </c>
      <c r="C99" s="392" t="s">
        <v>178</v>
      </c>
      <c r="D99" s="392"/>
      <c r="E99" s="392"/>
      <c r="F99" s="392"/>
      <c r="G99" s="392"/>
      <c r="H99" s="162"/>
      <c r="I99" s="425"/>
      <c r="J99" s="426"/>
      <c r="K99" s="427"/>
    </row>
    <row r="100" spans="2:11" s="73" customFormat="1" ht="15" customHeight="1" x14ac:dyDescent="0.3">
      <c r="B100" s="51">
        <v>11.1</v>
      </c>
      <c r="C100" s="43" t="s">
        <v>179</v>
      </c>
      <c r="D100" s="19"/>
      <c r="E100" s="42"/>
      <c r="F100" s="37"/>
      <c r="G100" s="76">
        <f>D100*F100</f>
        <v>0</v>
      </c>
      <c r="H100" s="60"/>
      <c r="I100" s="27"/>
      <c r="J100" s="77">
        <f>G100-I100</f>
        <v>0</v>
      </c>
      <c r="K100" s="67"/>
    </row>
    <row r="101" spans="2:11" s="29" customFormat="1" ht="15" customHeight="1" x14ac:dyDescent="0.3">
      <c r="B101" s="51">
        <v>11.2</v>
      </c>
      <c r="C101" s="43" t="s">
        <v>180</v>
      </c>
      <c r="D101" s="19"/>
      <c r="E101" s="42"/>
      <c r="F101" s="37"/>
      <c r="G101" s="76">
        <f>D101*F101</f>
        <v>0</v>
      </c>
      <c r="H101" s="60"/>
      <c r="I101" s="27"/>
      <c r="J101" s="77">
        <f>G101-I101</f>
        <v>0</v>
      </c>
      <c r="K101" s="67"/>
    </row>
    <row r="102" spans="2:11" s="29" customFormat="1" ht="15" customHeight="1" thickBot="1" x14ac:dyDescent="0.35">
      <c r="B102" s="51"/>
      <c r="C102" s="43"/>
      <c r="D102" s="20"/>
      <c r="E102" s="44"/>
      <c r="F102" s="38"/>
      <c r="G102" s="85"/>
      <c r="H102" s="60"/>
      <c r="I102" s="28"/>
      <c r="J102" s="86"/>
      <c r="K102" s="68"/>
    </row>
    <row r="103" spans="2:11" s="73" customFormat="1" ht="15" customHeight="1" thickTop="1" thickBot="1" x14ac:dyDescent="0.35">
      <c r="B103" s="396" t="s">
        <v>80</v>
      </c>
      <c r="C103" s="397"/>
      <c r="D103" s="397"/>
      <c r="E103" s="397"/>
      <c r="F103" s="397"/>
      <c r="G103" s="33">
        <f>SUM(G100:G102)</f>
        <v>0</v>
      </c>
      <c r="H103" s="62"/>
      <c r="I103" s="80">
        <f>SUM(I100:I102)</f>
        <v>0</v>
      </c>
      <c r="J103" s="81">
        <f>SUM(J100:J102)</f>
        <v>0</v>
      </c>
      <c r="K103" s="70"/>
    </row>
    <row r="104" spans="2:11" s="165" customFormat="1" ht="15" customHeight="1" x14ac:dyDescent="0.3">
      <c r="B104" s="149">
        <v>12</v>
      </c>
      <c r="C104" s="392" t="s">
        <v>181</v>
      </c>
      <c r="D104" s="392"/>
      <c r="E104" s="392"/>
      <c r="F104" s="392"/>
      <c r="G104" s="392"/>
      <c r="H104" s="162"/>
      <c r="I104" s="425"/>
      <c r="J104" s="426"/>
      <c r="K104" s="427"/>
    </row>
    <row r="105" spans="2:11" s="29" customFormat="1" ht="15" customHeight="1" x14ac:dyDescent="0.3">
      <c r="B105" s="51">
        <v>14.1</v>
      </c>
      <c r="C105" s="43" t="s">
        <v>182</v>
      </c>
      <c r="D105" s="19"/>
      <c r="E105" s="42"/>
      <c r="F105" s="37"/>
      <c r="G105" s="76">
        <f t="shared" ref="G105:G107" si="13">D105*F105</f>
        <v>0</v>
      </c>
      <c r="H105" s="60"/>
      <c r="I105" s="27"/>
      <c r="J105" s="77">
        <f>G105-I105</f>
        <v>0</v>
      </c>
      <c r="K105" s="67"/>
    </row>
    <row r="106" spans="2:11" s="29" customFormat="1" ht="15" customHeight="1" x14ac:dyDescent="0.3">
      <c r="B106" s="51">
        <v>14.2</v>
      </c>
      <c r="C106" s="43" t="s">
        <v>183</v>
      </c>
      <c r="D106" s="19"/>
      <c r="E106" s="42"/>
      <c r="F106" s="37"/>
      <c r="G106" s="76">
        <f t="shared" si="13"/>
        <v>0</v>
      </c>
      <c r="H106" s="60"/>
      <c r="I106" s="27"/>
      <c r="J106" s="77">
        <f>G106-I106</f>
        <v>0</v>
      </c>
      <c r="K106" s="67"/>
    </row>
    <row r="107" spans="2:11" s="29" customFormat="1" ht="15" customHeight="1" x14ac:dyDescent="0.3">
      <c r="B107" s="51">
        <v>14.6</v>
      </c>
      <c r="C107" s="43" t="s">
        <v>186</v>
      </c>
      <c r="D107" s="19"/>
      <c r="E107" s="42"/>
      <c r="F107" s="37"/>
      <c r="G107" s="76">
        <f t="shared" si="13"/>
        <v>0</v>
      </c>
      <c r="H107" s="60"/>
      <c r="I107" s="27"/>
      <c r="J107" s="77">
        <f>G107-I107</f>
        <v>0</v>
      </c>
      <c r="K107" s="67"/>
    </row>
    <row r="108" spans="2:11" s="29" customFormat="1" ht="15" customHeight="1" thickBot="1" x14ac:dyDescent="0.35">
      <c r="B108" s="51"/>
      <c r="C108" s="43"/>
      <c r="D108" s="20"/>
      <c r="E108" s="44"/>
      <c r="F108" s="38"/>
      <c r="G108" s="85"/>
      <c r="H108" s="60"/>
      <c r="I108" s="28"/>
      <c r="J108" s="86"/>
      <c r="K108" s="68"/>
    </row>
    <row r="109" spans="2:11" s="29" customFormat="1" ht="15" customHeight="1" thickTop="1" thickBot="1" x14ac:dyDescent="0.35">
      <c r="B109" s="396" t="s">
        <v>80</v>
      </c>
      <c r="C109" s="397"/>
      <c r="D109" s="397"/>
      <c r="E109" s="397"/>
      <c r="F109" s="397"/>
      <c r="G109" s="33">
        <f>SUM(G105:G108)</f>
        <v>0</v>
      </c>
      <c r="H109" s="62"/>
      <c r="I109" s="80">
        <f>SUM(I105:I108)</f>
        <v>0</v>
      </c>
      <c r="J109" s="81">
        <f>SUM(J105:J108)</f>
        <v>0</v>
      </c>
      <c r="K109" s="70"/>
    </row>
    <row r="110" spans="2:11" s="163" customFormat="1" ht="15" customHeight="1" x14ac:dyDescent="0.3">
      <c r="B110" s="149">
        <v>13</v>
      </c>
      <c r="C110" s="392" t="s">
        <v>187</v>
      </c>
      <c r="D110" s="392"/>
      <c r="E110" s="392"/>
      <c r="F110" s="392"/>
      <c r="G110" s="392"/>
      <c r="H110" s="162"/>
      <c r="I110" s="425"/>
      <c r="J110" s="426"/>
      <c r="K110" s="427"/>
    </row>
    <row r="111" spans="2:11" s="29" customFormat="1" ht="15" customHeight="1" x14ac:dyDescent="0.3">
      <c r="B111" s="51">
        <v>13.1</v>
      </c>
      <c r="C111" s="43" t="s">
        <v>188</v>
      </c>
      <c r="D111" s="19"/>
      <c r="E111" s="42"/>
      <c r="F111" s="37"/>
      <c r="G111" s="76">
        <f>D111*F111</f>
        <v>0</v>
      </c>
      <c r="H111" s="60"/>
      <c r="I111" s="27"/>
      <c r="J111" s="77">
        <f>G111-I111</f>
        <v>0</v>
      </c>
      <c r="K111" s="67"/>
    </row>
    <row r="112" spans="2:11" s="29" customFormat="1" ht="15" customHeight="1" x14ac:dyDescent="0.3">
      <c r="B112" s="52">
        <v>13.2</v>
      </c>
      <c r="C112" s="468" t="s">
        <v>189</v>
      </c>
      <c r="D112" s="469"/>
      <c r="E112" s="469"/>
      <c r="F112" s="469"/>
      <c r="G112" s="469"/>
      <c r="H112" s="470"/>
      <c r="I112" s="462"/>
      <c r="J112" s="463"/>
      <c r="K112" s="464"/>
    </row>
    <row r="113" spans="2:11" s="29" customFormat="1" ht="15" customHeight="1" x14ac:dyDescent="0.3">
      <c r="B113" s="51" t="s">
        <v>190</v>
      </c>
      <c r="C113" s="43" t="s">
        <v>191</v>
      </c>
      <c r="D113" s="19"/>
      <c r="E113" s="42"/>
      <c r="F113" s="37"/>
      <c r="G113" s="76">
        <f t="shared" ref="G113:G119" si="14">D113*F113</f>
        <v>0</v>
      </c>
      <c r="H113" s="60"/>
      <c r="I113" s="27"/>
      <c r="J113" s="77">
        <f t="shared" ref="J113:J119" si="15">G113-I113</f>
        <v>0</v>
      </c>
      <c r="K113" s="67"/>
    </row>
    <row r="114" spans="2:11" s="29" customFormat="1" ht="15" customHeight="1" x14ac:dyDescent="0.3">
      <c r="B114" s="51" t="s">
        <v>192</v>
      </c>
      <c r="C114" s="43" t="s">
        <v>193</v>
      </c>
      <c r="D114" s="19"/>
      <c r="E114" s="42"/>
      <c r="F114" s="37"/>
      <c r="G114" s="76">
        <f t="shared" si="14"/>
        <v>0</v>
      </c>
      <c r="H114" s="60"/>
      <c r="I114" s="27"/>
      <c r="J114" s="77">
        <f t="shared" si="15"/>
        <v>0</v>
      </c>
      <c r="K114" s="67"/>
    </row>
    <row r="115" spans="2:11" s="29" customFormat="1" ht="15" customHeight="1" x14ac:dyDescent="0.3">
      <c r="B115" s="51" t="s">
        <v>194</v>
      </c>
      <c r="C115" s="43" t="s">
        <v>195</v>
      </c>
      <c r="D115" s="19"/>
      <c r="E115" s="42"/>
      <c r="F115" s="37"/>
      <c r="G115" s="76">
        <f t="shared" si="14"/>
        <v>0</v>
      </c>
      <c r="H115" s="60"/>
      <c r="I115" s="27"/>
      <c r="J115" s="77">
        <f t="shared" si="15"/>
        <v>0</v>
      </c>
      <c r="K115" s="67"/>
    </row>
    <row r="116" spans="2:11" s="29" customFormat="1" ht="15" customHeight="1" x14ac:dyDescent="0.3">
      <c r="B116" s="51">
        <v>13.3</v>
      </c>
      <c r="C116" s="43" t="s">
        <v>196</v>
      </c>
      <c r="D116" s="19"/>
      <c r="E116" s="42"/>
      <c r="F116" s="37"/>
      <c r="G116" s="76">
        <f t="shared" si="14"/>
        <v>0</v>
      </c>
      <c r="H116" s="60"/>
      <c r="I116" s="27"/>
      <c r="J116" s="77">
        <f t="shared" si="15"/>
        <v>0</v>
      </c>
      <c r="K116" s="67"/>
    </row>
    <row r="117" spans="2:11" s="29" customFormat="1" ht="15" customHeight="1" x14ac:dyDescent="0.3">
      <c r="B117" s="51">
        <v>13.4</v>
      </c>
      <c r="C117" s="43" t="s">
        <v>197</v>
      </c>
      <c r="D117" s="19"/>
      <c r="E117" s="42"/>
      <c r="F117" s="37"/>
      <c r="G117" s="76">
        <f t="shared" si="14"/>
        <v>0</v>
      </c>
      <c r="H117" s="60"/>
      <c r="I117" s="27"/>
      <c r="J117" s="77">
        <f t="shared" si="15"/>
        <v>0</v>
      </c>
      <c r="K117" s="67"/>
    </row>
    <row r="118" spans="2:11" s="29" customFormat="1" ht="15" customHeight="1" x14ac:dyDescent="0.3">
      <c r="B118" s="51">
        <v>13.5</v>
      </c>
      <c r="C118" s="43" t="s">
        <v>199</v>
      </c>
      <c r="D118" s="19"/>
      <c r="E118" s="42"/>
      <c r="F118" s="37"/>
      <c r="G118" s="76">
        <f t="shared" si="14"/>
        <v>0</v>
      </c>
      <c r="H118" s="60"/>
      <c r="I118" s="27"/>
      <c r="J118" s="77">
        <f t="shared" si="15"/>
        <v>0</v>
      </c>
      <c r="K118" s="67"/>
    </row>
    <row r="119" spans="2:11" s="29" customFormat="1" ht="15" customHeight="1" x14ac:dyDescent="0.3">
      <c r="B119" s="51">
        <v>13.6</v>
      </c>
      <c r="C119" s="43" t="s">
        <v>200</v>
      </c>
      <c r="D119" s="19"/>
      <c r="E119" s="42"/>
      <c r="F119" s="37"/>
      <c r="G119" s="76">
        <f t="shared" si="14"/>
        <v>0</v>
      </c>
      <c r="H119" s="60"/>
      <c r="I119" s="27"/>
      <c r="J119" s="77">
        <f t="shared" si="15"/>
        <v>0</v>
      </c>
      <c r="K119" s="67"/>
    </row>
    <row r="120" spans="2:11" s="29" customFormat="1" ht="15" customHeight="1" thickBot="1" x14ac:dyDescent="0.35">
      <c r="B120" s="51"/>
      <c r="C120" s="43"/>
      <c r="D120" s="20"/>
      <c r="E120" s="44"/>
      <c r="F120" s="38"/>
      <c r="G120" s="85"/>
      <c r="H120" s="60"/>
      <c r="I120" s="28"/>
      <c r="J120" s="86"/>
      <c r="K120" s="68"/>
    </row>
    <row r="121" spans="2:11" s="29" customFormat="1" ht="15" customHeight="1" thickTop="1" thickBot="1" x14ac:dyDescent="0.35">
      <c r="B121" s="396" t="s">
        <v>80</v>
      </c>
      <c r="C121" s="397"/>
      <c r="D121" s="397"/>
      <c r="E121" s="397"/>
      <c r="F121" s="397"/>
      <c r="G121" s="33">
        <f>SUM(G111:G120)</f>
        <v>0</v>
      </c>
      <c r="H121" s="62"/>
      <c r="I121" s="80">
        <f>SUM(I111:I120)</f>
        <v>0</v>
      </c>
      <c r="J121" s="81">
        <f>SUM(J111:J120)</f>
        <v>0</v>
      </c>
      <c r="K121" s="70"/>
    </row>
    <row r="122" spans="2:11" s="163" customFormat="1" ht="15" customHeight="1" x14ac:dyDescent="0.3">
      <c r="B122" s="149">
        <v>14</v>
      </c>
      <c r="C122" s="392" t="s">
        <v>202</v>
      </c>
      <c r="D122" s="392"/>
      <c r="E122" s="392"/>
      <c r="F122" s="392"/>
      <c r="G122" s="392"/>
      <c r="H122" s="162"/>
      <c r="I122" s="425"/>
      <c r="J122" s="426"/>
      <c r="K122" s="427"/>
    </row>
    <row r="123" spans="2:11" s="29" customFormat="1" ht="15" customHeight="1" x14ac:dyDescent="0.3">
      <c r="B123" s="51">
        <v>14.1</v>
      </c>
      <c r="C123" s="43" t="s">
        <v>203</v>
      </c>
      <c r="D123" s="19"/>
      <c r="E123" s="42"/>
      <c r="F123" s="37"/>
      <c r="G123" s="76">
        <f t="shared" ref="G123:G132" si="16">D123*F123</f>
        <v>0</v>
      </c>
      <c r="H123" s="60"/>
      <c r="I123" s="27"/>
      <c r="J123" s="77">
        <f t="shared" ref="J123:J132" si="17">G123-I123</f>
        <v>0</v>
      </c>
      <c r="K123" s="67"/>
    </row>
    <row r="124" spans="2:11" s="29" customFormat="1" ht="15" customHeight="1" x14ac:dyDescent="0.3">
      <c r="B124" s="51">
        <v>14.2</v>
      </c>
      <c r="C124" s="43" t="s">
        <v>204</v>
      </c>
      <c r="D124" s="19"/>
      <c r="E124" s="42"/>
      <c r="F124" s="37"/>
      <c r="G124" s="76">
        <f t="shared" si="16"/>
        <v>0</v>
      </c>
      <c r="H124" s="60"/>
      <c r="I124" s="27"/>
      <c r="J124" s="77">
        <f t="shared" si="17"/>
        <v>0</v>
      </c>
      <c r="K124" s="67"/>
    </row>
    <row r="125" spans="2:11" s="29" customFormat="1" ht="15" customHeight="1" x14ac:dyDescent="0.3">
      <c r="B125" s="51">
        <v>14.3</v>
      </c>
      <c r="C125" s="43" t="s">
        <v>205</v>
      </c>
      <c r="D125" s="19"/>
      <c r="E125" s="42"/>
      <c r="F125" s="37"/>
      <c r="G125" s="76">
        <f t="shared" si="16"/>
        <v>0</v>
      </c>
      <c r="H125" s="60"/>
      <c r="I125" s="27"/>
      <c r="J125" s="77">
        <f t="shared" si="17"/>
        <v>0</v>
      </c>
      <c r="K125" s="67"/>
    </row>
    <row r="126" spans="2:11" s="29" customFormat="1" ht="15" customHeight="1" x14ac:dyDescent="0.3">
      <c r="B126" s="51">
        <v>14.4</v>
      </c>
      <c r="C126" s="43" t="s">
        <v>206</v>
      </c>
      <c r="D126" s="19"/>
      <c r="E126" s="42"/>
      <c r="F126" s="37"/>
      <c r="G126" s="76">
        <f t="shared" si="16"/>
        <v>0</v>
      </c>
      <c r="H126" s="60"/>
      <c r="I126" s="27"/>
      <c r="J126" s="77">
        <f t="shared" si="17"/>
        <v>0</v>
      </c>
      <c r="K126" s="67"/>
    </row>
    <row r="127" spans="2:11" s="29" customFormat="1" ht="15" customHeight="1" x14ac:dyDescent="0.3">
      <c r="B127" s="51">
        <v>14.5</v>
      </c>
      <c r="C127" s="43" t="s">
        <v>207</v>
      </c>
      <c r="D127" s="19"/>
      <c r="E127" s="42"/>
      <c r="F127" s="37"/>
      <c r="G127" s="76">
        <f t="shared" si="16"/>
        <v>0</v>
      </c>
      <c r="H127" s="60"/>
      <c r="I127" s="27"/>
      <c r="J127" s="77">
        <f t="shared" si="17"/>
        <v>0</v>
      </c>
      <c r="K127" s="67"/>
    </row>
    <row r="128" spans="2:11" s="29" customFormat="1" ht="15" customHeight="1" x14ac:dyDescent="0.3">
      <c r="B128" s="51">
        <v>14.6</v>
      </c>
      <c r="C128" s="43" t="s">
        <v>208</v>
      </c>
      <c r="D128" s="19"/>
      <c r="E128" s="42"/>
      <c r="F128" s="37"/>
      <c r="G128" s="76">
        <f t="shared" si="16"/>
        <v>0</v>
      </c>
      <c r="H128" s="60"/>
      <c r="I128" s="27"/>
      <c r="J128" s="77">
        <f t="shared" si="17"/>
        <v>0</v>
      </c>
      <c r="K128" s="67"/>
    </row>
    <row r="129" spans="2:11" s="29" customFormat="1" ht="15" customHeight="1" x14ac:dyDescent="0.3">
      <c r="B129" s="51">
        <v>14.7</v>
      </c>
      <c r="C129" s="43" t="s">
        <v>209</v>
      </c>
      <c r="D129" s="19"/>
      <c r="E129" s="42"/>
      <c r="F129" s="37"/>
      <c r="G129" s="76">
        <f t="shared" si="16"/>
        <v>0</v>
      </c>
      <c r="H129" s="60"/>
      <c r="I129" s="27"/>
      <c r="J129" s="77">
        <f t="shared" si="17"/>
        <v>0</v>
      </c>
      <c r="K129" s="67"/>
    </row>
    <row r="130" spans="2:11" s="29" customFormat="1" ht="15" customHeight="1" x14ac:dyDescent="0.3">
      <c r="B130" s="51">
        <v>14.8</v>
      </c>
      <c r="C130" s="43" t="s">
        <v>210</v>
      </c>
      <c r="D130" s="19"/>
      <c r="E130" s="42"/>
      <c r="F130" s="37"/>
      <c r="G130" s="76">
        <f t="shared" si="16"/>
        <v>0</v>
      </c>
      <c r="H130" s="60"/>
      <c r="I130" s="27"/>
      <c r="J130" s="77">
        <f t="shared" si="17"/>
        <v>0</v>
      </c>
      <c r="K130" s="67"/>
    </row>
    <row r="131" spans="2:11" s="29" customFormat="1" ht="15" customHeight="1" x14ac:dyDescent="0.3">
      <c r="B131" s="51">
        <v>14.9</v>
      </c>
      <c r="C131" s="43" t="s">
        <v>211</v>
      </c>
      <c r="D131" s="19"/>
      <c r="E131" s="42"/>
      <c r="F131" s="37"/>
      <c r="G131" s="76">
        <f t="shared" si="16"/>
        <v>0</v>
      </c>
      <c r="H131" s="60"/>
      <c r="I131" s="27"/>
      <c r="J131" s="77">
        <f t="shared" si="17"/>
        <v>0</v>
      </c>
      <c r="K131" s="67"/>
    </row>
    <row r="132" spans="2:11" s="29" customFormat="1" ht="15" customHeight="1" x14ac:dyDescent="0.3">
      <c r="B132" s="24">
        <v>14.1</v>
      </c>
      <c r="C132" s="43" t="s">
        <v>212</v>
      </c>
      <c r="D132" s="19"/>
      <c r="E132" s="42"/>
      <c r="F132" s="37"/>
      <c r="G132" s="76">
        <f t="shared" si="16"/>
        <v>0</v>
      </c>
      <c r="H132" s="60"/>
      <c r="I132" s="27"/>
      <c r="J132" s="77">
        <f t="shared" si="17"/>
        <v>0</v>
      </c>
      <c r="K132" s="67"/>
    </row>
    <row r="133" spans="2:11" s="29" customFormat="1" ht="15" customHeight="1" thickBot="1" x14ac:dyDescent="0.35">
      <c r="B133" s="51"/>
      <c r="C133" s="43"/>
      <c r="D133" s="20"/>
      <c r="E133" s="44"/>
      <c r="F133" s="38"/>
      <c r="G133" s="85"/>
      <c r="H133" s="60"/>
      <c r="I133" s="28"/>
      <c r="J133" s="86"/>
      <c r="K133" s="68"/>
    </row>
    <row r="134" spans="2:11" s="29" customFormat="1" ht="15" customHeight="1" thickTop="1" thickBot="1" x14ac:dyDescent="0.35">
      <c r="B134" s="396" t="s">
        <v>80</v>
      </c>
      <c r="C134" s="397"/>
      <c r="D134" s="397"/>
      <c r="E134" s="397"/>
      <c r="F134" s="397"/>
      <c r="G134" s="33">
        <f>SUM(G123:G133)</f>
        <v>0</v>
      </c>
      <c r="H134" s="62"/>
      <c r="I134" s="80">
        <f>SUM(I123:I133)</f>
        <v>0</v>
      </c>
      <c r="J134" s="81">
        <f>SUM(J123:J133)</f>
        <v>0</v>
      </c>
      <c r="K134" s="70"/>
    </row>
    <row r="135" spans="2:11" s="163" customFormat="1" ht="15" customHeight="1" x14ac:dyDescent="0.3">
      <c r="B135" s="149">
        <v>15</v>
      </c>
      <c r="C135" s="392" t="s">
        <v>213</v>
      </c>
      <c r="D135" s="392"/>
      <c r="E135" s="392"/>
      <c r="F135" s="392"/>
      <c r="G135" s="392"/>
      <c r="H135" s="162"/>
      <c r="I135" s="425"/>
      <c r="J135" s="426"/>
      <c r="K135" s="427"/>
    </row>
    <row r="136" spans="2:11" s="29" customFormat="1" ht="15" customHeight="1" x14ac:dyDescent="0.3">
      <c r="B136" s="51">
        <v>15.1</v>
      </c>
      <c r="C136" s="43" t="s">
        <v>214</v>
      </c>
      <c r="D136" s="19"/>
      <c r="E136" s="42"/>
      <c r="F136" s="37"/>
      <c r="G136" s="76">
        <f>D136*F136</f>
        <v>0</v>
      </c>
      <c r="H136" s="60"/>
      <c r="I136" s="27"/>
      <c r="J136" s="77">
        <f>G136-I136</f>
        <v>0</v>
      </c>
      <c r="K136" s="67"/>
    </row>
    <row r="137" spans="2:11" s="29" customFormat="1" ht="15" customHeight="1" x14ac:dyDescent="0.3">
      <c r="B137" s="51">
        <v>15.2</v>
      </c>
      <c r="C137" s="43" t="s">
        <v>215</v>
      </c>
      <c r="D137" s="19"/>
      <c r="E137" s="42"/>
      <c r="F137" s="37"/>
      <c r="G137" s="76">
        <f>D137*F137</f>
        <v>0</v>
      </c>
      <c r="H137" s="60"/>
      <c r="I137" s="27"/>
      <c r="J137" s="77">
        <f>G137-I137</f>
        <v>0</v>
      </c>
      <c r="K137" s="67"/>
    </row>
    <row r="138" spans="2:11" s="29" customFormat="1" ht="15" customHeight="1" x14ac:dyDescent="0.3">
      <c r="B138" s="51">
        <v>15.3</v>
      </c>
      <c r="C138" s="43" t="s">
        <v>212</v>
      </c>
      <c r="D138" s="19"/>
      <c r="E138" s="42"/>
      <c r="F138" s="37"/>
      <c r="G138" s="76">
        <f>D138*F138</f>
        <v>0</v>
      </c>
      <c r="H138" s="60"/>
      <c r="I138" s="27"/>
      <c r="J138" s="77">
        <f>G138-I138</f>
        <v>0</v>
      </c>
      <c r="K138" s="67"/>
    </row>
    <row r="139" spans="2:11" s="29" customFormat="1" ht="15" customHeight="1" thickBot="1" x14ac:dyDescent="0.35">
      <c r="B139" s="51"/>
      <c r="C139" s="43"/>
      <c r="D139" s="20"/>
      <c r="E139" s="44"/>
      <c r="F139" s="38"/>
      <c r="G139" s="85"/>
      <c r="H139" s="60"/>
      <c r="I139" s="28"/>
      <c r="J139" s="86"/>
      <c r="K139" s="68"/>
    </row>
    <row r="140" spans="2:11" s="29" customFormat="1" ht="15" customHeight="1" thickTop="1" thickBot="1" x14ac:dyDescent="0.35">
      <c r="B140" s="396" t="s">
        <v>80</v>
      </c>
      <c r="C140" s="397"/>
      <c r="D140" s="397"/>
      <c r="E140" s="397"/>
      <c r="F140" s="397"/>
      <c r="G140" s="33">
        <f>SUM(G136:G139)</f>
        <v>0</v>
      </c>
      <c r="H140" s="62"/>
      <c r="I140" s="80">
        <f>SUM(I136:I139)</f>
        <v>0</v>
      </c>
      <c r="J140" s="81">
        <f>SUM(J136:J139)</f>
        <v>0</v>
      </c>
      <c r="K140" s="70"/>
    </row>
    <row r="141" spans="2:11" s="163" customFormat="1" ht="15" customHeight="1" x14ac:dyDescent="0.3">
      <c r="B141" s="149">
        <v>16</v>
      </c>
      <c r="C141" s="392" t="s">
        <v>216</v>
      </c>
      <c r="D141" s="392"/>
      <c r="E141" s="392"/>
      <c r="F141" s="392"/>
      <c r="G141" s="392"/>
      <c r="H141" s="162"/>
      <c r="I141" s="425"/>
      <c r="J141" s="426"/>
      <c r="K141" s="427"/>
    </row>
    <row r="142" spans="2:11" s="29" customFormat="1" ht="15" customHeight="1" x14ac:dyDescent="0.3">
      <c r="B142" s="51">
        <v>16.100000000000001</v>
      </c>
      <c r="C142" s="43" t="s">
        <v>217</v>
      </c>
      <c r="D142" s="19"/>
      <c r="E142" s="42"/>
      <c r="F142" s="37"/>
      <c r="G142" s="76">
        <f t="shared" ref="G142:G145" si="18">D142*F142</f>
        <v>0</v>
      </c>
      <c r="H142" s="60"/>
      <c r="I142" s="27"/>
      <c r="J142" s="77">
        <f>G142-I142</f>
        <v>0</v>
      </c>
      <c r="K142" s="67"/>
    </row>
    <row r="143" spans="2:11" s="29" customFormat="1" ht="15" customHeight="1" x14ac:dyDescent="0.3">
      <c r="B143" s="51">
        <v>16.2</v>
      </c>
      <c r="C143" s="43" t="s">
        <v>218</v>
      </c>
      <c r="D143" s="19"/>
      <c r="E143" s="42"/>
      <c r="F143" s="37"/>
      <c r="G143" s="76">
        <f t="shared" si="18"/>
        <v>0</v>
      </c>
      <c r="H143" s="60"/>
      <c r="I143" s="27"/>
      <c r="J143" s="77">
        <f>G143-I143</f>
        <v>0</v>
      </c>
      <c r="K143" s="67"/>
    </row>
    <row r="144" spans="2:11" s="29" customFormat="1" ht="15" customHeight="1" x14ac:dyDescent="0.3">
      <c r="B144" s="51">
        <v>16.3</v>
      </c>
      <c r="C144" s="43" t="s">
        <v>221</v>
      </c>
      <c r="D144" s="19"/>
      <c r="E144" s="42"/>
      <c r="F144" s="37"/>
      <c r="G144" s="76">
        <f t="shared" si="18"/>
        <v>0</v>
      </c>
      <c r="H144" s="60"/>
      <c r="I144" s="27"/>
      <c r="J144" s="77">
        <f>G144-I144</f>
        <v>0</v>
      </c>
      <c r="K144" s="67"/>
    </row>
    <row r="145" spans="2:11" s="29" customFormat="1" ht="15" customHeight="1" x14ac:dyDescent="0.3">
      <c r="B145" s="51">
        <v>16.399999999999999</v>
      </c>
      <c r="C145" s="43" t="s">
        <v>223</v>
      </c>
      <c r="D145" s="19"/>
      <c r="E145" s="42"/>
      <c r="F145" s="37"/>
      <c r="G145" s="76">
        <f t="shared" si="18"/>
        <v>0</v>
      </c>
      <c r="H145" s="60"/>
      <c r="I145" s="27"/>
      <c r="J145" s="77">
        <f>G145-I145</f>
        <v>0</v>
      </c>
      <c r="K145" s="67"/>
    </row>
    <row r="146" spans="2:11" s="29" customFormat="1" ht="15" customHeight="1" thickBot="1" x14ac:dyDescent="0.35">
      <c r="B146" s="51"/>
      <c r="C146" s="43"/>
      <c r="D146" s="20"/>
      <c r="E146" s="44"/>
      <c r="F146" s="38"/>
      <c r="G146" s="85"/>
      <c r="H146" s="60"/>
      <c r="I146" s="28"/>
      <c r="J146" s="86"/>
      <c r="K146" s="68"/>
    </row>
    <row r="147" spans="2:11" s="29" customFormat="1" ht="15" customHeight="1" thickTop="1" thickBot="1" x14ac:dyDescent="0.35">
      <c r="B147" s="396" t="s">
        <v>80</v>
      </c>
      <c r="C147" s="397"/>
      <c r="D147" s="397"/>
      <c r="E147" s="397"/>
      <c r="F147" s="397"/>
      <c r="G147" s="33">
        <f>SUM(G142:G146)</f>
        <v>0</v>
      </c>
      <c r="H147" s="62"/>
      <c r="I147" s="80">
        <f>SUM(I142:I146)</f>
        <v>0</v>
      </c>
      <c r="J147" s="81">
        <f>SUM(J142:J146)</f>
        <v>0</v>
      </c>
      <c r="K147" s="70"/>
    </row>
    <row r="148" spans="2:11" s="163" customFormat="1" ht="15" customHeight="1" x14ac:dyDescent="0.3">
      <c r="B148" s="149">
        <v>17</v>
      </c>
      <c r="C148" s="392" t="s">
        <v>230</v>
      </c>
      <c r="D148" s="392"/>
      <c r="E148" s="392"/>
      <c r="F148" s="392"/>
      <c r="G148" s="392"/>
      <c r="H148" s="162"/>
      <c r="I148" s="425"/>
      <c r="J148" s="426"/>
      <c r="K148" s="427"/>
    </row>
    <row r="149" spans="2:11" s="29" customFormat="1" ht="15" customHeight="1" x14ac:dyDescent="0.3">
      <c r="B149" s="51">
        <v>17.100000000000001</v>
      </c>
      <c r="C149" s="43" t="s">
        <v>231</v>
      </c>
      <c r="D149" s="19"/>
      <c r="E149" s="42"/>
      <c r="F149" s="37"/>
      <c r="G149" s="76">
        <f>D149*F149</f>
        <v>0</v>
      </c>
      <c r="H149" s="60"/>
      <c r="I149" s="27"/>
      <c r="J149" s="77">
        <f>G149-I149</f>
        <v>0</v>
      </c>
      <c r="K149" s="67"/>
    </row>
    <row r="150" spans="2:11" s="29" customFormat="1" ht="15" customHeight="1" x14ac:dyDescent="0.3">
      <c r="B150" s="51">
        <v>17.2</v>
      </c>
      <c r="C150" s="43" t="s">
        <v>232</v>
      </c>
      <c r="D150" s="19"/>
      <c r="E150" s="42"/>
      <c r="F150" s="37"/>
      <c r="G150" s="76">
        <f>D150*F150</f>
        <v>0</v>
      </c>
      <c r="H150" s="60"/>
      <c r="I150" s="27"/>
      <c r="J150" s="77">
        <f>G150-I150</f>
        <v>0</v>
      </c>
      <c r="K150" s="67"/>
    </row>
    <row r="151" spans="2:11" s="29" customFormat="1" ht="15" customHeight="1" x14ac:dyDescent="0.3">
      <c r="B151" s="51">
        <v>17.3</v>
      </c>
      <c r="C151" s="43" t="s">
        <v>233</v>
      </c>
      <c r="D151" s="19"/>
      <c r="E151" s="42"/>
      <c r="F151" s="37"/>
      <c r="G151" s="76">
        <f>D151*F151</f>
        <v>0</v>
      </c>
      <c r="H151" s="60"/>
      <c r="I151" s="27"/>
      <c r="J151" s="77">
        <f>G151-I151</f>
        <v>0</v>
      </c>
      <c r="K151" s="67"/>
    </row>
    <row r="152" spans="2:11" s="29" customFormat="1" ht="15" customHeight="1" x14ac:dyDescent="0.3">
      <c r="B152" s="51">
        <v>17.399999999999999</v>
      </c>
      <c r="C152" s="43" t="s">
        <v>234</v>
      </c>
      <c r="D152" s="19"/>
      <c r="E152" s="42"/>
      <c r="F152" s="37"/>
      <c r="G152" s="76">
        <f>D152*F152</f>
        <v>0</v>
      </c>
      <c r="H152" s="60"/>
      <c r="I152" s="27"/>
      <c r="J152" s="77">
        <f>G152-I152</f>
        <v>0</v>
      </c>
      <c r="K152" s="67"/>
    </row>
    <row r="153" spans="2:11" s="29" customFormat="1" ht="15" customHeight="1" x14ac:dyDescent="0.3">
      <c r="B153" s="51">
        <v>17.5</v>
      </c>
      <c r="C153" s="43" t="s">
        <v>235</v>
      </c>
      <c r="D153" s="19"/>
      <c r="E153" s="42"/>
      <c r="F153" s="37"/>
      <c r="G153" s="76">
        <f>D153*F153</f>
        <v>0</v>
      </c>
      <c r="H153" s="60"/>
      <c r="I153" s="27"/>
      <c r="J153" s="77">
        <f>G153-I153</f>
        <v>0</v>
      </c>
      <c r="K153" s="67"/>
    </row>
    <row r="154" spans="2:11" s="29" customFormat="1" ht="15" customHeight="1" thickBot="1" x14ac:dyDescent="0.35">
      <c r="B154" s="51"/>
      <c r="C154" s="43"/>
      <c r="D154" s="20"/>
      <c r="E154" s="44"/>
      <c r="F154" s="38"/>
      <c r="G154" s="85"/>
      <c r="H154" s="60"/>
      <c r="I154" s="28"/>
      <c r="J154" s="86"/>
      <c r="K154" s="68"/>
    </row>
    <row r="155" spans="2:11" s="29" customFormat="1" ht="15" customHeight="1" thickTop="1" thickBot="1" x14ac:dyDescent="0.35">
      <c r="B155" s="396" t="s">
        <v>80</v>
      </c>
      <c r="C155" s="397"/>
      <c r="D155" s="397"/>
      <c r="E155" s="397"/>
      <c r="F155" s="397"/>
      <c r="G155" s="33">
        <f>SUM(G149:G154)</f>
        <v>0</v>
      </c>
      <c r="H155" s="62"/>
      <c r="I155" s="80">
        <f>SUM(I149:I154)</f>
        <v>0</v>
      </c>
      <c r="J155" s="81">
        <f>SUM(J149:J154)</f>
        <v>0</v>
      </c>
      <c r="K155" s="70"/>
    </row>
    <row r="156" spans="2:11" s="163" customFormat="1" ht="15" customHeight="1" x14ac:dyDescent="0.3">
      <c r="B156" s="149">
        <v>18</v>
      </c>
      <c r="C156" s="392" t="s">
        <v>236</v>
      </c>
      <c r="D156" s="392"/>
      <c r="E156" s="392"/>
      <c r="F156" s="392"/>
      <c r="G156" s="392"/>
      <c r="H156" s="162"/>
      <c r="I156" s="425"/>
      <c r="J156" s="426"/>
      <c r="K156" s="427"/>
    </row>
    <row r="157" spans="2:11" s="29" customFormat="1" ht="15" customHeight="1" x14ac:dyDescent="0.3">
      <c r="B157" s="51">
        <v>18.100000000000001</v>
      </c>
      <c r="C157" s="43" t="s">
        <v>237</v>
      </c>
      <c r="D157" s="19"/>
      <c r="E157" s="42"/>
      <c r="F157" s="37"/>
      <c r="G157" s="76">
        <f>D157*F157</f>
        <v>0</v>
      </c>
      <c r="H157" s="60"/>
      <c r="I157" s="27"/>
      <c r="J157" s="77">
        <f>G157-I157</f>
        <v>0</v>
      </c>
      <c r="K157" s="67"/>
    </row>
    <row r="158" spans="2:11" s="29" customFormat="1" ht="15" customHeight="1" thickBot="1" x14ac:dyDescent="0.35">
      <c r="B158" s="51"/>
      <c r="C158" s="43"/>
      <c r="D158" s="20"/>
      <c r="E158" s="44"/>
      <c r="F158" s="38"/>
      <c r="G158" s="85"/>
      <c r="H158" s="60"/>
      <c r="I158" s="28"/>
      <c r="J158" s="86"/>
      <c r="K158" s="68"/>
    </row>
    <row r="159" spans="2:11" s="29" customFormat="1" ht="15" customHeight="1" thickTop="1" thickBot="1" x14ac:dyDescent="0.35">
      <c r="B159" s="396" t="s">
        <v>80</v>
      </c>
      <c r="C159" s="397"/>
      <c r="D159" s="397"/>
      <c r="E159" s="397"/>
      <c r="F159" s="397"/>
      <c r="G159" s="33">
        <f>SUM(G157:G158)</f>
        <v>0</v>
      </c>
      <c r="H159" s="62"/>
      <c r="I159" s="80">
        <f>SUM(I157:I158)</f>
        <v>0</v>
      </c>
      <c r="J159" s="81">
        <f>SUM(J157:J158)</f>
        <v>0</v>
      </c>
      <c r="K159" s="70"/>
    </row>
    <row r="160" spans="2:11" s="163" customFormat="1" ht="15" customHeight="1" x14ac:dyDescent="0.3">
      <c r="B160" s="149">
        <v>19</v>
      </c>
      <c r="C160" s="392" t="s">
        <v>239</v>
      </c>
      <c r="D160" s="392"/>
      <c r="E160" s="392"/>
      <c r="F160" s="392"/>
      <c r="G160" s="392"/>
      <c r="H160" s="162"/>
      <c r="I160" s="425"/>
      <c r="J160" s="426"/>
      <c r="K160" s="427"/>
    </row>
    <row r="161" spans="2:11" s="29" customFormat="1" ht="15" customHeight="1" x14ac:dyDescent="0.3">
      <c r="B161" s="51">
        <v>19.100000000000001</v>
      </c>
      <c r="C161" s="43" t="s">
        <v>240</v>
      </c>
      <c r="D161" s="19"/>
      <c r="E161" s="42"/>
      <c r="F161" s="37"/>
      <c r="G161" s="76">
        <f>D161*F161</f>
        <v>0</v>
      </c>
      <c r="H161" s="60"/>
      <c r="I161" s="27"/>
      <c r="J161" s="77">
        <f>G161-I161</f>
        <v>0</v>
      </c>
      <c r="K161" s="67"/>
    </row>
    <row r="162" spans="2:11" s="29" customFormat="1" ht="15" customHeight="1" thickBot="1" x14ac:dyDescent="0.35">
      <c r="B162" s="51"/>
      <c r="C162" s="43"/>
      <c r="D162" s="20"/>
      <c r="E162" s="44"/>
      <c r="F162" s="38"/>
      <c r="G162" s="85"/>
      <c r="H162" s="60"/>
      <c r="I162" s="28"/>
      <c r="J162" s="86"/>
      <c r="K162" s="68"/>
    </row>
    <row r="163" spans="2:11" s="29" customFormat="1" ht="15" customHeight="1" thickTop="1" thickBot="1" x14ac:dyDescent="0.35">
      <c r="B163" s="396" t="s">
        <v>80</v>
      </c>
      <c r="C163" s="397"/>
      <c r="D163" s="397"/>
      <c r="E163" s="397"/>
      <c r="F163" s="397"/>
      <c r="G163" s="33">
        <f>SUM(G161:G162)</f>
        <v>0</v>
      </c>
      <c r="H163" s="62"/>
      <c r="I163" s="80">
        <f>SUM(I161:I162)</f>
        <v>0</v>
      </c>
      <c r="J163" s="81">
        <f>SUM(J161:J162)</f>
        <v>0</v>
      </c>
      <c r="K163" s="70"/>
    </row>
    <row r="164" spans="2:11" s="163" customFormat="1" ht="15" customHeight="1" x14ac:dyDescent="0.3">
      <c r="B164" s="149">
        <v>20</v>
      </c>
      <c r="C164" s="392" t="s">
        <v>245</v>
      </c>
      <c r="D164" s="392"/>
      <c r="E164" s="392"/>
      <c r="F164" s="392"/>
      <c r="G164" s="392"/>
      <c r="H164" s="162"/>
      <c r="I164" s="425"/>
      <c r="J164" s="426"/>
      <c r="K164" s="427"/>
    </row>
    <row r="165" spans="2:11" s="29" customFormat="1" ht="15" customHeight="1" x14ac:dyDescent="0.3">
      <c r="B165" s="51"/>
      <c r="C165" s="42"/>
      <c r="D165" s="19"/>
      <c r="E165" s="42"/>
      <c r="F165" s="37"/>
      <c r="G165" s="76">
        <f>D165*F165</f>
        <v>0</v>
      </c>
      <c r="H165" s="60"/>
      <c r="I165" s="27"/>
      <c r="J165" s="77">
        <f>G165-I165</f>
        <v>0</v>
      </c>
      <c r="K165" s="67"/>
    </row>
    <row r="166" spans="2:11" s="29" customFormat="1" ht="15" customHeight="1" x14ac:dyDescent="0.3">
      <c r="B166" s="51"/>
      <c r="C166" s="42"/>
      <c r="D166" s="19"/>
      <c r="E166" s="42"/>
      <c r="F166" s="37"/>
      <c r="G166" s="76">
        <f>D166*F166</f>
        <v>0</v>
      </c>
      <c r="H166" s="60"/>
      <c r="I166" s="27"/>
      <c r="J166" s="77">
        <f>G166-I166</f>
        <v>0</v>
      </c>
      <c r="K166" s="67"/>
    </row>
    <row r="167" spans="2:11" s="29" customFormat="1" ht="15" customHeight="1" x14ac:dyDescent="0.3">
      <c r="B167" s="51"/>
      <c r="C167" s="42"/>
      <c r="D167" s="19"/>
      <c r="E167" s="42"/>
      <c r="F167" s="37"/>
      <c r="G167" s="76">
        <f>D167*F167</f>
        <v>0</v>
      </c>
      <c r="H167" s="60"/>
      <c r="I167" s="27"/>
      <c r="J167" s="77">
        <f>G167-I167</f>
        <v>0</v>
      </c>
      <c r="K167" s="67"/>
    </row>
    <row r="168" spans="2:11" s="29" customFormat="1" ht="15" customHeight="1" thickBot="1" x14ac:dyDescent="0.35">
      <c r="B168" s="53"/>
      <c r="C168" s="45"/>
      <c r="D168" s="21"/>
      <c r="E168" s="46"/>
      <c r="F168" s="39"/>
      <c r="G168" s="88"/>
      <c r="H168" s="63"/>
      <c r="I168" s="28"/>
      <c r="J168" s="86"/>
      <c r="K168" s="68"/>
    </row>
    <row r="169" spans="2:11" s="29" customFormat="1" ht="15" customHeight="1" thickTop="1" thickBot="1" x14ac:dyDescent="0.35">
      <c r="B169" s="390" t="s">
        <v>80</v>
      </c>
      <c r="C169" s="391"/>
      <c r="D169" s="391"/>
      <c r="E169" s="391"/>
      <c r="F169" s="391"/>
      <c r="G169" s="34">
        <f>SUM(G165:G168)</f>
        <v>0</v>
      </c>
      <c r="H169" s="64"/>
      <c r="I169" s="78">
        <f>SUM(I165:I168)</f>
        <v>0</v>
      </c>
      <c r="J169" s="79">
        <f>SUM(J165:J168)</f>
        <v>0</v>
      </c>
      <c r="K169" s="69"/>
    </row>
    <row r="170" spans="2:11" s="167" customFormat="1" ht="15" customHeight="1" thickTop="1" x14ac:dyDescent="0.3">
      <c r="B170" s="523" t="s">
        <v>254</v>
      </c>
      <c r="C170" s="524"/>
      <c r="D170" s="524"/>
      <c r="E170" s="524"/>
      <c r="F170" s="524"/>
      <c r="G170" s="524"/>
      <c r="H170" s="519">
        <f>G38+G48+G65+G75+G82+G98+G103+G109+G121+G134+G140+G147+G159+G155+G163+G169+G56</f>
        <v>0</v>
      </c>
      <c r="I170" s="535">
        <f>I38+I48+I65+I75+I82+I98+I103+I109+I121+I134+I140+I147+I159+I155+I163+I169+I56</f>
        <v>0</v>
      </c>
      <c r="J170" s="529">
        <f>SUM(J169,J163,J159,J155,J147,J140,J134,J121,J109,J103,J98,J82,J75,J65,J56,J48,J38)</f>
        <v>0</v>
      </c>
      <c r="K170" s="530"/>
    </row>
    <row r="171" spans="2:11" s="167" customFormat="1" ht="15" customHeight="1" thickBot="1" x14ac:dyDescent="0.35">
      <c r="B171" s="525"/>
      <c r="C171" s="526"/>
      <c r="D171" s="526"/>
      <c r="E171" s="526"/>
      <c r="F171" s="526"/>
      <c r="G171" s="526"/>
      <c r="H171" s="520"/>
      <c r="I171" s="536"/>
      <c r="J171" s="531"/>
      <c r="K171" s="532"/>
    </row>
    <row r="172" spans="2:11" s="29" customFormat="1" ht="15" customHeight="1" thickTop="1" thickBot="1" x14ac:dyDescent="0.35">
      <c r="B172" s="521"/>
      <c r="C172" s="522"/>
      <c r="D172" s="522"/>
      <c r="E172" s="522"/>
      <c r="F172" s="522"/>
      <c r="G172" s="522"/>
      <c r="H172" s="65"/>
      <c r="I172" s="533"/>
      <c r="J172" s="534"/>
      <c r="K172" s="71"/>
    </row>
    <row r="173" spans="2:11" s="163" customFormat="1" ht="15" customHeight="1" x14ac:dyDescent="0.3">
      <c r="B173" s="149">
        <v>21</v>
      </c>
      <c r="C173" s="392" t="s">
        <v>45</v>
      </c>
      <c r="D173" s="392"/>
      <c r="E173" s="392"/>
      <c r="F173" s="392"/>
      <c r="G173" s="392"/>
      <c r="H173" s="162"/>
      <c r="I173" s="425"/>
      <c r="J173" s="426"/>
      <c r="K173" s="427"/>
    </row>
    <row r="174" spans="2:11" s="29" customFormat="1" ht="15" customHeight="1" x14ac:dyDescent="0.3">
      <c r="B174" s="51">
        <v>21.1</v>
      </c>
      <c r="C174" s="43" t="s">
        <v>255</v>
      </c>
      <c r="D174" s="19"/>
      <c r="E174" s="42"/>
      <c r="F174" s="37"/>
      <c r="G174" s="76">
        <f>D174*F174</f>
        <v>0</v>
      </c>
      <c r="H174" s="60"/>
      <c r="I174" s="27"/>
      <c r="J174" s="77">
        <f>G174-I174</f>
        <v>0</v>
      </c>
      <c r="K174" s="67"/>
    </row>
    <row r="175" spans="2:11" s="29" customFormat="1" ht="15" customHeight="1" thickBot="1" x14ac:dyDescent="0.35">
      <c r="B175" s="51"/>
      <c r="C175" s="43"/>
      <c r="D175" s="20"/>
      <c r="E175" s="44"/>
      <c r="F175" s="38"/>
      <c r="G175" s="85"/>
      <c r="H175" s="60"/>
      <c r="I175" s="28"/>
      <c r="J175" s="86"/>
      <c r="K175" s="68"/>
    </row>
    <row r="176" spans="2:11" s="29" customFormat="1" ht="15" customHeight="1" thickTop="1" thickBot="1" x14ac:dyDescent="0.35">
      <c r="B176" s="396" t="s">
        <v>80</v>
      </c>
      <c r="C176" s="397"/>
      <c r="D176" s="397"/>
      <c r="E176" s="397"/>
      <c r="F176" s="397"/>
      <c r="G176" s="32">
        <f>SUM(G174:G175)</f>
        <v>0</v>
      </c>
      <c r="H176" s="61"/>
      <c r="I176" s="78">
        <f>SUM(I174:I175)</f>
        <v>0</v>
      </c>
      <c r="J176" s="79">
        <f>SUM(J174:J175)</f>
        <v>0</v>
      </c>
      <c r="K176" s="69"/>
    </row>
    <row r="177" spans="2:11" s="163" customFormat="1" ht="15" customHeight="1" x14ac:dyDescent="0.3">
      <c r="B177" s="149">
        <v>22</v>
      </c>
      <c r="C177" s="392" t="s">
        <v>47</v>
      </c>
      <c r="D177" s="392"/>
      <c r="E177" s="392"/>
      <c r="F177" s="392"/>
      <c r="G177" s="392"/>
      <c r="H177" s="229" t="s">
        <v>263</v>
      </c>
      <c r="I177" s="425"/>
      <c r="J177" s="426"/>
      <c r="K177" s="427"/>
    </row>
    <row r="178" spans="2:11" s="29" customFormat="1" ht="15" customHeight="1" x14ac:dyDescent="0.3">
      <c r="B178" s="54">
        <v>22.1</v>
      </c>
      <c r="C178" s="393" t="s">
        <v>264</v>
      </c>
      <c r="D178" s="394"/>
      <c r="E178" s="394"/>
      <c r="F178" s="395"/>
      <c r="G178" s="101"/>
      <c r="H178" s="22">
        <f>(H18+H170)*0.05</f>
        <v>0</v>
      </c>
      <c r="I178" s="27"/>
      <c r="J178" s="77">
        <f>G178-I178</f>
        <v>0</v>
      </c>
      <c r="K178" s="67"/>
    </row>
    <row r="179" spans="2:11" s="29" customFormat="1" ht="15" customHeight="1" thickBot="1" x14ac:dyDescent="0.35">
      <c r="B179" s="51"/>
      <c r="C179" s="43"/>
      <c r="D179" s="20"/>
      <c r="E179" s="44"/>
      <c r="F179" s="38"/>
      <c r="G179" s="85"/>
      <c r="H179" s="60"/>
      <c r="I179" s="28"/>
      <c r="J179" s="86"/>
      <c r="K179" s="68"/>
    </row>
    <row r="180" spans="2:11" s="29" customFormat="1" ht="15" customHeight="1" thickTop="1" thickBot="1" x14ac:dyDescent="0.35">
      <c r="B180" s="390" t="s">
        <v>80</v>
      </c>
      <c r="C180" s="391"/>
      <c r="D180" s="391"/>
      <c r="E180" s="391"/>
      <c r="F180" s="391"/>
      <c r="G180" s="32">
        <f>SUM(G178:G179)</f>
        <v>0</v>
      </c>
      <c r="H180" s="61"/>
      <c r="I180" s="78">
        <f>SUM(I177:I179)</f>
        <v>0</v>
      </c>
      <c r="J180" s="79">
        <f>SUM(J177:J179)</f>
        <v>0</v>
      </c>
      <c r="K180" s="69"/>
    </row>
    <row r="181" spans="2:11" s="167" customFormat="1" ht="15" customHeight="1" thickTop="1" x14ac:dyDescent="0.3">
      <c r="B181" s="523" t="s">
        <v>258</v>
      </c>
      <c r="C181" s="524"/>
      <c r="D181" s="524"/>
      <c r="E181" s="524"/>
      <c r="F181" s="524"/>
      <c r="G181" s="524"/>
      <c r="H181" s="519">
        <f>+G176+G180</f>
        <v>0</v>
      </c>
      <c r="I181" s="479">
        <f>SUM(I180,I176)</f>
        <v>0</v>
      </c>
      <c r="J181" s="529">
        <f>SUM(J180,J176)</f>
        <v>0</v>
      </c>
      <c r="K181" s="530"/>
    </row>
    <row r="182" spans="2:11" s="167" customFormat="1" ht="15" customHeight="1" thickBot="1" x14ac:dyDescent="0.35">
      <c r="B182" s="525"/>
      <c r="C182" s="526"/>
      <c r="D182" s="526"/>
      <c r="E182" s="526"/>
      <c r="F182" s="526"/>
      <c r="G182" s="526"/>
      <c r="H182" s="520"/>
      <c r="I182" s="480"/>
      <c r="J182" s="531"/>
      <c r="K182" s="532"/>
    </row>
    <row r="183" spans="2:11" s="171" customFormat="1" ht="15" customHeight="1" thickTop="1" thickBot="1" x14ac:dyDescent="0.3">
      <c r="B183" s="172"/>
      <c r="D183" s="183"/>
      <c r="F183" s="174"/>
      <c r="G183" s="175"/>
      <c r="I183" s="175"/>
      <c r="J183" s="175"/>
    </row>
    <row r="184" spans="2:11" s="167" customFormat="1" ht="15" customHeight="1" thickTop="1" x14ac:dyDescent="0.3">
      <c r="B184" s="544" t="s">
        <v>265</v>
      </c>
      <c r="C184" s="545"/>
      <c r="D184" s="545"/>
      <c r="E184" s="545"/>
      <c r="F184" s="545"/>
      <c r="G184" s="542">
        <f>SUM(H181,H170,H18)</f>
        <v>0</v>
      </c>
      <c r="H184" s="542"/>
      <c r="I184" s="527">
        <f>I181+I170+I18</f>
        <v>0</v>
      </c>
      <c r="J184" s="529">
        <f>J181+J170+J18</f>
        <v>0</v>
      </c>
      <c r="K184" s="530"/>
    </row>
    <row r="185" spans="2:11" s="167" customFormat="1" ht="15" customHeight="1" thickBot="1" x14ac:dyDescent="0.35">
      <c r="B185" s="546"/>
      <c r="C185" s="547"/>
      <c r="D185" s="547"/>
      <c r="E185" s="547"/>
      <c r="F185" s="547"/>
      <c r="G185" s="543"/>
      <c r="H185" s="543"/>
      <c r="I185" s="528"/>
      <c r="J185" s="531"/>
      <c r="K185" s="532"/>
    </row>
    <row r="186" spans="2:11" s="29" customFormat="1" ht="15" customHeight="1" thickTop="1" x14ac:dyDescent="0.3">
      <c r="B186" s="55"/>
      <c r="C186" s="47"/>
      <c r="D186" s="23"/>
      <c r="E186" s="49"/>
      <c r="F186" s="40"/>
      <c r="G186" s="35"/>
      <c r="H186" s="66"/>
      <c r="I186" s="25"/>
      <c r="J186" s="25"/>
    </row>
    <row r="187" spans="2:11" s="29" customFormat="1" ht="15" customHeight="1" x14ac:dyDescent="0.3">
      <c r="B187" s="55"/>
      <c r="C187" s="47"/>
      <c r="D187" s="23"/>
      <c r="E187" s="49"/>
      <c r="F187" s="40"/>
      <c r="G187" s="35"/>
      <c r="H187" s="66"/>
      <c r="I187" s="25"/>
      <c r="J187" s="25"/>
    </row>
    <row r="188" spans="2:11" s="29" customFormat="1" ht="15" customHeight="1" x14ac:dyDescent="0.3">
      <c r="B188" s="55"/>
      <c r="C188" s="47"/>
      <c r="D188" s="23"/>
      <c r="E188" s="49"/>
      <c r="F188" s="40"/>
      <c r="G188" s="35"/>
      <c r="H188" s="66"/>
      <c r="I188" s="25"/>
      <c r="J188" s="25"/>
    </row>
    <row r="189" spans="2:11" s="29" customFormat="1" ht="15" customHeight="1" x14ac:dyDescent="0.3">
      <c r="B189" s="55"/>
      <c r="C189" s="47"/>
      <c r="D189" s="23"/>
      <c r="E189" s="49"/>
      <c r="F189" s="40"/>
      <c r="G189" s="35"/>
      <c r="H189" s="66"/>
      <c r="I189" s="25"/>
      <c r="J189" s="25"/>
    </row>
    <row r="190" spans="2:11" s="29" customFormat="1" ht="15" customHeight="1" x14ac:dyDescent="0.3">
      <c r="B190" s="55"/>
      <c r="C190" s="47"/>
      <c r="D190" s="23"/>
      <c r="E190" s="49"/>
      <c r="F190" s="40"/>
      <c r="G190" s="35"/>
      <c r="H190" s="66"/>
      <c r="I190" s="25"/>
      <c r="J190" s="25"/>
    </row>
    <row r="191" spans="2:11" s="29" customFormat="1" ht="15" customHeight="1" x14ac:dyDescent="0.3">
      <c r="B191" s="55"/>
      <c r="C191" s="47"/>
      <c r="D191" s="23"/>
      <c r="E191" s="49"/>
      <c r="F191" s="40"/>
      <c r="G191" s="35"/>
      <c r="H191" s="66"/>
      <c r="I191" s="25"/>
      <c r="J191" s="25"/>
    </row>
    <row r="192" spans="2:11" s="29" customFormat="1" ht="15" customHeight="1" x14ac:dyDescent="0.3">
      <c r="B192" s="55"/>
      <c r="C192" s="47"/>
      <c r="D192" s="23"/>
      <c r="E192" s="49"/>
      <c r="F192" s="40"/>
      <c r="G192" s="35"/>
      <c r="H192" s="66"/>
      <c r="I192" s="25"/>
      <c r="J192" s="25"/>
    </row>
    <row r="193" spans="2:10" s="29" customFormat="1" ht="15" customHeight="1" x14ac:dyDescent="0.3">
      <c r="B193" s="55"/>
      <c r="C193" s="47"/>
      <c r="D193" s="23"/>
      <c r="E193" s="49"/>
      <c r="F193" s="40"/>
      <c r="G193" s="35"/>
      <c r="H193" s="66"/>
      <c r="I193" s="25"/>
      <c r="J193" s="25"/>
    </row>
    <row r="194" spans="2:10" s="29" customFormat="1" ht="15" customHeight="1" x14ac:dyDescent="0.3">
      <c r="B194" s="55"/>
      <c r="C194" s="47"/>
      <c r="D194" s="23"/>
      <c r="E194" s="49"/>
      <c r="F194" s="40"/>
      <c r="G194" s="35"/>
      <c r="H194" s="66"/>
      <c r="I194" s="25"/>
      <c r="J194" s="25"/>
    </row>
    <row r="195" spans="2:10" s="29" customFormat="1" ht="15" customHeight="1" x14ac:dyDescent="0.3">
      <c r="B195" s="55"/>
      <c r="C195" s="47"/>
      <c r="D195" s="23"/>
      <c r="E195" s="49"/>
      <c r="F195" s="40"/>
      <c r="G195" s="35"/>
      <c r="H195" s="66"/>
      <c r="I195" s="25"/>
      <c r="J195" s="25"/>
    </row>
    <row r="196" spans="2:10" s="29" customFormat="1" ht="15" customHeight="1" x14ac:dyDescent="0.3">
      <c r="B196" s="55"/>
      <c r="C196" s="47"/>
      <c r="D196" s="23"/>
      <c r="E196" s="49"/>
      <c r="F196" s="40"/>
      <c r="G196" s="35"/>
      <c r="H196" s="66"/>
      <c r="I196" s="25"/>
      <c r="J196" s="25"/>
    </row>
    <row r="197" spans="2:10" s="29" customFormat="1" ht="15" customHeight="1" x14ac:dyDescent="0.3">
      <c r="B197" s="55"/>
      <c r="C197" s="47"/>
      <c r="D197" s="23"/>
      <c r="E197" s="49"/>
      <c r="F197" s="40"/>
      <c r="G197" s="35"/>
      <c r="H197" s="66"/>
      <c r="I197" s="25"/>
      <c r="J197" s="25"/>
    </row>
    <row r="198" spans="2:10" s="29" customFormat="1" ht="15" customHeight="1" x14ac:dyDescent="0.3">
      <c r="B198" s="55"/>
      <c r="C198" s="47"/>
      <c r="D198" s="23"/>
      <c r="E198" s="49"/>
      <c r="F198" s="40"/>
      <c r="G198" s="35"/>
      <c r="H198" s="66"/>
      <c r="I198" s="25"/>
      <c r="J198" s="25"/>
    </row>
    <row r="199" spans="2:10" s="29" customFormat="1" ht="15" customHeight="1" x14ac:dyDescent="0.3">
      <c r="B199" s="55"/>
      <c r="C199" s="47"/>
      <c r="D199" s="23"/>
      <c r="E199" s="49"/>
      <c r="F199" s="40"/>
      <c r="G199" s="35"/>
      <c r="H199" s="66"/>
      <c r="I199" s="25"/>
      <c r="J199" s="25"/>
    </row>
    <row r="200" spans="2:10" s="29" customFormat="1" ht="15" customHeight="1" x14ac:dyDescent="0.3">
      <c r="B200" s="55"/>
      <c r="C200" s="47"/>
      <c r="D200" s="23"/>
      <c r="E200" s="49"/>
      <c r="F200" s="40"/>
      <c r="G200" s="35"/>
      <c r="H200" s="66"/>
      <c r="I200" s="25"/>
      <c r="J200" s="25"/>
    </row>
    <row r="201" spans="2:10" s="29" customFormat="1" ht="15" customHeight="1" x14ac:dyDescent="0.3">
      <c r="B201" s="55"/>
      <c r="C201" s="47"/>
      <c r="D201" s="23"/>
      <c r="E201" s="49"/>
      <c r="F201" s="40"/>
      <c r="G201" s="35"/>
      <c r="H201" s="66"/>
      <c r="I201" s="25"/>
      <c r="J201" s="25"/>
    </row>
    <row r="202" spans="2:10" s="29" customFormat="1" ht="15" customHeight="1" x14ac:dyDescent="0.3">
      <c r="B202" s="55"/>
      <c r="C202" s="47"/>
      <c r="D202" s="23"/>
      <c r="E202" s="49"/>
      <c r="F202" s="40"/>
      <c r="G202" s="35"/>
      <c r="H202" s="66"/>
      <c r="I202" s="25"/>
      <c r="J202" s="25"/>
    </row>
    <row r="203" spans="2:10" s="29" customFormat="1" ht="15" customHeight="1" x14ac:dyDescent="0.3">
      <c r="B203" s="55"/>
      <c r="C203" s="47"/>
      <c r="D203" s="23"/>
      <c r="E203" s="49"/>
      <c r="F203" s="40"/>
      <c r="G203" s="35"/>
      <c r="H203" s="66"/>
      <c r="I203" s="25"/>
      <c r="J203" s="25"/>
    </row>
    <row r="204" spans="2:10" s="29" customFormat="1" ht="15" customHeight="1" x14ac:dyDescent="0.3">
      <c r="B204" s="55"/>
      <c r="C204" s="47"/>
      <c r="D204" s="23"/>
      <c r="E204" s="49"/>
      <c r="F204" s="40"/>
      <c r="G204" s="35"/>
      <c r="H204" s="66"/>
      <c r="I204" s="25"/>
      <c r="J204" s="25"/>
    </row>
    <row r="205" spans="2:10" s="29" customFormat="1" ht="15" customHeight="1" x14ac:dyDescent="0.3">
      <c r="B205" s="55"/>
      <c r="C205" s="47"/>
      <c r="D205" s="23"/>
      <c r="E205" s="49"/>
      <c r="F205" s="40"/>
      <c r="G205" s="35"/>
      <c r="H205" s="66"/>
      <c r="I205" s="25"/>
      <c r="J205" s="25"/>
    </row>
    <row r="206" spans="2:10" s="29" customFormat="1" ht="15" customHeight="1" x14ac:dyDescent="0.3">
      <c r="B206" s="55"/>
      <c r="C206" s="47"/>
      <c r="D206" s="23"/>
      <c r="E206" s="49"/>
      <c r="F206" s="40"/>
      <c r="G206" s="35"/>
      <c r="H206" s="66"/>
      <c r="I206" s="25"/>
      <c r="J206" s="25"/>
    </row>
    <row r="207" spans="2:10" s="29" customFormat="1" ht="15" customHeight="1" x14ac:dyDescent="0.3">
      <c r="B207" s="55"/>
      <c r="C207" s="47"/>
      <c r="D207" s="23"/>
      <c r="E207" s="49"/>
      <c r="F207" s="40"/>
      <c r="G207" s="35"/>
      <c r="H207" s="66"/>
      <c r="I207" s="25"/>
      <c r="J207" s="25"/>
    </row>
    <row r="208" spans="2:10" s="29" customFormat="1" ht="15" customHeight="1" x14ac:dyDescent="0.3">
      <c r="B208" s="55"/>
      <c r="C208" s="47"/>
      <c r="D208" s="23"/>
      <c r="E208" s="49"/>
      <c r="F208" s="40"/>
      <c r="G208" s="35"/>
      <c r="H208" s="66"/>
      <c r="I208" s="25"/>
      <c r="J208" s="25"/>
    </row>
    <row r="209" spans="2:10" s="29" customFormat="1" ht="15" customHeight="1" x14ac:dyDescent="0.3">
      <c r="B209" s="55"/>
      <c r="C209" s="47"/>
      <c r="D209" s="23"/>
      <c r="E209" s="49"/>
      <c r="F209" s="40"/>
      <c r="G209" s="35"/>
      <c r="H209" s="66"/>
      <c r="I209" s="25"/>
      <c r="J209" s="25"/>
    </row>
    <row r="210" spans="2:10" s="29" customFormat="1" ht="15" customHeight="1" x14ac:dyDescent="0.3">
      <c r="B210" s="55"/>
      <c r="C210" s="47"/>
      <c r="D210" s="23"/>
      <c r="E210" s="49"/>
      <c r="F210" s="40"/>
      <c r="G210" s="35"/>
      <c r="H210" s="66"/>
      <c r="I210" s="25"/>
      <c r="J210" s="25"/>
    </row>
    <row r="211" spans="2:10" s="29" customFormat="1" ht="15" customHeight="1" x14ac:dyDescent="0.3">
      <c r="B211" s="55"/>
      <c r="C211" s="47"/>
      <c r="D211" s="23"/>
      <c r="E211" s="49"/>
      <c r="F211" s="40"/>
      <c r="G211" s="35"/>
      <c r="H211" s="66"/>
      <c r="I211" s="25"/>
      <c r="J211" s="25"/>
    </row>
    <row r="212" spans="2:10" s="29" customFormat="1" ht="15" customHeight="1" x14ac:dyDescent="0.3">
      <c r="B212" s="55"/>
      <c r="C212" s="47"/>
      <c r="D212" s="23"/>
      <c r="E212" s="49"/>
      <c r="F212" s="40"/>
      <c r="G212" s="35"/>
      <c r="H212" s="66"/>
      <c r="I212" s="25"/>
      <c r="J212" s="25"/>
    </row>
    <row r="213" spans="2:10" s="29" customFormat="1" ht="15" customHeight="1" x14ac:dyDescent="0.3">
      <c r="B213" s="55"/>
      <c r="C213" s="47"/>
      <c r="D213" s="23"/>
      <c r="E213" s="49"/>
      <c r="F213" s="40"/>
      <c r="G213" s="35"/>
      <c r="H213" s="66"/>
      <c r="I213" s="25"/>
      <c r="J213" s="25"/>
    </row>
    <row r="214" spans="2:10" s="29" customFormat="1" ht="15" customHeight="1" x14ac:dyDescent="0.3">
      <c r="B214" s="55"/>
      <c r="C214" s="47"/>
      <c r="D214" s="23"/>
      <c r="E214" s="49"/>
      <c r="F214" s="40"/>
      <c r="G214" s="35"/>
      <c r="H214" s="66"/>
      <c r="I214" s="25"/>
      <c r="J214" s="25"/>
    </row>
    <row r="215" spans="2:10" s="29" customFormat="1" ht="15" customHeight="1" x14ac:dyDescent="0.3">
      <c r="B215" s="55"/>
      <c r="C215" s="47"/>
      <c r="D215" s="23"/>
      <c r="E215" s="49"/>
      <c r="F215" s="40"/>
      <c r="G215" s="35"/>
      <c r="H215" s="66"/>
      <c r="I215" s="25"/>
      <c r="J215" s="25"/>
    </row>
    <row r="216" spans="2:10" s="29" customFormat="1" ht="15" customHeight="1" x14ac:dyDescent="0.3">
      <c r="B216" s="55"/>
      <c r="C216" s="47"/>
      <c r="D216" s="23"/>
      <c r="E216" s="49"/>
      <c r="F216" s="40"/>
      <c r="G216" s="35"/>
      <c r="H216" s="66"/>
      <c r="I216" s="25"/>
      <c r="J216" s="25"/>
    </row>
    <row r="217" spans="2:10" s="29" customFormat="1" ht="15" customHeight="1" x14ac:dyDescent="0.3">
      <c r="B217" s="55"/>
      <c r="C217" s="47"/>
      <c r="D217" s="23"/>
      <c r="E217" s="49"/>
      <c r="F217" s="40"/>
      <c r="G217" s="35"/>
      <c r="H217" s="66"/>
      <c r="I217" s="25"/>
      <c r="J217" s="25"/>
    </row>
    <row r="218" spans="2:10" s="29" customFormat="1" ht="15" customHeight="1" x14ac:dyDescent="0.3">
      <c r="B218" s="55"/>
      <c r="C218" s="47"/>
      <c r="D218" s="23"/>
      <c r="E218" s="49"/>
      <c r="F218" s="40"/>
      <c r="G218" s="35"/>
      <c r="H218" s="66"/>
      <c r="I218" s="25"/>
      <c r="J218" s="25"/>
    </row>
    <row r="219" spans="2:10" s="29" customFormat="1" ht="15" customHeight="1" x14ac:dyDescent="0.3">
      <c r="B219" s="55"/>
      <c r="C219" s="47"/>
      <c r="D219" s="23"/>
      <c r="E219" s="49"/>
      <c r="F219" s="40"/>
      <c r="G219" s="35"/>
      <c r="H219" s="66"/>
      <c r="I219" s="25"/>
      <c r="J219" s="25"/>
    </row>
    <row r="220" spans="2:10" s="29" customFormat="1" ht="15" customHeight="1" x14ac:dyDescent="0.3">
      <c r="B220" s="55"/>
      <c r="C220" s="47"/>
      <c r="D220" s="23"/>
      <c r="E220" s="49"/>
      <c r="F220" s="40"/>
      <c r="G220" s="35"/>
      <c r="H220" s="66"/>
      <c r="I220" s="25"/>
      <c r="J220" s="25"/>
    </row>
    <row r="221" spans="2:10" s="29" customFormat="1" ht="15" customHeight="1" x14ac:dyDescent="0.3">
      <c r="B221" s="55"/>
      <c r="C221" s="47"/>
      <c r="D221" s="23"/>
      <c r="E221" s="49"/>
      <c r="F221" s="40"/>
      <c r="G221" s="35"/>
      <c r="H221" s="66"/>
      <c r="I221" s="25"/>
      <c r="J221" s="25"/>
    </row>
    <row r="222" spans="2:10" s="29" customFormat="1" ht="15" customHeight="1" x14ac:dyDescent="0.3">
      <c r="B222" s="55"/>
      <c r="C222" s="47"/>
      <c r="D222" s="23"/>
      <c r="E222" s="49"/>
      <c r="F222" s="40"/>
      <c r="G222" s="35"/>
      <c r="H222" s="66"/>
      <c r="I222" s="25"/>
      <c r="J222" s="25"/>
    </row>
    <row r="223" spans="2:10" s="29" customFormat="1" ht="15" customHeight="1" x14ac:dyDescent="0.3">
      <c r="B223" s="55"/>
      <c r="C223" s="47"/>
      <c r="D223" s="23"/>
      <c r="E223" s="49"/>
      <c r="F223" s="40"/>
      <c r="G223" s="35"/>
      <c r="H223" s="66"/>
      <c r="I223" s="25"/>
      <c r="J223" s="25"/>
    </row>
    <row r="224" spans="2:10" s="29" customFormat="1" ht="15" customHeight="1" x14ac:dyDescent="0.3">
      <c r="B224" s="55"/>
      <c r="C224" s="47"/>
      <c r="D224" s="23"/>
      <c r="E224" s="49"/>
      <c r="F224" s="40"/>
      <c r="G224" s="35"/>
      <c r="H224" s="66"/>
      <c r="I224" s="25"/>
      <c r="J224" s="25"/>
    </row>
    <row r="225" spans="2:10" s="29" customFormat="1" ht="15" customHeight="1" x14ac:dyDescent="0.3">
      <c r="B225" s="55"/>
      <c r="C225" s="47"/>
      <c r="D225" s="23"/>
      <c r="E225" s="49"/>
      <c r="F225" s="40"/>
      <c r="G225" s="35"/>
      <c r="H225" s="66"/>
      <c r="I225" s="25"/>
      <c r="J225" s="25"/>
    </row>
    <row r="226" spans="2:10" s="29" customFormat="1" ht="15" customHeight="1" x14ac:dyDescent="0.3">
      <c r="B226" s="55"/>
      <c r="C226" s="47"/>
      <c r="D226" s="23"/>
      <c r="E226" s="49"/>
      <c r="F226" s="40"/>
      <c r="G226" s="35"/>
      <c r="H226" s="66"/>
      <c r="I226" s="25"/>
      <c r="J226" s="25"/>
    </row>
    <row r="227" spans="2:10" s="29" customFormat="1" ht="15" customHeight="1" x14ac:dyDescent="0.3">
      <c r="B227" s="55"/>
      <c r="C227" s="47"/>
      <c r="D227" s="23"/>
      <c r="E227" s="49"/>
      <c r="F227" s="40"/>
      <c r="G227" s="35"/>
      <c r="H227" s="66"/>
      <c r="I227" s="25"/>
      <c r="J227" s="25"/>
    </row>
    <row r="228" spans="2:10" s="29" customFormat="1" ht="15" customHeight="1" x14ac:dyDescent="0.3">
      <c r="B228" s="55"/>
      <c r="C228" s="47"/>
      <c r="D228" s="23"/>
      <c r="E228" s="49"/>
      <c r="F228" s="40"/>
      <c r="G228" s="35"/>
      <c r="H228" s="66"/>
      <c r="I228" s="25"/>
      <c r="J228" s="25"/>
    </row>
    <row r="229" spans="2:10" s="29" customFormat="1" ht="15" customHeight="1" x14ac:dyDescent="0.3">
      <c r="B229" s="55"/>
      <c r="C229" s="47"/>
      <c r="D229" s="23"/>
      <c r="E229" s="49"/>
      <c r="F229" s="40"/>
      <c r="G229" s="35"/>
      <c r="H229" s="66"/>
      <c r="I229" s="25"/>
      <c r="J229" s="25"/>
    </row>
    <row r="230" spans="2:10" s="29" customFormat="1" ht="15" customHeight="1" x14ac:dyDescent="0.3">
      <c r="B230" s="55"/>
      <c r="C230" s="47"/>
      <c r="D230" s="23"/>
      <c r="E230" s="49"/>
      <c r="F230" s="40"/>
      <c r="G230" s="35"/>
      <c r="H230" s="66"/>
      <c r="I230" s="25"/>
      <c r="J230" s="25"/>
    </row>
    <row r="231" spans="2:10" s="29" customFormat="1" ht="15" customHeight="1" x14ac:dyDescent="0.3">
      <c r="B231" s="55"/>
      <c r="C231" s="47"/>
      <c r="D231" s="23"/>
      <c r="E231" s="49"/>
      <c r="F231" s="40"/>
      <c r="G231" s="35"/>
      <c r="H231" s="66"/>
      <c r="I231" s="25"/>
      <c r="J231" s="25"/>
    </row>
    <row r="232" spans="2:10" s="29" customFormat="1" ht="15" customHeight="1" x14ac:dyDescent="0.3">
      <c r="B232" s="55"/>
      <c r="C232" s="47"/>
      <c r="D232" s="23"/>
      <c r="E232" s="49"/>
      <c r="F232" s="40"/>
      <c r="G232" s="35"/>
      <c r="H232" s="66"/>
      <c r="I232" s="25"/>
      <c r="J232" s="25"/>
    </row>
    <row r="233" spans="2:10" s="29" customFormat="1" ht="15" customHeight="1" x14ac:dyDescent="0.3">
      <c r="B233" s="55"/>
      <c r="C233" s="47"/>
      <c r="D233" s="23"/>
      <c r="E233" s="49"/>
      <c r="F233" s="40"/>
      <c r="G233" s="35"/>
      <c r="H233" s="66"/>
      <c r="I233" s="25"/>
      <c r="J233" s="25"/>
    </row>
    <row r="234" spans="2:10" s="29" customFormat="1" ht="15" customHeight="1" x14ac:dyDescent="0.3">
      <c r="B234" s="55"/>
      <c r="C234" s="47"/>
      <c r="D234" s="23"/>
      <c r="E234" s="49"/>
      <c r="F234" s="40"/>
      <c r="G234" s="35"/>
      <c r="H234" s="66"/>
      <c r="I234" s="25"/>
      <c r="J234" s="25"/>
    </row>
    <row r="235" spans="2:10" s="29" customFormat="1" ht="15" customHeight="1" x14ac:dyDescent="0.3">
      <c r="B235" s="55"/>
      <c r="C235" s="47"/>
      <c r="D235" s="23"/>
      <c r="E235" s="49"/>
      <c r="F235" s="40"/>
      <c r="G235" s="35"/>
      <c r="H235" s="66"/>
      <c r="I235" s="25"/>
      <c r="J235" s="25"/>
    </row>
    <row r="236" spans="2:10" s="29" customFormat="1" ht="15" customHeight="1" x14ac:dyDescent="0.3">
      <c r="B236" s="55"/>
      <c r="C236" s="47"/>
      <c r="D236" s="23"/>
      <c r="E236" s="49"/>
      <c r="F236" s="40"/>
      <c r="G236" s="35"/>
      <c r="H236" s="66"/>
      <c r="I236" s="25"/>
      <c r="J236" s="25"/>
    </row>
    <row r="237" spans="2:10" s="29" customFormat="1" ht="15" customHeight="1" x14ac:dyDescent="0.3">
      <c r="B237" s="55"/>
      <c r="C237" s="47"/>
      <c r="D237" s="23"/>
      <c r="E237" s="49"/>
      <c r="F237" s="40"/>
      <c r="G237" s="35"/>
      <c r="H237" s="66"/>
      <c r="I237" s="25"/>
      <c r="J237" s="25"/>
    </row>
    <row r="238" spans="2:10" s="29" customFormat="1" ht="15" customHeight="1" x14ac:dyDescent="0.3">
      <c r="B238" s="55"/>
      <c r="C238" s="47"/>
      <c r="D238" s="23"/>
      <c r="E238" s="49"/>
      <c r="F238" s="40"/>
      <c r="G238" s="35"/>
      <c r="H238" s="66"/>
      <c r="I238" s="25"/>
      <c r="J238" s="25"/>
    </row>
    <row r="239" spans="2:10" s="29" customFormat="1" ht="15" customHeight="1" x14ac:dyDescent="0.3">
      <c r="B239" s="55"/>
      <c r="C239" s="47"/>
      <c r="D239" s="23"/>
      <c r="E239" s="49"/>
      <c r="F239" s="40"/>
      <c r="G239" s="35"/>
      <c r="H239" s="66"/>
      <c r="I239" s="25"/>
      <c r="J239" s="25"/>
    </row>
    <row r="240" spans="2:10" s="29" customFormat="1" ht="15" customHeight="1" x14ac:dyDescent="0.3">
      <c r="B240" s="55"/>
      <c r="C240" s="47"/>
      <c r="D240" s="23"/>
      <c r="E240" s="49"/>
      <c r="F240" s="40"/>
      <c r="G240" s="35"/>
      <c r="H240" s="66"/>
      <c r="I240" s="25"/>
      <c r="J240" s="25"/>
    </row>
    <row r="241" spans="2:10" s="29" customFormat="1" ht="15" customHeight="1" x14ac:dyDescent="0.3">
      <c r="B241" s="55"/>
      <c r="C241" s="47"/>
      <c r="D241" s="23"/>
      <c r="E241" s="49"/>
      <c r="F241" s="40"/>
      <c r="G241" s="35"/>
      <c r="H241" s="66"/>
      <c r="I241" s="25"/>
      <c r="J241" s="25"/>
    </row>
    <row r="242" spans="2:10" s="29" customFormat="1" ht="15" customHeight="1" x14ac:dyDescent="0.3">
      <c r="B242" s="55"/>
      <c r="C242" s="47"/>
      <c r="D242" s="23"/>
      <c r="E242" s="49"/>
      <c r="F242" s="40"/>
      <c r="G242" s="35"/>
      <c r="H242" s="66"/>
      <c r="I242" s="25"/>
      <c r="J242" s="25"/>
    </row>
    <row r="243" spans="2:10" s="29" customFormat="1" ht="15" customHeight="1" x14ac:dyDescent="0.3">
      <c r="B243" s="55"/>
      <c r="C243" s="47"/>
      <c r="D243" s="23"/>
      <c r="E243" s="49"/>
      <c r="F243" s="40"/>
      <c r="G243" s="35"/>
      <c r="H243" s="66"/>
      <c r="I243" s="25"/>
      <c r="J243" s="25"/>
    </row>
    <row r="244" spans="2:10" s="29" customFormat="1" ht="15" customHeight="1" x14ac:dyDescent="0.3">
      <c r="B244" s="55"/>
      <c r="C244" s="47"/>
      <c r="D244" s="23"/>
      <c r="E244" s="49"/>
      <c r="F244" s="40"/>
      <c r="G244" s="35"/>
      <c r="H244" s="66"/>
      <c r="I244" s="25"/>
      <c r="J244" s="25"/>
    </row>
    <row r="245" spans="2:10" s="29" customFormat="1" ht="15" customHeight="1" x14ac:dyDescent="0.3">
      <c r="B245" s="55"/>
      <c r="C245" s="47"/>
      <c r="D245" s="23"/>
      <c r="E245" s="49"/>
      <c r="F245" s="40"/>
      <c r="G245" s="35"/>
      <c r="H245" s="66"/>
      <c r="I245" s="25"/>
      <c r="J245" s="25"/>
    </row>
    <row r="246" spans="2:10" s="29" customFormat="1" ht="15" customHeight="1" x14ac:dyDescent="0.3">
      <c r="B246" s="55"/>
      <c r="C246" s="47"/>
      <c r="D246" s="23"/>
      <c r="E246" s="49"/>
      <c r="F246" s="40"/>
      <c r="G246" s="35"/>
      <c r="H246" s="66"/>
      <c r="I246" s="25"/>
      <c r="J246" s="25"/>
    </row>
    <row r="247" spans="2:10" s="29" customFormat="1" ht="15" customHeight="1" x14ac:dyDescent="0.3">
      <c r="B247" s="55"/>
      <c r="C247" s="47"/>
      <c r="D247" s="23"/>
      <c r="E247" s="49"/>
      <c r="F247" s="40"/>
      <c r="G247" s="35"/>
      <c r="H247" s="66"/>
      <c r="I247" s="25"/>
      <c r="J247" s="25"/>
    </row>
    <row r="248" spans="2:10" s="29" customFormat="1" ht="15" customHeight="1" x14ac:dyDescent="0.3">
      <c r="B248" s="55"/>
      <c r="C248" s="47"/>
      <c r="D248" s="23"/>
      <c r="E248" s="49"/>
      <c r="F248" s="40"/>
      <c r="G248" s="35"/>
      <c r="H248" s="66"/>
      <c r="I248" s="25"/>
      <c r="J248" s="25"/>
    </row>
    <row r="249" spans="2:10" s="29" customFormat="1" ht="15" customHeight="1" x14ac:dyDescent="0.3">
      <c r="B249" s="55"/>
      <c r="C249" s="47"/>
      <c r="D249" s="23"/>
      <c r="E249" s="49"/>
      <c r="F249" s="40"/>
      <c r="G249" s="35"/>
      <c r="H249" s="66"/>
      <c r="I249" s="25"/>
      <c r="J249" s="25"/>
    </row>
    <row r="250" spans="2:10" s="29" customFormat="1" ht="15" customHeight="1" x14ac:dyDescent="0.3">
      <c r="B250" s="55"/>
      <c r="C250" s="47"/>
      <c r="D250" s="23"/>
      <c r="E250" s="49"/>
      <c r="F250" s="40"/>
      <c r="G250" s="35"/>
      <c r="H250" s="66"/>
      <c r="I250" s="25"/>
      <c r="J250" s="25"/>
    </row>
    <row r="251" spans="2:10" s="29" customFormat="1" ht="15" customHeight="1" x14ac:dyDescent="0.3">
      <c r="B251" s="55"/>
      <c r="C251" s="47"/>
      <c r="D251" s="23"/>
      <c r="E251" s="49"/>
      <c r="F251" s="40"/>
      <c r="G251" s="35"/>
      <c r="H251" s="66"/>
      <c r="I251" s="25"/>
      <c r="J251" s="25"/>
    </row>
    <row r="252" spans="2:10" s="29" customFormat="1" ht="15" customHeight="1" x14ac:dyDescent="0.3">
      <c r="B252" s="55"/>
      <c r="C252" s="47"/>
      <c r="D252" s="23"/>
      <c r="E252" s="49"/>
      <c r="F252" s="40"/>
      <c r="G252" s="35"/>
      <c r="H252" s="66"/>
      <c r="I252" s="25"/>
      <c r="J252" s="25"/>
    </row>
    <row r="253" spans="2:10" s="29" customFormat="1" ht="15" customHeight="1" x14ac:dyDescent="0.3">
      <c r="B253" s="55"/>
      <c r="C253" s="47"/>
      <c r="D253" s="23"/>
      <c r="E253" s="49"/>
      <c r="F253" s="40"/>
      <c r="G253" s="35"/>
      <c r="H253" s="66"/>
      <c r="I253" s="25"/>
      <c r="J253" s="25"/>
    </row>
    <row r="254" spans="2:10" s="29" customFormat="1" ht="15" customHeight="1" x14ac:dyDescent="0.3">
      <c r="B254" s="55"/>
      <c r="C254" s="47"/>
      <c r="D254" s="23"/>
      <c r="E254" s="49"/>
      <c r="F254" s="40"/>
      <c r="G254" s="35"/>
      <c r="H254" s="66"/>
      <c r="I254" s="25"/>
      <c r="J254" s="25"/>
    </row>
    <row r="255" spans="2:10" s="29" customFormat="1" ht="15" customHeight="1" x14ac:dyDescent="0.3">
      <c r="B255" s="55"/>
      <c r="C255" s="47"/>
      <c r="D255" s="23"/>
      <c r="E255" s="49"/>
      <c r="F255" s="40"/>
      <c r="G255" s="35"/>
      <c r="H255" s="66"/>
      <c r="I255" s="25"/>
      <c r="J255" s="25"/>
    </row>
    <row r="256" spans="2:10" s="29" customFormat="1" ht="15" customHeight="1" x14ac:dyDescent="0.3">
      <c r="B256" s="55"/>
      <c r="C256" s="47"/>
      <c r="D256" s="23"/>
      <c r="E256" s="49"/>
      <c r="F256" s="40"/>
      <c r="G256" s="35"/>
      <c r="H256" s="66"/>
      <c r="I256" s="25"/>
      <c r="J256" s="25"/>
    </row>
    <row r="257" spans="2:11" s="29" customFormat="1" ht="15" customHeight="1" x14ac:dyDescent="0.3">
      <c r="B257" s="55"/>
      <c r="C257" s="47"/>
      <c r="D257" s="23"/>
      <c r="E257" s="49"/>
      <c r="F257" s="40"/>
      <c r="G257" s="35"/>
      <c r="H257" s="66"/>
      <c r="I257" s="25"/>
      <c r="J257" s="25"/>
    </row>
    <row r="258" spans="2:11" s="29" customFormat="1" ht="15" customHeight="1" x14ac:dyDescent="0.3">
      <c r="B258" s="55"/>
      <c r="C258" s="47"/>
      <c r="D258" s="23"/>
      <c r="E258" s="49"/>
      <c r="F258" s="40"/>
      <c r="G258" s="35"/>
      <c r="H258" s="66"/>
      <c r="I258" s="25"/>
      <c r="J258" s="25"/>
    </row>
    <row r="259" spans="2:11" s="29" customFormat="1" ht="15" customHeight="1" x14ac:dyDescent="0.3">
      <c r="B259" s="56"/>
      <c r="C259" s="48"/>
      <c r="D259" s="23"/>
      <c r="E259" s="48"/>
      <c r="F259" s="41"/>
      <c r="G259" s="26"/>
      <c r="H259" s="48"/>
      <c r="I259" s="26"/>
      <c r="J259" s="26"/>
      <c r="K259" s="48"/>
    </row>
  </sheetData>
  <sheetProtection formatCells="0"/>
  <mergeCells count="95">
    <mergeCell ref="K3:K4"/>
    <mergeCell ref="B4:C4"/>
    <mergeCell ref="C5:G5"/>
    <mergeCell ref="B1:L1"/>
    <mergeCell ref="B2:H2"/>
    <mergeCell ref="I2:K2"/>
    <mergeCell ref="H3:H4"/>
    <mergeCell ref="I3:I4"/>
    <mergeCell ref="J3:J4"/>
    <mergeCell ref="I5:K5"/>
    <mergeCell ref="C135:G135"/>
    <mergeCell ref="B140:F140"/>
    <mergeCell ref="C141:G141"/>
    <mergeCell ref="C112:H112"/>
    <mergeCell ref="C122:G122"/>
    <mergeCell ref="B134:F134"/>
    <mergeCell ref="C66:G66"/>
    <mergeCell ref="B48:F48"/>
    <mergeCell ref="B103:F103"/>
    <mergeCell ref="C104:G104"/>
    <mergeCell ref="B109:F109"/>
    <mergeCell ref="C49:G49"/>
    <mergeCell ref="B56:F56"/>
    <mergeCell ref="C57:G57"/>
    <mergeCell ref="B65:F65"/>
    <mergeCell ref="B75:F75"/>
    <mergeCell ref="C76:G76"/>
    <mergeCell ref="C110:G110"/>
    <mergeCell ref="B121:F121"/>
    <mergeCell ref="G184:H185"/>
    <mergeCell ref="B184:F185"/>
    <mergeCell ref="B17:F17"/>
    <mergeCell ref="B38:F38"/>
    <mergeCell ref="C39:G39"/>
    <mergeCell ref="C26:H26"/>
    <mergeCell ref="B82:F82"/>
    <mergeCell ref="C83:G83"/>
    <mergeCell ref="B98:F98"/>
    <mergeCell ref="C99:G99"/>
    <mergeCell ref="B159:F159"/>
    <mergeCell ref="C160:G160"/>
    <mergeCell ref="B18:G19"/>
    <mergeCell ref="H18:H19"/>
    <mergeCell ref="B147:F147"/>
    <mergeCell ref="B163:F163"/>
    <mergeCell ref="C164:G164"/>
    <mergeCell ref="B169:F169"/>
    <mergeCell ref="B170:G171"/>
    <mergeCell ref="C148:G148"/>
    <mergeCell ref="B155:F155"/>
    <mergeCell ref="C156:G156"/>
    <mergeCell ref="I39:K39"/>
    <mergeCell ref="I49:K49"/>
    <mergeCell ref="I57:K57"/>
    <mergeCell ref="I66:K66"/>
    <mergeCell ref="I76:K76"/>
    <mergeCell ref="I83:K83"/>
    <mergeCell ref="I99:K99"/>
    <mergeCell ref="I104:K104"/>
    <mergeCell ref="I110:K110"/>
    <mergeCell ref="I112:K112"/>
    <mergeCell ref="I26:K26"/>
    <mergeCell ref="C30:H30"/>
    <mergeCell ref="I30:K30"/>
    <mergeCell ref="I18:I19"/>
    <mergeCell ref="J18:K19"/>
    <mergeCell ref="I22:K22"/>
    <mergeCell ref="C20:G20"/>
    <mergeCell ref="C22:H22"/>
    <mergeCell ref="I20:K20"/>
    <mergeCell ref="I184:I185"/>
    <mergeCell ref="J184:K185"/>
    <mergeCell ref="I164:K164"/>
    <mergeCell ref="I122:K122"/>
    <mergeCell ref="I135:K135"/>
    <mergeCell ref="I141:K141"/>
    <mergeCell ref="I148:K148"/>
    <mergeCell ref="I156:K156"/>
    <mergeCell ref="I160:K160"/>
    <mergeCell ref="J170:K171"/>
    <mergeCell ref="I172:J172"/>
    <mergeCell ref="I181:I182"/>
    <mergeCell ref="J181:K182"/>
    <mergeCell ref="I170:I171"/>
    <mergeCell ref="H170:H171"/>
    <mergeCell ref="B172:G172"/>
    <mergeCell ref="C173:G173"/>
    <mergeCell ref="I173:K173"/>
    <mergeCell ref="H181:H182"/>
    <mergeCell ref="B181:G182"/>
    <mergeCell ref="B176:F176"/>
    <mergeCell ref="C177:G177"/>
    <mergeCell ref="I177:K177"/>
    <mergeCell ref="C178:F178"/>
    <mergeCell ref="B180:F180"/>
  </mergeCells>
  <conditionalFormatting sqref="J6:J17 J21 J23:J25 J27:J29 J31:J38 J40:J48 J50:J56 J58:J65 J67:J75 J77:J82 J84:J98 J100:J103 J105:J109 J111 J113:J121 J123:J134 J136:J140 J142:J147 J149:J155 J157:J159 J161:J163 J165:J169 J174:J176 J178:J180">
    <cfRule type="cellIs" dxfId="7" priority="3" operator="greaterThanOrEqual">
      <formula>0</formula>
    </cfRule>
    <cfRule type="cellIs" dxfId="6" priority="4" operator="lessThan">
      <formula>0</formula>
    </cfRule>
  </conditionalFormatting>
  <conditionalFormatting sqref="J18:K19 J170:K171 J181:K182 J184:K185">
    <cfRule type="cellIs" dxfId="5" priority="1" operator="lessThan">
      <formula>0</formula>
    </cfRule>
    <cfRule type="cellIs" dxfId="4" priority="2" operator="greaterThanOrEqual">
      <formula>0</formula>
    </cfRule>
  </conditionalFormatting>
  <dataValidations count="1">
    <dataValidation type="decimal" operator="greaterThanOrEqual" allowBlank="1" showInputMessage="1" showErrorMessage="1" sqref="G178" xr:uid="{8B51DC5C-475F-4CEE-A0C4-BC98B95C41FD}">
      <formula1>H178</formula1>
    </dataValidation>
  </dataValidations>
  <pageMargins left="0.74803149606299213" right="0.74803149606299213" top="0.98425196850393704" bottom="0.98425196850393704" header="0.51181102362204722" footer="0.51181102362204722"/>
  <pageSetup paperSize="9" scale="67" fitToHeight="3" orientation="portrait" r:id="rId1"/>
  <headerFooter alignWithMargins="0">
    <oddFooter>&amp;RPage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3D62D1-FC95-4260-AD1D-51C43A3F7E5F}">
  <sheetPr>
    <tabColor theme="4"/>
    <pageSetUpPr fitToPage="1"/>
  </sheetPr>
  <dimension ref="A1:AN310"/>
  <sheetViews>
    <sheetView showGridLines="0" showZeros="0" zoomScaleNormal="100" workbookViewId="0">
      <pane ySplit="3" topLeftCell="A4" activePane="bottomLeft" state="frozen"/>
      <selection pane="bottomLeft" activeCell="G13" sqref="G13"/>
    </sheetView>
  </sheetViews>
  <sheetFormatPr defaultColWidth="0" defaultRowHeight="0" customHeight="1" zeroHeight="1" x14ac:dyDescent="0.25"/>
  <cols>
    <col min="1" max="1" width="0.77734375" style="109" customWidth="1"/>
    <col min="2" max="2" width="23.5546875" style="126" bestFit="1" customWidth="1"/>
    <col min="3" max="3" width="14.5546875" style="116" customWidth="1"/>
    <col min="4" max="4" width="14.5546875" style="109" customWidth="1"/>
    <col min="5" max="5" width="1.77734375" style="214" customWidth="1"/>
    <col min="6" max="6" width="8.77734375" style="116" bestFit="1" customWidth="1"/>
    <col min="7" max="7" width="46.77734375" style="117" bestFit="1" customWidth="1"/>
    <col min="8" max="8" width="30.77734375" style="118" customWidth="1"/>
    <col min="9" max="10" width="30.77734375" style="109" customWidth="1"/>
    <col min="11" max="11" width="1.77734375" style="127" customWidth="1"/>
    <col min="12" max="40" width="9.21875" style="128" hidden="1" customWidth="1"/>
    <col min="41" max="16384" width="0" style="128" hidden="1"/>
  </cols>
  <sheetData>
    <row r="1" spans="2:12" s="107" customFormat="1" ht="34.950000000000003" customHeight="1" thickBot="1" x14ac:dyDescent="0.35">
      <c r="B1" s="555" t="s">
        <v>266</v>
      </c>
      <c r="C1" s="555"/>
      <c r="D1" s="555"/>
      <c r="E1" s="555"/>
      <c r="F1" s="555"/>
      <c r="G1" s="555"/>
      <c r="H1" s="555"/>
      <c r="I1" s="555"/>
      <c r="J1" s="555"/>
      <c r="K1" s="555"/>
      <c r="L1" s="555"/>
    </row>
    <row r="2" spans="2:12" s="109" customFormat="1" ht="19.95" customHeight="1" thickTop="1" thickBot="1" x14ac:dyDescent="0.35">
      <c r="B2" s="560" t="str">
        <f>'Production Budget'!B4</f>
        <v>Project title:</v>
      </c>
      <c r="C2" s="562">
        <f>'Production Budget'!C4</f>
        <v>0</v>
      </c>
      <c r="D2" s="563"/>
      <c r="E2" s="108"/>
      <c r="F2" s="568" t="str">
        <f>'Production Budget'!F3</f>
        <v>Budget Breakdown</v>
      </c>
      <c r="G2" s="569"/>
      <c r="H2" s="570"/>
      <c r="I2" s="571" t="str">
        <f>'Production Budget'!M3</f>
        <v>Cost reporting</v>
      </c>
      <c r="J2" s="572"/>
    </row>
    <row r="3" spans="2:12" s="109" customFormat="1" ht="19.95" customHeight="1" thickBot="1" x14ac:dyDescent="0.35">
      <c r="B3" s="561"/>
      <c r="C3" s="564"/>
      <c r="D3" s="565"/>
      <c r="E3" s="110"/>
      <c r="F3" s="184" t="str">
        <f>'Production Budget'!F4</f>
        <v>Line No.</v>
      </c>
      <c r="G3" s="185" t="str">
        <f>'Production Budget'!G4</f>
        <v>Description</v>
      </c>
      <c r="H3" s="186" t="str">
        <f>'Production Budget'!K4</f>
        <v>Subtotal</v>
      </c>
      <c r="I3" s="187" t="str">
        <f>'Production Budget'!M4</f>
        <v>Actual</v>
      </c>
      <c r="J3" s="188" t="str">
        <f>'Production Budget'!N4</f>
        <v>Variance</v>
      </c>
    </row>
    <row r="4" spans="2:12" s="109" customFormat="1" ht="19.95" customHeight="1" thickTop="1" thickBot="1" x14ac:dyDescent="0.35">
      <c r="B4" s="111"/>
      <c r="E4" s="108"/>
      <c r="F4" s="189">
        <f>'Production Budget'!F6</f>
        <v>1</v>
      </c>
      <c r="G4" s="190" t="str">
        <f>'Production Budget'!G6</f>
        <v>Story and script</v>
      </c>
      <c r="H4" s="5">
        <f>'Production Budget'!K10</f>
        <v>0</v>
      </c>
      <c r="I4" s="8">
        <f>'Production Budget'!M10</f>
        <v>0</v>
      </c>
      <c r="J4" s="13">
        <f>'Production Budget'!N10</f>
        <v>0</v>
      </c>
    </row>
    <row r="5" spans="2:12" s="109" customFormat="1" ht="19.95" customHeight="1" thickTop="1" thickBot="1" x14ac:dyDescent="0.35">
      <c r="B5" s="590" t="str">
        <f>'Production Budget'!B22</f>
        <v>Finance Plan</v>
      </c>
      <c r="C5" s="591"/>
      <c r="D5" s="592"/>
      <c r="E5" s="110"/>
      <c r="F5" s="189">
        <f>'Production Budget'!F11</f>
        <v>2</v>
      </c>
      <c r="G5" s="190" t="str">
        <f>'Production Budget'!G11</f>
        <v>Producer</v>
      </c>
      <c r="H5" s="5">
        <f>'Production Budget'!K15</f>
        <v>0</v>
      </c>
      <c r="I5" s="8">
        <f>'Production Budget'!M15</f>
        <v>0</v>
      </c>
      <c r="J5" s="13">
        <f>'Production Budget'!N15</f>
        <v>0</v>
      </c>
    </row>
    <row r="6" spans="2:12" s="109" customFormat="1" ht="19.95" customHeight="1" thickBot="1" x14ac:dyDescent="0.35">
      <c r="B6" s="191" t="str">
        <f>'Production Budget'!B23</f>
        <v>Source</v>
      </c>
      <c r="C6" s="192" t="str">
        <f>'Production Budget'!C23</f>
        <v>Amount (£)</v>
      </c>
      <c r="D6" s="193" t="str">
        <f>'Production Budget'!D23</f>
        <v>Secured</v>
      </c>
      <c r="E6" s="110"/>
      <c r="F6" s="194">
        <f>'Production Budget'!F16</f>
        <v>3</v>
      </c>
      <c r="G6" s="195" t="str">
        <f>'Production Budget'!G16</f>
        <v>Director</v>
      </c>
      <c r="H6" s="6">
        <f>'Production Budget'!K19</f>
        <v>0</v>
      </c>
      <c r="I6" s="9">
        <f>'Production Budget'!M19</f>
        <v>0</v>
      </c>
      <c r="J6" s="14">
        <f>'Production Budget'!N19</f>
        <v>0</v>
      </c>
    </row>
    <row r="7" spans="2:12" s="109" customFormat="1" ht="19.95" customHeight="1" thickTop="1" thickBot="1" x14ac:dyDescent="0.35">
      <c r="B7" s="143" t="str">
        <f>'Production Budget'!B24</f>
        <v>Award Request Amount</v>
      </c>
      <c r="C7" s="595">
        <f>'Production Budget'!C24</f>
        <v>0</v>
      </c>
      <c r="D7" s="596"/>
      <c r="E7" s="108"/>
      <c r="F7" s="593" t="str">
        <f>'Production Budget'!F20</f>
        <v>Total above the line:</v>
      </c>
      <c r="G7" s="594"/>
      <c r="H7" s="196">
        <f>SUM(H4:H6)</f>
        <v>0</v>
      </c>
      <c r="I7" s="197">
        <f>SUM(I4:I6)</f>
        <v>0</v>
      </c>
      <c r="J7" s="198">
        <f>SUM(J4:J6)</f>
        <v>0</v>
      </c>
    </row>
    <row r="8" spans="2:12" s="109" customFormat="1" ht="19.95" customHeight="1" x14ac:dyDescent="0.3">
      <c r="B8" s="138" t="str">
        <f>'Production Budget'!B26</f>
        <v xml:space="preserve">[e.g. Private investment] </v>
      </c>
      <c r="C8" s="136">
        <f>'Production Budget'!C26</f>
        <v>0</v>
      </c>
      <c r="D8" s="137" t="str">
        <f>'Production Budget'!D26</f>
        <v>[yes/no]</v>
      </c>
      <c r="E8" s="108"/>
      <c r="F8" s="199">
        <f>'Production Budget'!F22</f>
        <v>4</v>
      </c>
      <c r="G8" s="200" t="str">
        <f>'Production Budget'!G22</f>
        <v>Cast</v>
      </c>
      <c r="H8" s="7">
        <f>'Production Budget'!K40</f>
        <v>0</v>
      </c>
      <c r="I8" s="10">
        <f>'Production Budget'!M40</f>
        <v>0</v>
      </c>
      <c r="J8" s="15">
        <f>'Production Budget'!N40</f>
        <v>0</v>
      </c>
    </row>
    <row r="9" spans="2:12" s="109" customFormat="1" ht="19.95" customHeight="1" x14ac:dyDescent="0.3">
      <c r="B9" s="138">
        <f>'Production Budget'!B28</f>
        <v>0</v>
      </c>
      <c r="C9" s="136">
        <f>'Production Budget'!C28</f>
        <v>0</v>
      </c>
      <c r="D9" s="224" t="str">
        <f>'Production Budget'!D28</f>
        <v>[yes/no]</v>
      </c>
      <c r="E9" s="108"/>
      <c r="F9" s="189">
        <f>'Production Budget'!F41</f>
        <v>5</v>
      </c>
      <c r="G9" s="190" t="str">
        <f>'Production Budget'!G41</f>
        <v>Production</v>
      </c>
      <c r="H9" s="3">
        <f>'Production Budget'!K50</f>
        <v>0</v>
      </c>
      <c r="I9" s="8">
        <f>'Production Budget'!M50</f>
        <v>0</v>
      </c>
      <c r="J9" s="13">
        <f>'Production Budget'!N50</f>
        <v>0</v>
      </c>
    </row>
    <row r="10" spans="2:12" s="109" customFormat="1" ht="19.95" customHeight="1" x14ac:dyDescent="0.3">
      <c r="B10" s="138">
        <f>'Production Budget'!B30</f>
        <v>0</v>
      </c>
      <c r="C10" s="136">
        <f>'Production Budget'!C30</f>
        <v>0</v>
      </c>
      <c r="D10" s="137" t="str">
        <f>'Production Budget'!D30</f>
        <v>[yes/no]</v>
      </c>
      <c r="E10" s="108"/>
      <c r="F10" s="201" t="e">
        <f>'Production Budget'!#REF!</f>
        <v>#REF!</v>
      </c>
      <c r="G10" s="300" t="e">
        <f>'Production Budget'!#REF!</f>
        <v>#REF!</v>
      </c>
      <c r="H10" s="2" t="e">
        <f>'Production Budget'!#REF!</f>
        <v>#REF!</v>
      </c>
      <c r="I10" s="11" t="e">
        <f>'Production Budget'!#REF!</f>
        <v>#REF!</v>
      </c>
      <c r="J10" s="16" t="e">
        <f>'Production Budget'!#REF!</f>
        <v>#REF!</v>
      </c>
    </row>
    <row r="11" spans="2:12" s="109" customFormat="1" ht="19.95" customHeight="1" thickBot="1" x14ac:dyDescent="0.35">
      <c r="B11" s="138">
        <f>'Production Budget'!B32</f>
        <v>0</v>
      </c>
      <c r="C11" s="136">
        <f>'Production Budget'!C32</f>
        <v>0</v>
      </c>
      <c r="D11" s="137" t="str">
        <f>'Production Budget'!D32</f>
        <v>[yes/no]</v>
      </c>
      <c r="E11" s="203"/>
      <c r="F11" s="201" t="e">
        <f>'Production Budget'!#REF!</f>
        <v>#REF!</v>
      </c>
      <c r="G11" s="202" t="e">
        <f>'Production Budget'!#REF!</f>
        <v>#REF!</v>
      </c>
      <c r="H11" s="2" t="e">
        <f>'Production Budget'!#REF!</f>
        <v>#REF!</v>
      </c>
      <c r="I11" s="11" t="e">
        <f>'Production Budget'!#REF!</f>
        <v>#REF!</v>
      </c>
      <c r="J11" s="16" t="e">
        <f>'Production Budget'!#REF!</f>
        <v>#REF!</v>
      </c>
    </row>
    <row r="12" spans="2:12" s="109" customFormat="1" ht="19.95" customHeight="1" thickTop="1" thickBot="1" x14ac:dyDescent="0.35">
      <c r="B12" s="204" t="str">
        <f>'Production Budget'!B34</f>
        <v>Total finance plan</v>
      </c>
      <c r="C12" s="556">
        <f>'Production Budget'!C34</f>
        <v>0</v>
      </c>
      <c r="D12" s="557"/>
      <c r="E12" s="108"/>
      <c r="F12" s="189">
        <f>'Production Budget'!F51</f>
        <v>6</v>
      </c>
      <c r="G12" s="190" t="str">
        <f>'Production Budget'!G51</f>
        <v>Assistant Directors</v>
      </c>
      <c r="H12" s="3">
        <f>'Production Budget'!K58</f>
        <v>0</v>
      </c>
      <c r="I12" s="8">
        <f>'Production Budget'!M58</f>
        <v>0</v>
      </c>
      <c r="J12" s="13">
        <f>'Production Budget'!N58</f>
        <v>0</v>
      </c>
    </row>
    <row r="13" spans="2:12" s="109" customFormat="1" ht="19.95" customHeight="1" thickTop="1" thickBot="1" x14ac:dyDescent="0.35">
      <c r="B13" s="204" t="str">
        <f>'Production Budget'!B36</f>
        <v>Total project budget</v>
      </c>
      <c r="C13" s="566">
        <f>'Production Budget'!C36</f>
        <v>0</v>
      </c>
      <c r="D13" s="567"/>
      <c r="E13" s="108"/>
      <c r="F13" s="189">
        <f>'Production Budget'!F59</f>
        <v>7</v>
      </c>
      <c r="G13" s="190" t="str">
        <f>'Production Budget'!G59</f>
        <v>Camera</v>
      </c>
      <c r="H13" s="3">
        <f>'Production Budget'!K68</f>
        <v>0</v>
      </c>
      <c r="I13" s="8">
        <f>'Production Budget'!M68</f>
        <v>0</v>
      </c>
      <c r="J13" s="13">
        <f>'Production Budget'!N68</f>
        <v>0</v>
      </c>
    </row>
    <row r="14" spans="2:12" s="109" customFormat="1" ht="19.95" customHeight="1" thickTop="1" thickBot="1" x14ac:dyDescent="0.35">
      <c r="B14" s="205" t="str">
        <f>'Production Budget'!B38</f>
        <v>Budget surplus/deficit</v>
      </c>
      <c r="C14" s="558">
        <f>'Production Budget'!C38</f>
        <v>0</v>
      </c>
      <c r="D14" s="559"/>
      <c r="E14" s="112"/>
      <c r="F14" s="189">
        <f>'Production Budget'!F69</f>
        <v>8</v>
      </c>
      <c r="G14" s="190" t="str">
        <f>'Production Budget'!G69</f>
        <v>Lighting</v>
      </c>
      <c r="H14" s="3">
        <f>'Production Budget'!K79</f>
        <v>0</v>
      </c>
      <c r="I14" s="8">
        <f>'Production Budget'!M79</f>
        <v>0</v>
      </c>
      <c r="J14" s="13">
        <f>'Production Budget'!N79</f>
        <v>0</v>
      </c>
    </row>
    <row r="15" spans="2:12" s="109" customFormat="1" ht="19.95" customHeight="1" thickTop="1" thickBot="1" x14ac:dyDescent="0.35">
      <c r="B15" s="590" t="str">
        <f>'Production Budget'!B40</f>
        <v>In kind support</v>
      </c>
      <c r="C15" s="591"/>
      <c r="D15" s="592"/>
      <c r="E15" s="112"/>
      <c r="F15" s="189">
        <f>'Production Budget'!F80</f>
        <v>9</v>
      </c>
      <c r="G15" s="190" t="str">
        <f>'Production Budget'!G80</f>
        <v>Sound</v>
      </c>
      <c r="H15" s="3">
        <f>'Production Budget'!K86</f>
        <v>0</v>
      </c>
      <c r="I15" s="8">
        <f>'Production Budget'!M86</f>
        <v>0</v>
      </c>
      <c r="J15" s="13">
        <f>'Production Budget'!N86</f>
        <v>0</v>
      </c>
    </row>
    <row r="16" spans="2:12" s="109" customFormat="1" ht="19.95" customHeight="1" x14ac:dyDescent="0.3">
      <c r="B16" s="191" t="str">
        <f>'Production Budget'!B41</f>
        <v>Source</v>
      </c>
      <c r="C16" s="192" t="str">
        <f>'Production Budget'!C41</f>
        <v>Amount (£)</v>
      </c>
      <c r="D16" s="193" t="str">
        <f>'Production Budget'!D41</f>
        <v>Secured</v>
      </c>
      <c r="E16" s="112"/>
      <c r="F16" s="189">
        <f>'Production Budget'!F87</f>
        <v>10</v>
      </c>
      <c r="G16" s="190" t="str">
        <f>'Production Budget'!G87</f>
        <v>Production design</v>
      </c>
      <c r="H16" s="3">
        <f>'Production Budget'!K102</f>
        <v>0</v>
      </c>
      <c r="I16" s="8">
        <f>'Production Budget'!M102</f>
        <v>0</v>
      </c>
      <c r="J16" s="13">
        <f>'Production Budget'!N102</f>
        <v>0</v>
      </c>
    </row>
    <row r="17" spans="2:10" s="109" customFormat="1" ht="19.95" customHeight="1" x14ac:dyDescent="0.3">
      <c r="B17" s="138" t="str">
        <f>'Production Budget'!B42</f>
        <v>[Organisation Name]</v>
      </c>
      <c r="C17" s="136">
        <f>'Production Budget'!C42</f>
        <v>0</v>
      </c>
      <c r="D17" s="224" t="str">
        <f>'Production Budget'!D42</f>
        <v>[yes/no]</v>
      </c>
      <c r="E17" s="206"/>
      <c r="F17" s="189">
        <f>'Production Budget'!F103</f>
        <v>11</v>
      </c>
      <c r="G17" s="190" t="str">
        <f>'Production Budget'!G103</f>
        <v>Costume</v>
      </c>
      <c r="H17" s="3">
        <f>'Production Budget'!K108</f>
        <v>0</v>
      </c>
      <c r="I17" s="8">
        <f>'Production Budget'!M108</f>
        <v>0</v>
      </c>
      <c r="J17" s="13">
        <f>'Production Budget'!N108</f>
        <v>0</v>
      </c>
    </row>
    <row r="18" spans="2:10" s="109" customFormat="1" ht="19.95" customHeight="1" x14ac:dyDescent="0.3">
      <c r="B18" s="138">
        <f>'Production Budget'!B44</f>
        <v>0</v>
      </c>
      <c r="C18" s="136">
        <f>'Production Budget'!C44</f>
        <v>0</v>
      </c>
      <c r="D18" s="224" t="str">
        <f>'Production Budget'!D44</f>
        <v>[yes/no]</v>
      </c>
      <c r="E18" s="112"/>
      <c r="F18" s="189">
        <f>'Production Budget'!F109</f>
        <v>12</v>
      </c>
      <c r="G18" s="190" t="str">
        <f>'Production Budget'!G109</f>
        <v>Hair and make up</v>
      </c>
      <c r="H18" s="3">
        <f>'Production Budget'!K117</f>
        <v>0</v>
      </c>
      <c r="I18" s="8">
        <f>'Production Budget'!M117</f>
        <v>0</v>
      </c>
      <c r="J18" s="13">
        <f>'Production Budget'!N117</f>
        <v>0</v>
      </c>
    </row>
    <row r="19" spans="2:10" s="113" customFormat="1" ht="19.95" customHeight="1" thickBot="1" x14ac:dyDescent="0.35">
      <c r="B19" s="225">
        <f>'Production Budget'!B46</f>
        <v>0</v>
      </c>
      <c r="C19" s="226">
        <f>'Production Budget'!C46</f>
        <v>0</v>
      </c>
      <c r="D19" s="227" t="str">
        <f>'Production Budget'!D46</f>
        <v>[yes/no]</v>
      </c>
      <c r="E19" s="112"/>
      <c r="F19" s="189">
        <f>'Production Budget'!F118</f>
        <v>13</v>
      </c>
      <c r="G19" s="190" t="str">
        <f>'Production Budget'!G118</f>
        <v>Locations</v>
      </c>
      <c r="H19" s="3">
        <f>'Production Budget'!K131</f>
        <v>0</v>
      </c>
      <c r="I19" s="8">
        <f>'Production Budget'!M131</f>
        <v>0</v>
      </c>
      <c r="J19" s="13">
        <f>'Production Budget'!N131</f>
        <v>0</v>
      </c>
    </row>
    <row r="20" spans="2:10" s="113" customFormat="1" ht="19.95" customHeight="1" thickTop="1" thickBot="1" x14ac:dyDescent="0.35">
      <c r="B20" s="228" t="s">
        <v>133</v>
      </c>
      <c r="C20" s="597">
        <f>'Production Budget'!C48</f>
        <v>0</v>
      </c>
      <c r="D20" s="598"/>
      <c r="E20" s="112"/>
      <c r="F20" s="189">
        <f>'Production Budget'!F132</f>
        <v>14</v>
      </c>
      <c r="G20" s="190" t="str">
        <f>'Production Budget'!G132</f>
        <v>Travel and transport</v>
      </c>
      <c r="H20" s="3">
        <f>'Production Budget'!K144</f>
        <v>0</v>
      </c>
      <c r="I20" s="8">
        <f>'Production Budget'!M144</f>
        <v>0</v>
      </c>
      <c r="J20" s="13">
        <f>'Production Budget'!N144</f>
        <v>0</v>
      </c>
    </row>
    <row r="21" spans="2:10" s="109" customFormat="1" ht="19.95" customHeight="1" thickTop="1" x14ac:dyDescent="0.3">
      <c r="B21" s="114"/>
      <c r="C21" s="108"/>
      <c r="D21" s="108"/>
      <c r="E21" s="112"/>
      <c r="F21" s="189">
        <f>'Production Budget'!F145</f>
        <v>15</v>
      </c>
      <c r="G21" s="190" t="str">
        <f>'Production Budget'!G145</f>
        <v>Accomodation</v>
      </c>
      <c r="H21" s="3">
        <f>'Production Budget'!K150</f>
        <v>0</v>
      </c>
      <c r="I21" s="8">
        <f>'Production Budget'!M150</f>
        <v>0</v>
      </c>
      <c r="J21" s="13">
        <f>'Production Budget'!N150</f>
        <v>0</v>
      </c>
    </row>
    <row r="22" spans="2:10" s="109" customFormat="1" ht="19.95" customHeight="1" x14ac:dyDescent="0.3">
      <c r="B22" s="114"/>
      <c r="C22" s="108"/>
      <c r="D22" s="108"/>
      <c r="E22" s="112"/>
      <c r="F22" s="189">
        <f>'Production Budget'!F151</f>
        <v>16</v>
      </c>
      <c r="G22" s="190" t="str">
        <f>'Production Budget'!G151</f>
        <v>Post picture</v>
      </c>
      <c r="H22" s="3">
        <f>'Production Budget'!K164</f>
        <v>0</v>
      </c>
      <c r="I22" s="8">
        <f>'Production Budget'!M164</f>
        <v>0</v>
      </c>
      <c r="J22" s="13">
        <f>'Production Budget'!N164</f>
        <v>0</v>
      </c>
    </row>
    <row r="23" spans="2:10" s="109" customFormat="1" ht="19.95" customHeight="1" x14ac:dyDescent="0.3">
      <c r="B23" s="114"/>
      <c r="C23" s="108"/>
      <c r="D23" s="108"/>
      <c r="E23" s="112"/>
      <c r="F23" s="189">
        <f>'Production Budget'!F165</f>
        <v>17</v>
      </c>
      <c r="G23" s="190" t="str">
        <f>'Production Budget'!G165</f>
        <v>Post sound</v>
      </c>
      <c r="H23" s="3">
        <f>'Production Budget'!K172</f>
        <v>0</v>
      </c>
      <c r="I23" s="8">
        <f>'Production Budget'!M172</f>
        <v>0</v>
      </c>
      <c r="J23" s="13">
        <f>'Production Budget'!N172</f>
        <v>0</v>
      </c>
    </row>
    <row r="24" spans="2:10" s="109" customFormat="1" ht="19.95" customHeight="1" x14ac:dyDescent="0.3">
      <c r="B24" s="114"/>
      <c r="C24" s="108"/>
      <c r="D24" s="108"/>
      <c r="E24" s="112"/>
      <c r="F24" s="189">
        <f>'Production Budget'!F173</f>
        <v>18</v>
      </c>
      <c r="G24" s="190" t="str">
        <f>'Production Budget'!G173</f>
        <v>Music</v>
      </c>
      <c r="H24" s="3">
        <f>'Production Budget'!K178</f>
        <v>0</v>
      </c>
      <c r="I24" s="8">
        <f>'Production Budget'!M178</f>
        <v>0</v>
      </c>
      <c r="J24" s="13">
        <f>'Production Budget'!N178</f>
        <v>0</v>
      </c>
    </row>
    <row r="25" spans="2:10" s="109" customFormat="1" ht="19.95" customHeight="1" x14ac:dyDescent="0.3">
      <c r="B25" s="114"/>
      <c r="C25" s="108"/>
      <c r="D25" s="108"/>
      <c r="E25" s="108"/>
      <c r="F25" s="189">
        <f>'Production Budget'!F179</f>
        <v>19</v>
      </c>
      <c r="G25" s="190" t="str">
        <f>'Production Budget'!G179</f>
        <v>Publicity</v>
      </c>
      <c r="H25" s="3">
        <f>'Production Budget'!K186</f>
        <v>0</v>
      </c>
      <c r="I25" s="8">
        <f>'Production Budget'!M186</f>
        <v>0</v>
      </c>
      <c r="J25" s="13">
        <f>'Production Budget'!N186</f>
        <v>0</v>
      </c>
    </row>
    <row r="26" spans="2:10" s="109" customFormat="1" ht="19.95" customHeight="1" thickBot="1" x14ac:dyDescent="0.35">
      <c r="B26" s="115"/>
      <c r="C26" s="110"/>
      <c r="D26" s="112"/>
      <c r="E26" s="203"/>
      <c r="F26" s="194">
        <f>'Production Budget'!F187</f>
        <v>20</v>
      </c>
      <c r="G26" s="195" t="str">
        <f>'Production Budget'!G187</f>
        <v>Miscellaneous</v>
      </c>
      <c r="H26" s="4">
        <f>'Production Budget'!K200</f>
        <v>0</v>
      </c>
      <c r="I26" s="12">
        <f>'Production Budget'!M200</f>
        <v>0</v>
      </c>
      <c r="J26" s="17">
        <f>'Production Budget'!N200</f>
        <v>0</v>
      </c>
    </row>
    <row r="27" spans="2:10" s="109" customFormat="1" ht="19.95" customHeight="1" thickTop="1" thickBot="1" x14ac:dyDescent="0.35">
      <c r="B27" s="114"/>
      <c r="C27" s="108"/>
      <c r="D27" s="108"/>
      <c r="E27" s="108"/>
      <c r="F27" s="588" t="str">
        <f>'Production Budget'!F201</f>
        <v>Total below the line:</v>
      </c>
      <c r="G27" s="589"/>
      <c r="H27" s="207" t="e">
        <f>SUM(H8:H26)</f>
        <v>#REF!</v>
      </c>
      <c r="I27" s="208" t="e">
        <f>SUM(I8:I26)</f>
        <v>#REF!</v>
      </c>
      <c r="J27" s="198" t="e">
        <f>SUM(J8:J26)</f>
        <v>#REF!</v>
      </c>
    </row>
    <row r="28" spans="2:10" s="109" customFormat="1" ht="19.95" customHeight="1" x14ac:dyDescent="0.3">
      <c r="B28" s="209"/>
      <c r="C28" s="203"/>
      <c r="D28" s="203"/>
      <c r="E28" s="108"/>
      <c r="F28" s="189">
        <f>'Production Budget'!F203</f>
        <v>21</v>
      </c>
      <c r="G28" s="190" t="str">
        <f>'Production Budget'!G203</f>
        <v>Insurance</v>
      </c>
      <c r="H28" s="3">
        <f>'Production Budget'!K206</f>
        <v>0</v>
      </c>
      <c r="I28" s="8">
        <f>'Production Budget'!M206</f>
        <v>0</v>
      </c>
      <c r="J28" s="13">
        <f>'Production Budget'!N206</f>
        <v>0</v>
      </c>
    </row>
    <row r="29" spans="2:10" s="109" customFormat="1" ht="19.95" customHeight="1" thickBot="1" x14ac:dyDescent="0.35">
      <c r="B29" s="114"/>
      <c r="C29" s="108"/>
      <c r="D29" s="108"/>
      <c r="E29" s="108"/>
      <c r="F29" s="194">
        <f>'Production Budget'!F207</f>
        <v>22</v>
      </c>
      <c r="G29" s="195" t="str">
        <f>'Production Budget'!G207</f>
        <v>Contingency</v>
      </c>
      <c r="H29" s="4">
        <f>'Production Budget'!K210</f>
        <v>0</v>
      </c>
      <c r="I29" s="12">
        <f>'Production Budget'!M210</f>
        <v>0</v>
      </c>
      <c r="J29" s="17">
        <f>'Production Budget'!N210</f>
        <v>0</v>
      </c>
    </row>
    <row r="30" spans="2:10" s="109" customFormat="1" ht="19.95" customHeight="1" thickTop="1" thickBot="1" x14ac:dyDescent="0.35">
      <c r="B30" s="115"/>
      <c r="C30" s="110"/>
      <c r="D30" s="110"/>
      <c r="E30" s="108"/>
      <c r="F30" s="586" t="str">
        <f>'Production Budget'!F211</f>
        <v>Total other:</v>
      </c>
      <c r="G30" s="587"/>
      <c r="H30" s="210">
        <f>SUM(H28:H29)</f>
        <v>0</v>
      </c>
      <c r="I30" s="211">
        <f>SUM(I28:I29)</f>
        <v>0</v>
      </c>
      <c r="J30" s="212">
        <f>SUM(J28:J29)</f>
        <v>0</v>
      </c>
    </row>
    <row r="31" spans="2:10" s="109" customFormat="1" ht="19.95" customHeight="1" thickTop="1" thickBot="1" x14ac:dyDescent="0.3">
      <c r="B31" s="115"/>
      <c r="C31" s="110"/>
      <c r="D31" s="110"/>
      <c r="E31" s="108"/>
      <c r="F31" s="213"/>
      <c r="G31" s="214"/>
      <c r="H31" s="214"/>
      <c r="I31" s="214"/>
      <c r="J31" s="214"/>
    </row>
    <row r="32" spans="2:10" s="109" customFormat="1" ht="19.95" customHeight="1" thickTop="1" thickBot="1" x14ac:dyDescent="0.35">
      <c r="B32" s="115"/>
      <c r="C32" s="110"/>
      <c r="D32" s="112"/>
      <c r="E32" s="108"/>
      <c r="F32" s="575" t="s">
        <v>267</v>
      </c>
      <c r="G32" s="576"/>
      <c r="H32" s="577"/>
      <c r="I32" s="573" t="e">
        <f>SUM(H30,H27,H7)</f>
        <v>#REF!</v>
      </c>
      <c r="J32" s="574"/>
    </row>
    <row r="33" spans="2:10" s="109" customFormat="1" ht="19.95" customHeight="1" thickTop="1" thickBot="1" x14ac:dyDescent="0.35">
      <c r="B33" s="114"/>
      <c r="C33" s="108"/>
      <c r="D33" s="112"/>
      <c r="E33" s="108"/>
      <c r="F33" s="582" t="s">
        <v>268</v>
      </c>
      <c r="G33" s="583"/>
      <c r="H33" s="583"/>
      <c r="I33" s="584" t="e">
        <f>I30+I27+I7</f>
        <v>#REF!</v>
      </c>
      <c r="J33" s="585"/>
    </row>
    <row r="34" spans="2:10" s="109" customFormat="1" ht="19.95" customHeight="1" thickTop="1" thickBot="1" x14ac:dyDescent="0.35">
      <c r="B34" s="115"/>
      <c r="C34" s="110"/>
      <c r="D34" s="112"/>
      <c r="E34" s="108"/>
      <c r="F34" s="580" t="s">
        <v>269</v>
      </c>
      <c r="G34" s="581"/>
      <c r="H34" s="581"/>
      <c r="I34" s="578" t="e">
        <f>J30+J27+J7</f>
        <v>#REF!</v>
      </c>
      <c r="J34" s="579"/>
    </row>
    <row r="35" spans="2:10" s="109" customFormat="1" ht="19.95" customHeight="1" thickTop="1" x14ac:dyDescent="0.3">
      <c r="B35" s="215"/>
      <c r="C35" s="216"/>
      <c r="D35" s="206"/>
      <c r="E35" s="108"/>
      <c r="F35" s="116"/>
      <c r="G35" s="117"/>
      <c r="H35" s="118"/>
    </row>
    <row r="36" spans="2:10" s="109" customFormat="1" ht="19.95" hidden="1" customHeight="1" x14ac:dyDescent="0.3">
      <c r="B36" s="114"/>
      <c r="C36" s="108"/>
      <c r="D36" s="108"/>
      <c r="E36" s="108"/>
      <c r="F36" s="116"/>
      <c r="H36" s="118"/>
    </row>
    <row r="37" spans="2:10" s="113" customFormat="1" ht="19.95" hidden="1" customHeight="1" x14ac:dyDescent="0.3">
      <c r="B37" s="114"/>
      <c r="C37" s="108"/>
      <c r="D37" s="108"/>
      <c r="E37" s="203"/>
      <c r="F37" s="116"/>
      <c r="G37" s="117"/>
      <c r="H37" s="118"/>
      <c r="I37" s="109"/>
      <c r="J37" s="109"/>
    </row>
    <row r="38" spans="2:10" s="113" customFormat="1" ht="19.95" hidden="1" customHeight="1" x14ac:dyDescent="0.3">
      <c r="B38" s="114"/>
      <c r="C38" s="108"/>
      <c r="D38" s="108"/>
      <c r="E38" s="108"/>
      <c r="F38" s="116"/>
      <c r="G38" s="117"/>
      <c r="H38" s="118"/>
      <c r="I38" s="109"/>
      <c r="J38" s="109"/>
    </row>
    <row r="39" spans="2:10" s="109" customFormat="1" ht="19.95" hidden="1" customHeight="1" x14ac:dyDescent="0.3">
      <c r="B39" s="114"/>
      <c r="C39" s="108"/>
      <c r="D39" s="108"/>
      <c r="E39" s="108"/>
      <c r="F39" s="116"/>
      <c r="G39" s="117"/>
      <c r="H39" s="118"/>
    </row>
    <row r="40" spans="2:10" s="113" customFormat="1" ht="19.95" hidden="1" customHeight="1" x14ac:dyDescent="0.3">
      <c r="B40" s="114"/>
      <c r="C40" s="108"/>
      <c r="D40" s="108"/>
      <c r="E40" s="108"/>
      <c r="F40" s="116"/>
      <c r="G40" s="117"/>
      <c r="H40" s="118"/>
      <c r="I40" s="109"/>
      <c r="J40" s="109"/>
    </row>
    <row r="41" spans="2:10" s="109" customFormat="1" ht="19.95" hidden="1" customHeight="1" x14ac:dyDescent="0.3">
      <c r="B41" s="114"/>
      <c r="C41" s="108"/>
      <c r="D41" s="108"/>
      <c r="E41" s="108"/>
      <c r="F41" s="116"/>
      <c r="G41" s="117"/>
      <c r="H41" s="118"/>
    </row>
    <row r="42" spans="2:10" s="109" customFormat="1" ht="19.95" hidden="1" customHeight="1" x14ac:dyDescent="0.3">
      <c r="B42" s="114"/>
      <c r="C42" s="108"/>
      <c r="D42" s="108"/>
      <c r="E42" s="108"/>
      <c r="F42" s="116"/>
      <c r="G42" s="117"/>
      <c r="H42" s="118"/>
    </row>
    <row r="43" spans="2:10" s="113" customFormat="1" ht="19.95" hidden="1" customHeight="1" x14ac:dyDescent="0.3">
      <c r="B43" s="209"/>
      <c r="C43" s="203"/>
      <c r="D43" s="203"/>
      <c r="E43" s="108"/>
      <c r="F43" s="116"/>
      <c r="G43" s="117"/>
      <c r="H43" s="118"/>
      <c r="I43" s="109"/>
      <c r="J43" s="109"/>
    </row>
    <row r="44" spans="2:10" s="113" customFormat="1" ht="19.95" hidden="1" customHeight="1" x14ac:dyDescent="0.3">
      <c r="B44" s="114"/>
      <c r="C44" s="108"/>
      <c r="D44" s="108"/>
      <c r="E44" s="108"/>
      <c r="F44" s="116"/>
      <c r="G44" s="117"/>
      <c r="H44" s="118"/>
      <c r="I44" s="109"/>
      <c r="J44" s="109"/>
    </row>
    <row r="45" spans="2:10" s="113" customFormat="1" ht="19.95" hidden="1" customHeight="1" x14ac:dyDescent="0.3">
      <c r="B45" s="114"/>
      <c r="C45" s="108"/>
      <c r="D45" s="108"/>
      <c r="E45" s="108"/>
      <c r="F45" s="116"/>
      <c r="G45" s="117"/>
      <c r="H45" s="118"/>
      <c r="I45" s="109"/>
      <c r="J45" s="109"/>
    </row>
    <row r="46" spans="2:10" s="109" customFormat="1" ht="19.95" hidden="1" customHeight="1" x14ac:dyDescent="0.3">
      <c r="B46" s="114"/>
      <c r="C46" s="108"/>
      <c r="D46" s="108"/>
      <c r="E46" s="108"/>
      <c r="F46" s="116"/>
      <c r="G46" s="117"/>
      <c r="H46" s="118"/>
    </row>
    <row r="47" spans="2:10" s="217" customFormat="1" ht="19.95" hidden="1" customHeight="1" x14ac:dyDescent="0.3">
      <c r="B47" s="114"/>
      <c r="C47" s="108"/>
      <c r="D47" s="108"/>
      <c r="E47" s="108"/>
      <c r="F47" s="116"/>
      <c r="G47" s="117"/>
      <c r="H47" s="118"/>
      <c r="I47" s="109"/>
      <c r="J47" s="109"/>
    </row>
    <row r="48" spans="2:10" s="109" customFormat="1" ht="19.95" hidden="1" customHeight="1" x14ac:dyDescent="0.3">
      <c r="B48" s="114"/>
      <c r="C48" s="108"/>
      <c r="D48" s="108"/>
      <c r="E48" s="108"/>
      <c r="F48" s="116"/>
      <c r="G48" s="117"/>
      <c r="H48" s="118"/>
    </row>
    <row r="49" spans="2:10" s="109" customFormat="1" ht="19.95" hidden="1" customHeight="1" x14ac:dyDescent="0.3">
      <c r="B49" s="114"/>
      <c r="C49" s="108"/>
      <c r="D49" s="108"/>
      <c r="E49" s="108"/>
      <c r="F49" s="116"/>
      <c r="G49" s="117"/>
      <c r="H49" s="118"/>
    </row>
    <row r="50" spans="2:10" s="109" customFormat="1" ht="19.95" hidden="1" customHeight="1" x14ac:dyDescent="0.3">
      <c r="B50" s="114"/>
      <c r="C50" s="108"/>
      <c r="D50" s="108"/>
      <c r="E50" s="203"/>
      <c r="F50" s="116"/>
      <c r="G50" s="117"/>
      <c r="H50" s="118"/>
    </row>
    <row r="51" spans="2:10" s="109" customFormat="1" ht="19.95" hidden="1" customHeight="1" x14ac:dyDescent="0.3">
      <c r="B51" s="114"/>
      <c r="C51" s="108"/>
      <c r="D51" s="108"/>
      <c r="E51" s="108"/>
      <c r="F51" s="116"/>
      <c r="G51" s="117"/>
      <c r="H51" s="118"/>
    </row>
    <row r="52" spans="2:10" s="109" customFormat="1" ht="19.95" hidden="1" customHeight="1" x14ac:dyDescent="0.3">
      <c r="B52" s="114"/>
      <c r="C52" s="108"/>
      <c r="D52" s="108"/>
      <c r="E52" s="108"/>
      <c r="F52" s="116"/>
      <c r="G52" s="117"/>
      <c r="H52" s="118"/>
    </row>
    <row r="53" spans="2:10" s="109" customFormat="1" ht="19.95" hidden="1" customHeight="1" x14ac:dyDescent="0.3">
      <c r="B53" s="209"/>
      <c r="C53" s="203"/>
      <c r="D53" s="203"/>
      <c r="E53" s="108"/>
      <c r="F53" s="116"/>
      <c r="G53" s="117"/>
      <c r="H53" s="118"/>
    </row>
    <row r="54" spans="2:10" s="109" customFormat="1" ht="19.95" hidden="1" customHeight="1" x14ac:dyDescent="0.3">
      <c r="B54" s="114"/>
      <c r="C54" s="108"/>
      <c r="D54" s="108"/>
      <c r="E54" s="108"/>
      <c r="F54" s="116"/>
      <c r="G54" s="117"/>
      <c r="H54" s="118"/>
    </row>
    <row r="55" spans="2:10" s="109" customFormat="1" ht="19.95" hidden="1" customHeight="1" x14ac:dyDescent="0.3">
      <c r="B55" s="114"/>
      <c r="C55" s="108"/>
      <c r="D55" s="108"/>
      <c r="E55" s="108"/>
      <c r="F55" s="116"/>
      <c r="G55" s="117"/>
      <c r="H55" s="118"/>
    </row>
    <row r="56" spans="2:10" s="109" customFormat="1" ht="19.95" hidden="1" customHeight="1" x14ac:dyDescent="0.3">
      <c r="B56" s="114"/>
      <c r="C56" s="108"/>
      <c r="D56" s="108"/>
      <c r="E56" s="203"/>
      <c r="F56" s="116"/>
      <c r="G56" s="117"/>
      <c r="H56" s="118"/>
    </row>
    <row r="57" spans="2:10" s="109" customFormat="1" ht="19.95" hidden="1" customHeight="1" x14ac:dyDescent="0.3">
      <c r="B57" s="114"/>
      <c r="C57" s="108"/>
      <c r="D57" s="108"/>
      <c r="E57" s="108"/>
      <c r="F57" s="116"/>
      <c r="G57" s="117"/>
      <c r="H57" s="118"/>
    </row>
    <row r="58" spans="2:10" s="109" customFormat="1" ht="19.95" hidden="1" customHeight="1" x14ac:dyDescent="0.3">
      <c r="B58" s="114"/>
      <c r="C58" s="108"/>
      <c r="D58" s="108"/>
      <c r="E58" s="108"/>
      <c r="F58" s="116"/>
      <c r="G58" s="117"/>
      <c r="H58" s="118"/>
    </row>
    <row r="59" spans="2:10" s="109" customFormat="1" ht="19.95" hidden="1" customHeight="1" x14ac:dyDescent="0.3">
      <c r="B59" s="114"/>
      <c r="C59" s="108"/>
      <c r="D59" s="108"/>
      <c r="E59" s="108"/>
      <c r="F59" s="116"/>
      <c r="G59" s="117"/>
      <c r="H59" s="118"/>
    </row>
    <row r="60" spans="2:10" s="217" customFormat="1" ht="19.95" hidden="1" customHeight="1" x14ac:dyDescent="0.3">
      <c r="B60" s="114"/>
      <c r="C60" s="108"/>
      <c r="D60" s="108"/>
      <c r="E60" s="108"/>
      <c r="F60" s="116"/>
      <c r="G60" s="117"/>
      <c r="H60" s="118"/>
      <c r="I60" s="109"/>
      <c r="J60" s="109"/>
    </row>
    <row r="61" spans="2:10" s="109" customFormat="1" ht="19.95" hidden="1" customHeight="1" x14ac:dyDescent="0.3">
      <c r="B61" s="114"/>
      <c r="C61" s="108"/>
      <c r="D61" s="108"/>
      <c r="E61" s="108"/>
      <c r="F61" s="116"/>
      <c r="G61" s="117"/>
      <c r="H61" s="118"/>
    </row>
    <row r="62" spans="2:10" s="109" customFormat="1" ht="19.95" hidden="1" customHeight="1" x14ac:dyDescent="0.3">
      <c r="B62" s="114"/>
      <c r="C62" s="108"/>
      <c r="D62" s="108"/>
      <c r="E62" s="108"/>
      <c r="F62" s="116"/>
      <c r="G62" s="117"/>
      <c r="H62" s="118"/>
    </row>
    <row r="63" spans="2:10" s="109" customFormat="1" ht="19.95" hidden="1" customHeight="1" x14ac:dyDescent="0.3">
      <c r="B63" s="114"/>
      <c r="C63" s="108"/>
      <c r="D63" s="108"/>
      <c r="E63" s="108"/>
      <c r="F63" s="116"/>
      <c r="G63" s="117"/>
      <c r="H63" s="118"/>
    </row>
    <row r="64" spans="2:10" s="109" customFormat="1" ht="19.95" hidden="1" customHeight="1" x14ac:dyDescent="0.3">
      <c r="B64" s="209"/>
      <c r="C64" s="203"/>
      <c r="D64" s="203"/>
      <c r="E64" s="108"/>
      <c r="F64" s="116"/>
      <c r="G64" s="117"/>
      <c r="H64" s="118"/>
    </row>
    <row r="65" spans="2:10" s="109" customFormat="1" ht="19.95" hidden="1" customHeight="1" x14ac:dyDescent="0.3">
      <c r="B65" s="114"/>
      <c r="C65" s="108"/>
      <c r="D65" s="108"/>
      <c r="E65" s="108"/>
      <c r="F65" s="116"/>
      <c r="G65" s="117"/>
      <c r="H65" s="118"/>
    </row>
    <row r="66" spans="2:10" s="109" customFormat="1" ht="19.95" hidden="1" customHeight="1" x14ac:dyDescent="0.3">
      <c r="B66" s="114"/>
      <c r="C66" s="108"/>
      <c r="D66" s="108"/>
      <c r="E66" s="108"/>
      <c r="F66" s="116"/>
      <c r="G66" s="117"/>
      <c r="H66" s="118"/>
    </row>
    <row r="67" spans="2:10" s="109" customFormat="1" ht="19.95" hidden="1" customHeight="1" x14ac:dyDescent="0.3">
      <c r="B67" s="115"/>
      <c r="C67" s="110"/>
      <c r="D67" s="110"/>
      <c r="E67" s="108"/>
      <c r="F67" s="116"/>
      <c r="G67" s="117"/>
      <c r="H67" s="118"/>
    </row>
    <row r="68" spans="2:10" s="113" customFormat="1" ht="19.95" hidden="1" customHeight="1" x14ac:dyDescent="0.3">
      <c r="B68" s="114"/>
      <c r="C68" s="108"/>
      <c r="D68" s="108"/>
      <c r="E68" s="108"/>
      <c r="F68" s="116"/>
      <c r="G68" s="117"/>
      <c r="H68" s="118"/>
      <c r="I68" s="109"/>
      <c r="J68" s="109"/>
    </row>
    <row r="69" spans="2:10" s="218" customFormat="1" ht="19.95" hidden="1" customHeight="1" x14ac:dyDescent="0.3">
      <c r="B69" s="115"/>
      <c r="C69" s="110"/>
      <c r="D69" s="110"/>
      <c r="E69" s="108"/>
      <c r="F69" s="116"/>
      <c r="G69" s="117"/>
      <c r="H69" s="118"/>
      <c r="I69" s="109"/>
      <c r="J69" s="109"/>
    </row>
    <row r="70" spans="2:10" s="109" customFormat="1" ht="19.95" hidden="1" customHeight="1" x14ac:dyDescent="0.3">
      <c r="B70" s="114"/>
      <c r="C70" s="108"/>
      <c r="D70" s="108"/>
      <c r="E70" s="203"/>
      <c r="F70" s="116"/>
      <c r="G70" s="117"/>
      <c r="H70" s="118"/>
    </row>
    <row r="71" spans="2:10" s="109" customFormat="1" ht="19.95" hidden="1" customHeight="1" x14ac:dyDescent="0.3">
      <c r="B71" s="209"/>
      <c r="C71" s="203"/>
      <c r="D71" s="203"/>
      <c r="E71" s="108"/>
      <c r="F71" s="116"/>
      <c r="G71" s="117"/>
      <c r="H71" s="118"/>
    </row>
    <row r="72" spans="2:10" s="109" customFormat="1" ht="19.95" hidden="1" customHeight="1" x14ac:dyDescent="0.3">
      <c r="B72" s="114"/>
      <c r="C72" s="108"/>
      <c r="D72" s="108"/>
      <c r="E72" s="108"/>
      <c r="F72" s="116"/>
      <c r="G72" s="117"/>
      <c r="H72" s="118"/>
    </row>
    <row r="73" spans="2:10" s="109" customFormat="1" ht="19.95" hidden="1" customHeight="1" x14ac:dyDescent="0.3">
      <c r="B73" s="114"/>
      <c r="C73" s="108"/>
      <c r="D73" s="108"/>
      <c r="E73" s="108"/>
      <c r="F73" s="116"/>
      <c r="G73" s="117"/>
      <c r="H73" s="118"/>
    </row>
    <row r="74" spans="2:10" s="113" customFormat="1" ht="19.95" hidden="1" customHeight="1" x14ac:dyDescent="0.3">
      <c r="B74" s="114"/>
      <c r="C74" s="108"/>
      <c r="D74" s="108"/>
      <c r="E74" s="108"/>
      <c r="F74" s="116"/>
      <c r="G74" s="117"/>
      <c r="H74" s="118"/>
      <c r="I74" s="109"/>
      <c r="J74" s="109"/>
    </row>
    <row r="75" spans="2:10" s="113" customFormat="1" ht="19.95" hidden="1" customHeight="1" x14ac:dyDescent="0.3">
      <c r="B75" s="115"/>
      <c r="C75" s="110"/>
      <c r="D75" s="110"/>
      <c r="E75" s="108"/>
      <c r="F75" s="116"/>
      <c r="G75" s="117"/>
      <c r="H75" s="118"/>
      <c r="I75" s="109"/>
      <c r="J75" s="109"/>
    </row>
    <row r="76" spans="2:10" s="113" customFormat="1" ht="19.95" hidden="1" customHeight="1" x14ac:dyDescent="0.3">
      <c r="B76" s="115"/>
      <c r="C76" s="110"/>
      <c r="D76" s="110"/>
      <c r="E76" s="108"/>
      <c r="F76" s="116"/>
      <c r="G76" s="117"/>
      <c r="H76" s="118"/>
      <c r="I76" s="109"/>
      <c r="J76" s="109"/>
    </row>
    <row r="77" spans="2:10" s="218" customFormat="1" ht="19.95" hidden="1" customHeight="1" x14ac:dyDescent="0.3">
      <c r="B77" s="115"/>
      <c r="C77" s="110"/>
      <c r="D77" s="110"/>
      <c r="E77" s="108"/>
      <c r="F77" s="116"/>
      <c r="G77" s="117"/>
      <c r="H77" s="118"/>
      <c r="I77" s="109"/>
      <c r="J77" s="109"/>
    </row>
    <row r="78" spans="2:10" s="109" customFormat="1" ht="19.95" hidden="1" customHeight="1" x14ac:dyDescent="0.3">
      <c r="B78" s="114"/>
      <c r="C78" s="108"/>
      <c r="D78" s="108"/>
      <c r="E78" s="203"/>
      <c r="F78" s="116"/>
      <c r="G78" s="117"/>
      <c r="H78" s="118"/>
    </row>
    <row r="79" spans="2:10" s="113" customFormat="1" ht="19.95" hidden="1" customHeight="1" x14ac:dyDescent="0.3">
      <c r="B79" s="115"/>
      <c r="C79" s="110"/>
      <c r="D79" s="110"/>
      <c r="E79" s="108"/>
      <c r="F79" s="116"/>
      <c r="G79" s="117"/>
      <c r="H79" s="118"/>
      <c r="I79" s="109"/>
      <c r="J79" s="109"/>
    </row>
    <row r="80" spans="2:10" s="113" customFormat="1" ht="19.95" hidden="1" customHeight="1" x14ac:dyDescent="0.3">
      <c r="B80" s="114"/>
      <c r="C80" s="108"/>
      <c r="D80" s="108"/>
      <c r="E80" s="108"/>
      <c r="F80" s="116"/>
      <c r="G80" s="117"/>
      <c r="H80" s="118"/>
      <c r="I80" s="109"/>
      <c r="J80" s="109"/>
    </row>
    <row r="81" spans="2:10" s="109" customFormat="1" ht="19.95" hidden="1" customHeight="1" x14ac:dyDescent="0.3">
      <c r="B81" s="115"/>
      <c r="C81" s="110"/>
      <c r="D81" s="110"/>
      <c r="E81" s="108"/>
      <c r="F81" s="116"/>
      <c r="G81" s="117"/>
      <c r="H81" s="118"/>
    </row>
    <row r="82" spans="2:10" s="109" customFormat="1" ht="19.95" hidden="1" customHeight="1" x14ac:dyDescent="0.3">
      <c r="B82" s="115"/>
      <c r="C82" s="110"/>
      <c r="D82" s="110"/>
      <c r="E82" s="108"/>
      <c r="F82" s="116"/>
      <c r="G82" s="117"/>
      <c r="H82" s="118"/>
    </row>
    <row r="83" spans="2:10" s="109" customFormat="1" ht="19.95" hidden="1" customHeight="1" x14ac:dyDescent="0.3">
      <c r="B83" s="114"/>
      <c r="C83" s="108"/>
      <c r="D83" s="108"/>
      <c r="E83" s="108"/>
      <c r="F83" s="116"/>
      <c r="G83" s="117"/>
      <c r="H83" s="118"/>
    </row>
    <row r="84" spans="2:10" s="109" customFormat="1" ht="19.95" hidden="1" customHeight="1" x14ac:dyDescent="0.3">
      <c r="B84" s="114"/>
      <c r="C84" s="108"/>
      <c r="D84" s="108"/>
      <c r="E84" s="203"/>
      <c r="F84" s="116"/>
      <c r="G84" s="117"/>
      <c r="H84" s="118"/>
    </row>
    <row r="85" spans="2:10" s="109" customFormat="1" ht="19.95" hidden="1" customHeight="1" x14ac:dyDescent="0.3">
      <c r="B85" s="114"/>
      <c r="C85" s="108"/>
      <c r="D85" s="108"/>
      <c r="E85" s="108"/>
      <c r="F85" s="116"/>
      <c r="G85" s="117"/>
      <c r="H85" s="118"/>
    </row>
    <row r="86" spans="2:10" s="109" customFormat="1" ht="19.95" hidden="1" customHeight="1" x14ac:dyDescent="0.3">
      <c r="B86" s="114"/>
      <c r="C86" s="108"/>
      <c r="D86" s="108"/>
      <c r="E86" s="108"/>
      <c r="F86" s="116"/>
      <c r="G86" s="117"/>
      <c r="H86" s="118"/>
    </row>
    <row r="87" spans="2:10" s="217" customFormat="1" ht="19.95" hidden="1" customHeight="1" x14ac:dyDescent="0.3">
      <c r="B87" s="209"/>
      <c r="C87" s="203"/>
      <c r="D87" s="203"/>
      <c r="E87" s="108"/>
      <c r="F87" s="116"/>
      <c r="G87" s="117"/>
      <c r="H87" s="118"/>
      <c r="I87" s="109"/>
      <c r="J87" s="109"/>
    </row>
    <row r="88" spans="2:10" s="109" customFormat="1" ht="19.95" hidden="1" customHeight="1" x14ac:dyDescent="0.3">
      <c r="B88" s="114"/>
      <c r="C88" s="108"/>
      <c r="D88" s="108"/>
      <c r="E88" s="108"/>
      <c r="F88" s="116"/>
      <c r="G88" s="117"/>
      <c r="H88" s="118"/>
    </row>
    <row r="89" spans="2:10" s="109" customFormat="1" ht="19.95" hidden="1" customHeight="1" x14ac:dyDescent="0.3">
      <c r="B89" s="114"/>
      <c r="C89" s="108"/>
      <c r="D89" s="108"/>
      <c r="E89" s="108"/>
      <c r="F89" s="116"/>
      <c r="G89" s="117"/>
      <c r="H89" s="118"/>
    </row>
    <row r="90" spans="2:10" s="109" customFormat="1" ht="19.95" hidden="1" customHeight="1" x14ac:dyDescent="0.3">
      <c r="B90" s="114"/>
      <c r="C90" s="108"/>
      <c r="D90" s="112"/>
      <c r="E90" s="108"/>
      <c r="F90" s="116"/>
      <c r="G90" s="117"/>
      <c r="H90" s="118"/>
    </row>
    <row r="91" spans="2:10" s="109" customFormat="1" ht="19.95" hidden="1" customHeight="1" x14ac:dyDescent="0.3">
      <c r="B91" s="114"/>
      <c r="C91" s="108"/>
      <c r="D91" s="112"/>
      <c r="E91" s="108"/>
      <c r="F91" s="116"/>
      <c r="G91" s="117"/>
      <c r="H91" s="118"/>
    </row>
    <row r="92" spans="2:10" s="109" customFormat="1" ht="19.95" hidden="1" customHeight="1" x14ac:dyDescent="0.3">
      <c r="B92" s="114"/>
      <c r="C92" s="108"/>
      <c r="D92" s="112"/>
      <c r="E92" s="203"/>
      <c r="F92" s="116"/>
      <c r="G92" s="117"/>
      <c r="H92" s="118"/>
    </row>
    <row r="93" spans="2:10" s="109" customFormat="1" ht="19.95" hidden="1" customHeight="1" x14ac:dyDescent="0.3">
      <c r="B93" s="209"/>
      <c r="C93" s="203"/>
      <c r="D93" s="206"/>
      <c r="E93" s="108"/>
      <c r="F93" s="116"/>
      <c r="G93" s="117"/>
      <c r="H93" s="118"/>
    </row>
    <row r="94" spans="2:10" s="109" customFormat="1" ht="19.95" hidden="1" customHeight="1" x14ac:dyDescent="0.3">
      <c r="B94" s="114"/>
      <c r="C94" s="108"/>
      <c r="D94" s="112"/>
      <c r="E94" s="108"/>
      <c r="F94" s="116"/>
      <c r="G94" s="117"/>
      <c r="H94" s="118"/>
    </row>
    <row r="95" spans="2:10" s="109" customFormat="1" ht="19.95" hidden="1" customHeight="1" x14ac:dyDescent="0.3">
      <c r="B95" s="114"/>
      <c r="C95" s="108"/>
      <c r="D95" s="112"/>
      <c r="E95" s="108"/>
      <c r="F95" s="116"/>
      <c r="G95" s="117"/>
      <c r="H95" s="118"/>
    </row>
    <row r="96" spans="2:10" s="109" customFormat="1" ht="19.95" hidden="1" customHeight="1" x14ac:dyDescent="0.3">
      <c r="B96" s="114"/>
      <c r="C96" s="108"/>
      <c r="D96" s="112"/>
      <c r="E96" s="108"/>
      <c r="F96" s="116"/>
      <c r="G96" s="117"/>
      <c r="H96" s="118"/>
    </row>
    <row r="97" spans="2:10" s="109" customFormat="1" ht="19.95" hidden="1" customHeight="1" x14ac:dyDescent="0.3">
      <c r="B97" s="114"/>
      <c r="C97" s="108"/>
      <c r="D97" s="112"/>
      <c r="E97" s="108"/>
      <c r="F97" s="116"/>
      <c r="G97" s="117"/>
      <c r="H97" s="118"/>
    </row>
    <row r="98" spans="2:10" s="217" customFormat="1" ht="19.95" hidden="1" customHeight="1" x14ac:dyDescent="0.3">
      <c r="B98" s="114"/>
      <c r="C98" s="108"/>
      <c r="D98" s="112"/>
      <c r="E98" s="108"/>
      <c r="F98" s="116"/>
      <c r="G98" s="117"/>
      <c r="H98" s="118"/>
      <c r="I98" s="109"/>
      <c r="J98" s="109"/>
    </row>
    <row r="99" spans="2:10" s="109" customFormat="1" ht="19.95" hidden="1" customHeight="1" x14ac:dyDescent="0.3">
      <c r="B99" s="114"/>
      <c r="C99" s="108"/>
      <c r="D99" s="112"/>
      <c r="E99" s="108"/>
      <c r="F99" s="116"/>
      <c r="G99" s="117"/>
      <c r="H99" s="118"/>
    </row>
    <row r="100" spans="2:10" s="109" customFormat="1" ht="19.95" hidden="1" customHeight="1" x14ac:dyDescent="0.3">
      <c r="B100" s="114"/>
      <c r="C100" s="108"/>
      <c r="D100" s="112"/>
      <c r="E100" s="108"/>
      <c r="F100" s="116"/>
      <c r="G100" s="117"/>
      <c r="H100" s="118"/>
    </row>
    <row r="101" spans="2:10" s="109" customFormat="1" ht="19.95" hidden="1" customHeight="1" x14ac:dyDescent="0.3">
      <c r="B101" s="114"/>
      <c r="C101" s="108"/>
      <c r="D101" s="108"/>
      <c r="E101" s="108"/>
      <c r="F101" s="116"/>
      <c r="G101" s="117"/>
      <c r="H101" s="118"/>
    </row>
    <row r="102" spans="2:10" s="109" customFormat="1" ht="19.95" hidden="1" customHeight="1" x14ac:dyDescent="0.3">
      <c r="B102" s="209"/>
      <c r="C102" s="203"/>
      <c r="D102" s="203"/>
      <c r="E102" s="108"/>
      <c r="F102" s="116"/>
      <c r="G102" s="117"/>
      <c r="H102" s="118"/>
    </row>
    <row r="103" spans="2:10" s="109" customFormat="1" ht="19.95" hidden="1" customHeight="1" x14ac:dyDescent="0.3">
      <c r="B103" s="114"/>
      <c r="C103" s="108"/>
      <c r="D103" s="108"/>
      <c r="E103" s="108"/>
      <c r="F103" s="116"/>
      <c r="G103" s="117"/>
      <c r="H103" s="118"/>
    </row>
    <row r="104" spans="2:10" s="109" customFormat="1" ht="19.95" hidden="1" customHeight="1" x14ac:dyDescent="0.3">
      <c r="B104" s="114"/>
      <c r="C104" s="108"/>
      <c r="D104" s="108"/>
      <c r="E104" s="108"/>
      <c r="F104" s="116"/>
      <c r="G104" s="117"/>
      <c r="H104" s="118"/>
    </row>
    <row r="105" spans="2:10" s="217" customFormat="1" ht="19.95" hidden="1" customHeight="1" x14ac:dyDescent="0.3">
      <c r="B105" s="114"/>
      <c r="C105" s="108"/>
      <c r="D105" s="108"/>
      <c r="E105" s="108"/>
      <c r="F105" s="116"/>
      <c r="G105" s="117"/>
      <c r="H105" s="118"/>
      <c r="I105" s="109"/>
      <c r="J105" s="109"/>
    </row>
    <row r="106" spans="2:10" s="109" customFormat="1" ht="19.95" hidden="1" customHeight="1" x14ac:dyDescent="0.3">
      <c r="B106" s="114"/>
      <c r="C106" s="108"/>
      <c r="D106" s="108"/>
      <c r="E106" s="124"/>
      <c r="F106" s="119"/>
      <c r="G106" s="119"/>
      <c r="H106" s="119"/>
      <c r="I106" s="119"/>
      <c r="J106" s="119"/>
    </row>
    <row r="107" spans="2:10" s="109" customFormat="1" ht="19.95" hidden="1" customHeight="1" x14ac:dyDescent="0.3">
      <c r="B107" s="114"/>
      <c r="C107" s="108"/>
      <c r="D107" s="108"/>
      <c r="E107" s="124"/>
      <c r="F107" s="116"/>
      <c r="G107" s="117"/>
      <c r="H107" s="118"/>
    </row>
    <row r="108" spans="2:10" s="109" customFormat="1" ht="19.95" hidden="1" customHeight="1" x14ac:dyDescent="0.3">
      <c r="B108" s="114"/>
      <c r="C108" s="108"/>
      <c r="D108" s="108"/>
      <c r="E108" s="108"/>
      <c r="F108" s="116"/>
      <c r="G108" s="117"/>
      <c r="H108" s="118"/>
    </row>
    <row r="109" spans="2:10" s="109" customFormat="1" ht="19.95" hidden="1" customHeight="1" x14ac:dyDescent="0.3">
      <c r="B109" s="114"/>
      <c r="C109" s="108"/>
      <c r="D109" s="108"/>
      <c r="E109" s="203"/>
      <c r="F109" s="116"/>
      <c r="G109" s="117"/>
      <c r="H109" s="118"/>
    </row>
    <row r="110" spans="2:10" s="109" customFormat="1" ht="19.95" hidden="1" customHeight="1" x14ac:dyDescent="0.3">
      <c r="B110" s="114"/>
      <c r="C110" s="108"/>
      <c r="D110" s="108"/>
      <c r="E110" s="108"/>
      <c r="F110" s="116"/>
      <c r="G110" s="117"/>
      <c r="H110" s="118"/>
    </row>
    <row r="111" spans="2:10" s="109" customFormat="1" ht="19.95" hidden="1" customHeight="1" x14ac:dyDescent="0.3">
      <c r="B111" s="114"/>
      <c r="C111" s="108"/>
      <c r="D111" s="108"/>
      <c r="E111" s="108"/>
      <c r="F111" s="116"/>
      <c r="G111" s="117"/>
      <c r="H111" s="118"/>
    </row>
    <row r="112" spans="2:10" s="113" customFormat="1" ht="19.95" hidden="1" customHeight="1" x14ac:dyDescent="0.3">
      <c r="B112" s="114"/>
      <c r="C112" s="108"/>
      <c r="D112" s="108"/>
      <c r="E112" s="108"/>
      <c r="F112" s="116"/>
      <c r="G112" s="117"/>
      <c r="H112" s="118"/>
      <c r="I112" s="109"/>
      <c r="J112" s="109"/>
    </row>
    <row r="113" spans="2:10" s="109" customFormat="1" ht="19.95" hidden="1" customHeight="1" x14ac:dyDescent="0.3">
      <c r="B113" s="114"/>
      <c r="C113" s="108"/>
      <c r="D113" s="108"/>
      <c r="E113" s="203"/>
      <c r="F113" s="116"/>
      <c r="G113" s="117"/>
      <c r="H113" s="118"/>
    </row>
    <row r="114" spans="2:10" s="113" customFormat="1" ht="19.95" hidden="1" customHeight="1" x14ac:dyDescent="0.3">
      <c r="B114" s="114"/>
      <c r="C114" s="108"/>
      <c r="D114" s="108"/>
      <c r="E114" s="108"/>
      <c r="F114" s="116"/>
      <c r="G114" s="117"/>
      <c r="H114" s="118"/>
      <c r="I114" s="109"/>
      <c r="J114" s="109"/>
    </row>
    <row r="115" spans="2:10" s="109" customFormat="1" ht="19.95" hidden="1" customHeight="1" x14ac:dyDescent="0.3">
      <c r="B115" s="114"/>
      <c r="C115" s="108"/>
      <c r="D115" s="108"/>
      <c r="E115" s="108"/>
      <c r="F115" s="116"/>
      <c r="G115" s="117"/>
      <c r="H115" s="118"/>
    </row>
    <row r="116" spans="2:10" s="109" customFormat="1" ht="19.95" hidden="1" customHeight="1" x14ac:dyDescent="0.3">
      <c r="B116" s="209"/>
      <c r="C116" s="203"/>
      <c r="D116" s="203"/>
      <c r="E116" s="108"/>
      <c r="F116" s="116"/>
      <c r="G116" s="117"/>
      <c r="H116" s="118"/>
    </row>
    <row r="117" spans="2:10" s="109" customFormat="1" ht="19.95" hidden="1" customHeight="1" x14ac:dyDescent="0.3">
      <c r="B117" s="114"/>
      <c r="C117" s="108"/>
      <c r="D117" s="108"/>
      <c r="E117" s="124"/>
      <c r="F117" s="116"/>
      <c r="G117" s="117"/>
      <c r="H117" s="118"/>
    </row>
    <row r="118" spans="2:10" s="109" customFormat="1" ht="19.95" hidden="1" customHeight="1" x14ac:dyDescent="0.3">
      <c r="B118" s="114"/>
      <c r="C118" s="108"/>
      <c r="D118" s="108"/>
      <c r="E118" s="124"/>
      <c r="F118" s="116"/>
      <c r="G118" s="117"/>
      <c r="H118" s="118"/>
    </row>
    <row r="119" spans="2:10" s="109" customFormat="1" ht="19.95" hidden="1" customHeight="1" x14ac:dyDescent="0.3">
      <c r="B119" s="114"/>
      <c r="C119" s="108"/>
      <c r="D119" s="108"/>
      <c r="E119" s="108"/>
      <c r="F119" s="116"/>
      <c r="G119" s="117"/>
      <c r="H119" s="118"/>
    </row>
    <row r="120" spans="2:10" s="113" customFormat="1" ht="19.95" hidden="1" customHeight="1" x14ac:dyDescent="0.3">
      <c r="B120" s="114"/>
      <c r="C120" s="108"/>
      <c r="D120" s="108"/>
      <c r="E120" s="108"/>
      <c r="F120" s="116"/>
      <c r="G120" s="117"/>
      <c r="H120" s="118"/>
      <c r="I120" s="109"/>
      <c r="J120" s="109"/>
    </row>
    <row r="121" spans="2:10" s="218" customFormat="1" ht="19.95" hidden="1" customHeight="1" x14ac:dyDescent="0.3">
      <c r="B121" s="114"/>
      <c r="C121" s="108"/>
      <c r="D121" s="108"/>
      <c r="E121" s="108"/>
      <c r="F121" s="116"/>
      <c r="G121" s="117"/>
      <c r="H121" s="118"/>
      <c r="I121" s="109"/>
      <c r="J121" s="109"/>
    </row>
    <row r="122" spans="2:10" s="113" customFormat="1" ht="19.95" hidden="1" customHeight="1" x14ac:dyDescent="0.3">
      <c r="B122" s="114"/>
      <c r="C122" s="108"/>
      <c r="D122" s="108"/>
      <c r="E122" s="108"/>
      <c r="F122" s="116"/>
      <c r="G122" s="117"/>
      <c r="H122" s="118"/>
      <c r="I122" s="109"/>
      <c r="J122" s="109"/>
    </row>
    <row r="123" spans="2:10" s="109" customFormat="1" ht="19.95" hidden="1" customHeight="1" x14ac:dyDescent="0.3">
      <c r="B123" s="114"/>
      <c r="C123" s="108"/>
      <c r="D123" s="108"/>
      <c r="E123" s="108"/>
      <c r="F123" s="116"/>
      <c r="G123" s="117"/>
      <c r="H123" s="118"/>
    </row>
    <row r="124" spans="2:10" s="113" customFormat="1" ht="19.95" hidden="1" customHeight="1" x14ac:dyDescent="0.3">
      <c r="B124" s="114"/>
      <c r="C124" s="108"/>
      <c r="D124" s="108"/>
      <c r="E124" s="108"/>
      <c r="F124" s="116"/>
      <c r="G124" s="117"/>
      <c r="H124" s="118"/>
      <c r="I124" s="109"/>
      <c r="J124" s="109"/>
    </row>
    <row r="125" spans="2:10" s="109" customFormat="1" ht="19.95" hidden="1" customHeight="1" x14ac:dyDescent="0.3">
      <c r="B125" s="114"/>
      <c r="C125" s="108"/>
      <c r="D125" s="108"/>
      <c r="E125" s="108"/>
      <c r="F125" s="116"/>
      <c r="G125" s="117"/>
      <c r="H125" s="118"/>
    </row>
    <row r="126" spans="2:10" s="113" customFormat="1" ht="19.95" hidden="1" customHeight="1" x14ac:dyDescent="0.3">
      <c r="B126" s="114"/>
      <c r="C126" s="108"/>
      <c r="D126" s="108"/>
      <c r="E126" s="108"/>
      <c r="F126" s="116"/>
      <c r="G126" s="117"/>
      <c r="H126" s="118"/>
      <c r="I126" s="109"/>
      <c r="J126" s="109"/>
    </row>
    <row r="127" spans="2:10" s="218" customFormat="1" ht="19.95" hidden="1" customHeight="1" x14ac:dyDescent="0.3">
      <c r="B127" s="114"/>
      <c r="C127" s="108"/>
      <c r="D127" s="108"/>
      <c r="E127" s="108"/>
      <c r="F127" s="116"/>
      <c r="G127" s="117"/>
      <c r="H127" s="118"/>
      <c r="I127" s="109"/>
      <c r="J127" s="109"/>
    </row>
    <row r="128" spans="2:10" s="109" customFormat="1" ht="19.95" hidden="1" customHeight="1" x14ac:dyDescent="0.3">
      <c r="B128" s="114"/>
      <c r="C128" s="108"/>
      <c r="D128" s="108"/>
      <c r="E128" s="108"/>
      <c r="F128" s="116"/>
      <c r="G128" s="117"/>
      <c r="H128" s="118"/>
    </row>
    <row r="129" spans="2:10" s="109" customFormat="1" ht="19.95" hidden="1" customHeight="1" x14ac:dyDescent="0.3">
      <c r="B129" s="209"/>
      <c r="C129" s="203"/>
      <c r="D129" s="203"/>
      <c r="E129" s="108"/>
      <c r="F129" s="116"/>
      <c r="G129" s="117"/>
      <c r="H129" s="118"/>
    </row>
    <row r="130" spans="2:10" s="109" customFormat="1" ht="19.95" hidden="1" customHeight="1" x14ac:dyDescent="0.3">
      <c r="B130" s="114"/>
      <c r="C130" s="108"/>
      <c r="D130" s="108"/>
      <c r="E130" s="108"/>
      <c r="F130" s="116"/>
      <c r="G130" s="117"/>
      <c r="H130" s="118"/>
    </row>
    <row r="131" spans="2:10" s="109" customFormat="1" ht="19.95" hidden="1" customHeight="1" x14ac:dyDescent="0.3">
      <c r="B131" s="114"/>
      <c r="C131" s="108"/>
      <c r="D131" s="108"/>
      <c r="E131" s="108"/>
      <c r="F131" s="116"/>
      <c r="G131" s="117"/>
      <c r="H131" s="118"/>
    </row>
    <row r="132" spans="2:10" s="109" customFormat="1" ht="19.95" hidden="1" customHeight="1" x14ac:dyDescent="0.3">
      <c r="B132" s="114"/>
      <c r="C132" s="108"/>
      <c r="D132" s="108"/>
      <c r="E132" s="108"/>
      <c r="F132" s="116"/>
      <c r="G132" s="117"/>
      <c r="H132" s="118"/>
    </row>
    <row r="133" spans="2:10" s="109" customFormat="1" ht="19.95" hidden="1" customHeight="1" x14ac:dyDescent="0.3">
      <c r="B133" s="114"/>
      <c r="C133" s="108"/>
      <c r="D133" s="108"/>
      <c r="E133" s="108"/>
      <c r="F133" s="116"/>
      <c r="G133" s="117"/>
      <c r="H133" s="118"/>
    </row>
    <row r="134" spans="2:10" s="109" customFormat="1" ht="19.95" hidden="1" customHeight="1" x14ac:dyDescent="0.3">
      <c r="B134" s="114"/>
      <c r="C134" s="108"/>
      <c r="D134" s="108"/>
      <c r="E134" s="108"/>
      <c r="F134" s="116"/>
      <c r="G134" s="117"/>
      <c r="H134" s="118"/>
    </row>
    <row r="135" spans="2:10" s="109" customFormat="1" ht="19.95" hidden="1" customHeight="1" x14ac:dyDescent="0.3">
      <c r="B135" s="209"/>
      <c r="C135" s="203"/>
      <c r="D135" s="203"/>
      <c r="E135" s="108"/>
      <c r="F135" s="116"/>
      <c r="G135" s="117"/>
      <c r="H135" s="118"/>
    </row>
    <row r="136" spans="2:10" s="217" customFormat="1" ht="19.95" hidden="1" customHeight="1" x14ac:dyDescent="0.3">
      <c r="B136" s="114"/>
      <c r="C136" s="108"/>
      <c r="D136" s="108"/>
      <c r="E136" s="108"/>
      <c r="F136" s="116"/>
      <c r="G136" s="117"/>
      <c r="H136" s="118"/>
      <c r="I136" s="109"/>
      <c r="J136" s="109"/>
    </row>
    <row r="137" spans="2:10" s="109" customFormat="1" ht="19.95" hidden="1" customHeight="1" x14ac:dyDescent="0.3">
      <c r="B137" s="114"/>
      <c r="C137" s="108"/>
      <c r="D137" s="108"/>
      <c r="E137" s="108"/>
      <c r="F137" s="116"/>
      <c r="G137" s="117"/>
      <c r="H137" s="118"/>
    </row>
    <row r="138" spans="2:10" s="109" customFormat="1" ht="19.95" hidden="1" customHeight="1" x14ac:dyDescent="0.3">
      <c r="B138" s="114"/>
      <c r="C138" s="108"/>
      <c r="D138" s="108"/>
      <c r="E138" s="108"/>
      <c r="F138" s="116"/>
      <c r="G138" s="117"/>
      <c r="H138" s="118"/>
    </row>
    <row r="139" spans="2:10" s="109" customFormat="1" ht="19.95" hidden="1" customHeight="1" x14ac:dyDescent="0.3">
      <c r="B139" s="114"/>
      <c r="C139" s="108"/>
      <c r="D139" s="108"/>
      <c r="E139" s="108"/>
      <c r="F139" s="116"/>
      <c r="G139" s="117"/>
      <c r="H139" s="118"/>
    </row>
    <row r="140" spans="2:10" s="109" customFormat="1" ht="19.95" hidden="1" customHeight="1" x14ac:dyDescent="0.3">
      <c r="B140" s="114"/>
      <c r="C140" s="108"/>
      <c r="D140" s="108"/>
      <c r="E140" s="108"/>
      <c r="F140" s="116"/>
      <c r="G140" s="117"/>
      <c r="H140" s="118"/>
    </row>
    <row r="141" spans="2:10" s="109" customFormat="1" ht="19.95" hidden="1" customHeight="1" x14ac:dyDescent="0.3">
      <c r="B141" s="114"/>
      <c r="C141" s="108"/>
      <c r="D141" s="108"/>
      <c r="E141" s="108"/>
      <c r="F141" s="116"/>
      <c r="G141" s="117"/>
      <c r="H141" s="118"/>
    </row>
    <row r="142" spans="2:10" s="109" customFormat="1" ht="19.95" hidden="1" customHeight="1" x14ac:dyDescent="0.3">
      <c r="B142" s="114"/>
      <c r="C142" s="108"/>
      <c r="D142" s="108"/>
      <c r="E142" s="108"/>
      <c r="F142" s="116"/>
      <c r="G142" s="117"/>
      <c r="H142" s="118"/>
    </row>
    <row r="143" spans="2:10" s="109" customFormat="1" ht="19.95" hidden="1" customHeight="1" x14ac:dyDescent="0.3">
      <c r="B143" s="114"/>
      <c r="C143" s="108"/>
      <c r="D143" s="108"/>
      <c r="E143" s="108"/>
      <c r="F143" s="116"/>
      <c r="G143" s="117"/>
      <c r="H143" s="118"/>
    </row>
    <row r="144" spans="2:10" s="109" customFormat="1" ht="19.95" hidden="1" customHeight="1" x14ac:dyDescent="0.3">
      <c r="B144" s="114"/>
      <c r="C144" s="108"/>
      <c r="D144" s="108"/>
      <c r="E144" s="108"/>
      <c r="F144" s="116"/>
      <c r="G144" s="117"/>
      <c r="H144" s="118"/>
    </row>
    <row r="145" spans="2:10" s="109" customFormat="1" ht="19.95" hidden="1" customHeight="1" x14ac:dyDescent="0.3">
      <c r="B145" s="114"/>
      <c r="C145" s="108"/>
      <c r="D145" s="108"/>
      <c r="E145" s="108"/>
      <c r="F145" s="116"/>
      <c r="G145" s="117"/>
      <c r="H145" s="118"/>
    </row>
    <row r="146" spans="2:10" s="109" customFormat="1" ht="19.95" hidden="1" customHeight="1" x14ac:dyDescent="0.3">
      <c r="B146" s="114"/>
      <c r="C146" s="108"/>
      <c r="D146" s="108"/>
      <c r="E146" s="108"/>
      <c r="F146" s="116"/>
      <c r="G146" s="117"/>
      <c r="H146" s="118"/>
    </row>
    <row r="147" spans="2:10" s="109" customFormat="1" ht="19.95" hidden="1" customHeight="1" x14ac:dyDescent="0.3">
      <c r="B147" s="114"/>
      <c r="C147" s="108"/>
      <c r="D147" s="108"/>
      <c r="E147" s="108"/>
      <c r="F147" s="116"/>
      <c r="G147" s="117"/>
      <c r="H147" s="118"/>
    </row>
    <row r="148" spans="2:10" s="109" customFormat="1" ht="19.95" hidden="1" customHeight="1" x14ac:dyDescent="0.3">
      <c r="B148" s="114"/>
      <c r="C148" s="108"/>
      <c r="D148" s="108"/>
      <c r="E148" s="108"/>
      <c r="F148" s="116"/>
      <c r="G148" s="117"/>
      <c r="H148" s="118"/>
    </row>
    <row r="149" spans="2:10" s="109" customFormat="1" ht="19.95" hidden="1" customHeight="1" x14ac:dyDescent="0.3">
      <c r="B149" s="209"/>
      <c r="C149" s="203"/>
      <c r="D149" s="203"/>
      <c r="E149" s="108"/>
      <c r="F149" s="116"/>
      <c r="G149" s="117"/>
      <c r="H149" s="118"/>
    </row>
    <row r="150" spans="2:10" s="217" customFormat="1" ht="19.95" hidden="1" customHeight="1" x14ac:dyDescent="0.3">
      <c r="B150" s="114"/>
      <c r="C150" s="108"/>
      <c r="D150" s="108"/>
      <c r="E150" s="108"/>
      <c r="F150" s="116"/>
      <c r="G150" s="117"/>
      <c r="H150" s="118"/>
      <c r="I150" s="109"/>
      <c r="J150" s="109"/>
    </row>
    <row r="151" spans="2:10" s="109" customFormat="1" ht="19.95" hidden="1" customHeight="1" x14ac:dyDescent="0.3">
      <c r="B151" s="114"/>
      <c r="C151" s="108"/>
      <c r="D151" s="108"/>
      <c r="E151" s="108"/>
      <c r="F151" s="116"/>
      <c r="G151" s="117"/>
      <c r="H151" s="118"/>
    </row>
    <row r="152" spans="2:10" s="109" customFormat="1" ht="19.95" hidden="1" customHeight="1" x14ac:dyDescent="0.3">
      <c r="B152" s="114"/>
      <c r="C152" s="108"/>
      <c r="D152" s="108"/>
      <c r="E152" s="108"/>
      <c r="F152" s="116"/>
      <c r="G152" s="117"/>
      <c r="H152" s="118"/>
    </row>
    <row r="153" spans="2:10" s="109" customFormat="1" ht="19.95" hidden="1" customHeight="1" x14ac:dyDescent="0.3">
      <c r="B153" s="114"/>
      <c r="C153" s="108"/>
      <c r="D153" s="108"/>
      <c r="E153" s="108"/>
      <c r="F153" s="116"/>
      <c r="G153" s="117"/>
      <c r="H153" s="118"/>
    </row>
    <row r="154" spans="2:10" s="109" customFormat="1" ht="19.95" hidden="1" customHeight="1" x14ac:dyDescent="0.3">
      <c r="B154" s="114"/>
      <c r="C154" s="108"/>
      <c r="D154" s="108"/>
      <c r="E154" s="108"/>
      <c r="F154" s="116"/>
      <c r="G154" s="117"/>
      <c r="H154" s="118"/>
    </row>
    <row r="155" spans="2:10" s="109" customFormat="1" ht="19.95" hidden="1" customHeight="1" x14ac:dyDescent="0.3">
      <c r="B155" s="114"/>
      <c r="C155" s="108"/>
      <c r="D155" s="108"/>
      <c r="E155" s="108"/>
      <c r="F155" s="116"/>
      <c r="G155" s="117"/>
      <c r="H155" s="118"/>
    </row>
    <row r="156" spans="2:10" s="109" customFormat="1" ht="19.95" hidden="1" customHeight="1" x14ac:dyDescent="0.3">
      <c r="B156" s="114"/>
      <c r="C156" s="108"/>
      <c r="D156" s="108"/>
      <c r="E156" s="108"/>
      <c r="F156" s="116"/>
      <c r="G156" s="117"/>
      <c r="H156" s="118"/>
    </row>
    <row r="157" spans="2:10" s="109" customFormat="1" ht="19.95" hidden="1" customHeight="1" x14ac:dyDescent="0.3">
      <c r="B157" s="209"/>
      <c r="C157" s="203"/>
      <c r="D157" s="203"/>
      <c r="E157" s="108"/>
      <c r="F157" s="116"/>
      <c r="G157" s="117"/>
      <c r="H157" s="118"/>
    </row>
    <row r="158" spans="2:10" s="109" customFormat="1" ht="19.95" hidden="1" customHeight="1" x14ac:dyDescent="0.3">
      <c r="B158" s="114"/>
      <c r="C158" s="108"/>
      <c r="D158" s="108"/>
      <c r="E158" s="108"/>
      <c r="F158" s="116"/>
      <c r="G158" s="117"/>
      <c r="H158" s="118"/>
    </row>
    <row r="159" spans="2:10" s="109" customFormat="1" ht="19.95" hidden="1" customHeight="1" x14ac:dyDescent="0.3">
      <c r="B159" s="114"/>
      <c r="C159" s="108"/>
      <c r="D159" s="108"/>
      <c r="E159" s="108"/>
      <c r="F159" s="116"/>
      <c r="G159" s="117"/>
      <c r="H159" s="118"/>
    </row>
    <row r="160" spans="2:10" s="109" customFormat="1" ht="19.95" hidden="1" customHeight="1" x14ac:dyDescent="0.3">
      <c r="B160" s="114"/>
      <c r="C160" s="108"/>
      <c r="D160" s="108"/>
      <c r="E160" s="108"/>
      <c r="F160" s="116"/>
      <c r="G160" s="117"/>
      <c r="H160" s="118"/>
    </row>
    <row r="161" spans="2:10" s="109" customFormat="1" ht="19.95" hidden="1" customHeight="1" x14ac:dyDescent="0.3">
      <c r="B161" s="114"/>
      <c r="C161" s="108"/>
      <c r="D161" s="108"/>
      <c r="E161" s="108"/>
      <c r="F161" s="116"/>
      <c r="G161" s="117"/>
      <c r="H161" s="118"/>
    </row>
    <row r="162" spans="2:10" s="109" customFormat="1" ht="19.95" hidden="1" customHeight="1" x14ac:dyDescent="0.3">
      <c r="B162" s="114"/>
      <c r="C162" s="108"/>
      <c r="D162" s="108"/>
      <c r="E162" s="108"/>
      <c r="F162" s="116"/>
      <c r="G162" s="117"/>
      <c r="H162" s="118"/>
    </row>
    <row r="163" spans="2:10" s="217" customFormat="1" ht="19.95" hidden="1" customHeight="1" x14ac:dyDescent="0.3">
      <c r="B163" s="209"/>
      <c r="C163" s="203"/>
      <c r="D163" s="203"/>
      <c r="E163" s="108"/>
      <c r="F163" s="116"/>
      <c r="G163" s="117"/>
      <c r="H163" s="118"/>
      <c r="I163" s="109"/>
      <c r="J163" s="109"/>
    </row>
    <row r="164" spans="2:10" s="109" customFormat="1" ht="19.95" hidden="1" customHeight="1" x14ac:dyDescent="0.3">
      <c r="B164" s="114"/>
      <c r="C164" s="108"/>
      <c r="D164" s="108"/>
      <c r="E164" s="108"/>
      <c r="F164" s="116"/>
      <c r="G164" s="117"/>
      <c r="H164" s="118"/>
    </row>
    <row r="165" spans="2:10" s="109" customFormat="1" ht="19.95" hidden="1" customHeight="1" x14ac:dyDescent="0.3">
      <c r="B165" s="114"/>
      <c r="C165" s="108"/>
      <c r="D165" s="108"/>
      <c r="E165" s="108"/>
      <c r="F165" s="116"/>
      <c r="G165" s="117"/>
      <c r="H165" s="118"/>
    </row>
    <row r="166" spans="2:10" s="109" customFormat="1" ht="19.95" hidden="1" customHeight="1" x14ac:dyDescent="0.3">
      <c r="B166" s="114"/>
      <c r="C166" s="108"/>
      <c r="D166" s="108"/>
      <c r="E166" s="108"/>
      <c r="F166" s="116"/>
      <c r="G166" s="117"/>
      <c r="H166" s="118"/>
    </row>
    <row r="167" spans="2:10" s="109" customFormat="1" ht="19.95" hidden="1" customHeight="1" x14ac:dyDescent="0.3">
      <c r="B167" s="114"/>
      <c r="C167" s="108"/>
      <c r="D167" s="108"/>
      <c r="E167" s="108"/>
      <c r="F167" s="116"/>
      <c r="G167" s="117"/>
      <c r="H167" s="118"/>
    </row>
    <row r="168" spans="2:10" s="109" customFormat="1" ht="19.95" hidden="1" customHeight="1" x14ac:dyDescent="0.3">
      <c r="B168" s="114"/>
      <c r="C168" s="108"/>
      <c r="D168" s="108"/>
      <c r="E168" s="108"/>
      <c r="F168" s="116"/>
      <c r="G168" s="117"/>
      <c r="H168" s="118"/>
    </row>
    <row r="169" spans="2:10" s="217" customFormat="1" ht="19.95" hidden="1" customHeight="1" x14ac:dyDescent="0.3">
      <c r="B169" s="114"/>
      <c r="C169" s="108"/>
      <c r="D169" s="108"/>
      <c r="E169" s="108"/>
      <c r="F169" s="116"/>
      <c r="G169" s="117"/>
      <c r="H169" s="118"/>
      <c r="I169" s="109"/>
      <c r="J169" s="109"/>
    </row>
    <row r="170" spans="2:10" s="109" customFormat="1" ht="19.95" hidden="1" customHeight="1" x14ac:dyDescent="0.3">
      <c r="B170" s="114"/>
      <c r="C170" s="108"/>
      <c r="D170" s="108"/>
      <c r="E170" s="108"/>
      <c r="F170" s="116"/>
      <c r="G170" s="117"/>
      <c r="H170" s="118"/>
    </row>
    <row r="171" spans="2:10" s="109" customFormat="1" ht="19.95" hidden="1" customHeight="1" x14ac:dyDescent="0.3">
      <c r="B171" s="209"/>
      <c r="C171" s="203"/>
      <c r="D171" s="203"/>
      <c r="E171" s="108"/>
      <c r="F171" s="116"/>
      <c r="G171" s="117"/>
      <c r="H171" s="118"/>
    </row>
    <row r="172" spans="2:10" s="109" customFormat="1" ht="19.95" hidden="1" customHeight="1" x14ac:dyDescent="0.3">
      <c r="B172" s="114"/>
      <c r="C172" s="108"/>
      <c r="D172" s="108"/>
      <c r="E172" s="108"/>
      <c r="F172" s="116"/>
      <c r="G172" s="117"/>
      <c r="H172" s="118"/>
    </row>
    <row r="173" spans="2:10" s="109" customFormat="1" ht="19.95" hidden="1" customHeight="1" x14ac:dyDescent="0.3">
      <c r="B173" s="114"/>
      <c r="C173" s="108"/>
      <c r="D173" s="108"/>
      <c r="E173" s="108"/>
      <c r="F173" s="116"/>
      <c r="G173" s="117"/>
      <c r="H173" s="118"/>
    </row>
    <row r="174" spans="2:10" s="109" customFormat="1" ht="19.95" hidden="1" customHeight="1" x14ac:dyDescent="0.3">
      <c r="B174" s="114"/>
      <c r="C174" s="108"/>
      <c r="D174" s="108"/>
      <c r="E174" s="108"/>
      <c r="F174" s="116"/>
      <c r="G174" s="117"/>
      <c r="H174" s="118"/>
    </row>
    <row r="175" spans="2:10" s="109" customFormat="1" ht="19.95" hidden="1" customHeight="1" x14ac:dyDescent="0.3">
      <c r="B175" s="114"/>
      <c r="C175" s="108"/>
      <c r="D175" s="108"/>
      <c r="E175" s="108"/>
      <c r="F175" s="116"/>
      <c r="G175" s="117"/>
      <c r="H175" s="118"/>
    </row>
    <row r="176" spans="2:10" s="109" customFormat="1" ht="19.95" hidden="1" customHeight="1" x14ac:dyDescent="0.3">
      <c r="B176" s="114"/>
      <c r="C176" s="108"/>
      <c r="D176" s="108"/>
      <c r="E176" s="108"/>
      <c r="F176" s="116"/>
      <c r="G176" s="117"/>
      <c r="H176" s="118"/>
    </row>
    <row r="177" spans="2:10" s="109" customFormat="1" ht="19.95" hidden="1" customHeight="1" x14ac:dyDescent="0.3">
      <c r="B177" s="114"/>
      <c r="C177" s="108"/>
      <c r="D177" s="108"/>
      <c r="E177" s="108"/>
      <c r="F177" s="116"/>
      <c r="G177" s="117"/>
      <c r="H177" s="118"/>
    </row>
    <row r="178" spans="2:10" s="109" customFormat="1" ht="19.95" hidden="1" customHeight="1" x14ac:dyDescent="0.3">
      <c r="B178" s="114"/>
      <c r="C178" s="108"/>
      <c r="D178" s="108"/>
      <c r="E178" s="108"/>
      <c r="F178" s="116"/>
      <c r="G178" s="117"/>
      <c r="H178" s="118"/>
    </row>
    <row r="179" spans="2:10" s="109" customFormat="1" ht="19.95" hidden="1" customHeight="1" x14ac:dyDescent="0.3">
      <c r="B179" s="114"/>
      <c r="C179" s="108"/>
      <c r="D179" s="108"/>
      <c r="E179" s="108"/>
      <c r="F179" s="116"/>
      <c r="G179" s="117"/>
      <c r="H179" s="118"/>
    </row>
    <row r="180" spans="2:10" s="109" customFormat="1" ht="19.95" hidden="1" customHeight="1" x14ac:dyDescent="0.3">
      <c r="B180" s="114"/>
      <c r="C180" s="108"/>
      <c r="D180" s="108"/>
      <c r="E180" s="108"/>
      <c r="F180" s="116"/>
      <c r="G180" s="117"/>
      <c r="H180" s="118"/>
    </row>
    <row r="181" spans="2:10" s="109" customFormat="1" ht="19.95" hidden="1" customHeight="1" x14ac:dyDescent="0.3">
      <c r="B181" s="114"/>
      <c r="C181" s="108"/>
      <c r="D181" s="108"/>
      <c r="E181" s="108"/>
      <c r="F181" s="116"/>
      <c r="G181" s="117"/>
      <c r="H181" s="118"/>
    </row>
    <row r="182" spans="2:10" s="109" customFormat="1" ht="19.95" hidden="1" customHeight="1" x14ac:dyDescent="0.3">
      <c r="B182" s="114"/>
      <c r="C182" s="108"/>
      <c r="D182" s="108"/>
      <c r="E182" s="108"/>
      <c r="F182" s="116"/>
      <c r="G182" s="117"/>
      <c r="H182" s="118"/>
    </row>
    <row r="183" spans="2:10" s="217" customFormat="1" ht="19.95" hidden="1" customHeight="1" x14ac:dyDescent="0.3">
      <c r="B183" s="114"/>
      <c r="C183" s="108"/>
      <c r="D183" s="108"/>
      <c r="E183" s="108"/>
      <c r="F183" s="116"/>
      <c r="G183" s="117"/>
      <c r="H183" s="118"/>
      <c r="I183" s="109"/>
      <c r="J183" s="109"/>
    </row>
    <row r="184" spans="2:10" s="109" customFormat="1" ht="19.95" hidden="1" customHeight="1" x14ac:dyDescent="0.3">
      <c r="B184" s="114"/>
      <c r="C184" s="108"/>
      <c r="D184" s="108"/>
      <c r="E184" s="108"/>
      <c r="F184" s="116"/>
      <c r="G184" s="117"/>
      <c r="H184" s="118"/>
    </row>
    <row r="185" spans="2:10" s="109" customFormat="1" ht="19.95" hidden="1" customHeight="1" x14ac:dyDescent="0.3">
      <c r="B185" s="219"/>
      <c r="C185" s="124"/>
      <c r="D185" s="124"/>
      <c r="E185" s="108"/>
      <c r="F185" s="116"/>
      <c r="G185" s="117"/>
      <c r="H185" s="118"/>
    </row>
    <row r="186" spans="2:10" s="109" customFormat="1" ht="19.95" hidden="1" customHeight="1" x14ac:dyDescent="0.3">
      <c r="B186" s="219"/>
      <c r="C186" s="124"/>
      <c r="D186" s="124"/>
      <c r="E186" s="108"/>
      <c r="F186" s="116"/>
      <c r="G186" s="117"/>
      <c r="H186" s="118"/>
    </row>
    <row r="187" spans="2:10" s="109" customFormat="1" ht="19.95" hidden="1" customHeight="1" x14ac:dyDescent="0.3">
      <c r="B187" s="114"/>
      <c r="C187" s="108"/>
      <c r="D187" s="108"/>
      <c r="E187" s="108"/>
      <c r="F187" s="116"/>
      <c r="G187" s="117"/>
      <c r="H187" s="118"/>
    </row>
    <row r="188" spans="2:10" s="109" customFormat="1" ht="19.95" hidden="1" customHeight="1" x14ac:dyDescent="0.3">
      <c r="B188" s="209"/>
      <c r="C188" s="203"/>
      <c r="D188" s="203"/>
      <c r="E188" s="108"/>
      <c r="F188" s="116"/>
      <c r="G188" s="117"/>
      <c r="H188" s="118"/>
    </row>
    <row r="189" spans="2:10" s="109" customFormat="1" ht="19.95" hidden="1" customHeight="1" x14ac:dyDescent="0.3">
      <c r="B189" s="114"/>
      <c r="C189" s="108"/>
      <c r="D189" s="108"/>
      <c r="E189" s="108"/>
      <c r="F189" s="116"/>
      <c r="G189" s="117"/>
      <c r="H189" s="118"/>
    </row>
    <row r="190" spans="2:10" s="109" customFormat="1" ht="19.95" hidden="1" customHeight="1" x14ac:dyDescent="0.3">
      <c r="B190" s="114"/>
      <c r="C190" s="108"/>
      <c r="D190" s="108"/>
      <c r="E190" s="108"/>
      <c r="F190" s="116"/>
      <c r="G190" s="117"/>
      <c r="H190" s="118"/>
    </row>
    <row r="191" spans="2:10" s="217" customFormat="1" ht="19.95" hidden="1" customHeight="1" x14ac:dyDescent="0.3">
      <c r="B191" s="120"/>
      <c r="C191" s="121"/>
      <c r="D191" s="108"/>
      <c r="E191" s="108"/>
      <c r="F191" s="116"/>
      <c r="G191" s="117"/>
      <c r="H191" s="118"/>
      <c r="I191" s="109"/>
      <c r="J191" s="109"/>
    </row>
    <row r="192" spans="2:10" s="109" customFormat="1" ht="19.95" hidden="1" customHeight="1" x14ac:dyDescent="0.3">
      <c r="B192" s="220"/>
      <c r="C192" s="221"/>
      <c r="D192" s="203"/>
      <c r="E192" s="108"/>
      <c r="F192" s="116"/>
      <c r="G192" s="117"/>
      <c r="H192" s="118"/>
    </row>
    <row r="193" spans="2:10" s="109" customFormat="1" ht="19.95" hidden="1" customHeight="1" x14ac:dyDescent="0.3">
      <c r="B193" s="120"/>
      <c r="C193" s="121"/>
      <c r="D193" s="108"/>
      <c r="E193" s="108"/>
      <c r="F193" s="116"/>
      <c r="G193" s="117"/>
      <c r="H193" s="118"/>
    </row>
    <row r="194" spans="2:10" s="109" customFormat="1" ht="19.95" hidden="1" customHeight="1" x14ac:dyDescent="0.3">
      <c r="B194" s="120"/>
      <c r="C194" s="121"/>
      <c r="D194" s="108"/>
      <c r="E194" s="108"/>
      <c r="F194" s="116"/>
      <c r="G194" s="117"/>
      <c r="H194" s="118"/>
    </row>
    <row r="195" spans="2:10" s="109" customFormat="1" ht="19.95" hidden="1" customHeight="1" x14ac:dyDescent="0.3">
      <c r="B195" s="120"/>
      <c r="C195" s="121"/>
      <c r="D195" s="108"/>
      <c r="E195" s="108"/>
      <c r="F195" s="116"/>
      <c r="G195" s="117"/>
      <c r="H195" s="118"/>
    </row>
    <row r="196" spans="2:10" s="109" customFormat="1" ht="19.95" hidden="1" customHeight="1" x14ac:dyDescent="0.3">
      <c r="B196" s="122"/>
      <c r="C196" s="123"/>
      <c r="D196" s="124"/>
      <c r="E196" s="108"/>
      <c r="F196" s="116"/>
      <c r="G196" s="117"/>
      <c r="H196" s="118"/>
    </row>
    <row r="197" spans="2:10" s="217" customFormat="1" ht="19.95" hidden="1" customHeight="1" x14ac:dyDescent="0.3">
      <c r="B197" s="122"/>
      <c r="C197" s="123"/>
      <c r="D197" s="124"/>
      <c r="E197" s="108"/>
      <c r="F197" s="116"/>
      <c r="G197" s="117"/>
      <c r="H197" s="118"/>
      <c r="I197" s="109"/>
      <c r="J197" s="109"/>
    </row>
    <row r="198" spans="2:10" s="109" customFormat="1" ht="19.95" hidden="1" customHeight="1" x14ac:dyDescent="0.3">
      <c r="B198" s="120"/>
      <c r="C198" s="121"/>
      <c r="D198" s="108"/>
      <c r="E198" s="108"/>
      <c r="F198" s="116"/>
      <c r="G198" s="117"/>
      <c r="H198" s="118"/>
    </row>
    <row r="199" spans="2:10" s="109" customFormat="1" ht="19.95" hidden="1" customHeight="1" x14ac:dyDescent="0.25">
      <c r="B199" s="222"/>
      <c r="C199" s="214"/>
      <c r="D199" s="214"/>
      <c r="E199" s="108"/>
      <c r="F199" s="116"/>
      <c r="G199" s="117"/>
      <c r="H199" s="118"/>
    </row>
    <row r="200" spans="2:10" s="109" customFormat="1" ht="19.95" hidden="1" customHeight="1" x14ac:dyDescent="0.3">
      <c r="B200" s="122"/>
      <c r="C200" s="123"/>
      <c r="D200" s="124"/>
      <c r="E200" s="108"/>
      <c r="F200" s="116"/>
      <c r="G200" s="117"/>
      <c r="H200" s="118"/>
    </row>
    <row r="201" spans="2:10" s="109" customFormat="1" ht="19.95" hidden="1" customHeight="1" x14ac:dyDescent="0.3">
      <c r="B201" s="122"/>
      <c r="C201" s="123"/>
      <c r="D201" s="124"/>
      <c r="E201" s="108"/>
      <c r="F201" s="116"/>
      <c r="G201" s="117"/>
      <c r="H201" s="118"/>
    </row>
    <row r="202" spans="2:10" s="109" customFormat="1" ht="19.95" hidden="1" customHeight="1" x14ac:dyDescent="0.3">
      <c r="B202" s="120"/>
      <c r="C202" s="121"/>
      <c r="D202" s="108"/>
      <c r="E202" s="108"/>
      <c r="F202" s="116"/>
      <c r="G202" s="117"/>
      <c r="H202" s="118"/>
    </row>
    <row r="203" spans="2:10" s="109" customFormat="1" ht="19.95" hidden="1" customHeight="1" x14ac:dyDescent="0.3">
      <c r="B203" s="120"/>
      <c r="C203" s="121"/>
      <c r="D203" s="108"/>
      <c r="E203" s="108"/>
      <c r="F203" s="116"/>
      <c r="G203" s="117"/>
      <c r="H203" s="118"/>
    </row>
    <row r="204" spans="2:10" s="109" customFormat="1" ht="19.95" hidden="1" customHeight="1" x14ac:dyDescent="0.3">
      <c r="B204" s="120"/>
      <c r="C204" s="121"/>
      <c r="D204" s="108"/>
      <c r="E204" s="108"/>
      <c r="F204" s="116"/>
      <c r="G204" s="117"/>
      <c r="H204" s="118"/>
    </row>
    <row r="205" spans="2:10" s="217" customFormat="1" ht="19.95" hidden="1" customHeight="1" x14ac:dyDescent="0.3">
      <c r="B205" s="120"/>
      <c r="C205" s="121"/>
      <c r="D205" s="108"/>
      <c r="E205" s="108"/>
      <c r="F205" s="116"/>
      <c r="G205" s="117"/>
      <c r="H205" s="118"/>
      <c r="I205" s="109"/>
      <c r="J205" s="109"/>
    </row>
    <row r="206" spans="2:10" s="109" customFormat="1" ht="19.95" hidden="1" customHeight="1" x14ac:dyDescent="0.3">
      <c r="B206" s="120"/>
      <c r="C206" s="121"/>
      <c r="D206" s="108"/>
      <c r="E206" s="108"/>
      <c r="F206" s="116"/>
      <c r="G206" s="117"/>
      <c r="H206" s="118"/>
    </row>
    <row r="207" spans="2:10" s="109" customFormat="1" ht="19.95" hidden="1" customHeight="1" x14ac:dyDescent="0.3">
      <c r="B207" s="120"/>
      <c r="C207" s="121"/>
      <c r="D207" s="108"/>
      <c r="E207" s="108"/>
      <c r="F207" s="116"/>
      <c r="G207" s="117"/>
      <c r="H207" s="118"/>
    </row>
    <row r="208" spans="2:10" s="109" customFormat="1" ht="19.95" hidden="1" customHeight="1" x14ac:dyDescent="0.3">
      <c r="B208" s="120"/>
      <c r="C208" s="121"/>
      <c r="D208" s="108"/>
      <c r="E208" s="108"/>
      <c r="F208" s="116"/>
      <c r="G208" s="117"/>
      <c r="H208" s="118"/>
    </row>
    <row r="209" spans="2:10" s="109" customFormat="1" ht="19.95" hidden="1" customHeight="1" x14ac:dyDescent="0.3">
      <c r="B209" s="120"/>
      <c r="C209" s="121"/>
      <c r="D209" s="108"/>
      <c r="E209" s="108"/>
      <c r="F209" s="116"/>
      <c r="G209" s="117"/>
      <c r="H209" s="118"/>
    </row>
    <row r="210" spans="2:10" s="109" customFormat="1" ht="19.95" hidden="1" customHeight="1" x14ac:dyDescent="0.3">
      <c r="B210" s="120"/>
      <c r="C210" s="121"/>
      <c r="D210" s="108"/>
      <c r="E210" s="108"/>
      <c r="F210" s="116"/>
      <c r="G210" s="117"/>
      <c r="H210" s="118"/>
    </row>
    <row r="211" spans="2:10" s="109" customFormat="1" ht="19.95" hidden="1" customHeight="1" x14ac:dyDescent="0.3">
      <c r="B211" s="120"/>
      <c r="C211" s="121"/>
      <c r="D211" s="108"/>
      <c r="E211" s="108"/>
      <c r="F211" s="116"/>
      <c r="G211" s="117"/>
      <c r="H211" s="118"/>
    </row>
    <row r="212" spans="2:10" s="109" customFormat="1" ht="19.95" hidden="1" customHeight="1" x14ac:dyDescent="0.3">
      <c r="B212" s="120"/>
      <c r="C212" s="121"/>
      <c r="D212" s="108"/>
      <c r="E212" s="108"/>
      <c r="F212" s="116"/>
      <c r="G212" s="117"/>
      <c r="H212" s="118"/>
    </row>
    <row r="213" spans="2:10" s="109" customFormat="1" ht="19.95" hidden="1" customHeight="1" x14ac:dyDescent="0.3">
      <c r="B213" s="120"/>
      <c r="C213" s="121"/>
      <c r="D213" s="108"/>
      <c r="E213" s="108"/>
      <c r="F213" s="116"/>
      <c r="G213" s="117"/>
      <c r="H213" s="118"/>
    </row>
    <row r="214" spans="2:10" s="109" customFormat="1" ht="19.95" hidden="1" customHeight="1" x14ac:dyDescent="0.3">
      <c r="B214" s="120"/>
      <c r="C214" s="121"/>
      <c r="D214" s="108"/>
      <c r="E214" s="108"/>
      <c r="F214" s="116"/>
      <c r="G214" s="117"/>
      <c r="H214" s="118"/>
    </row>
    <row r="215" spans="2:10" s="109" customFormat="1" ht="19.95" hidden="1" customHeight="1" x14ac:dyDescent="0.3">
      <c r="B215" s="120"/>
      <c r="C215" s="121"/>
      <c r="D215" s="108"/>
      <c r="E215" s="108"/>
      <c r="F215" s="116"/>
      <c r="G215" s="117"/>
      <c r="H215" s="118"/>
    </row>
    <row r="216" spans="2:10" s="109" customFormat="1" ht="19.95" hidden="1" customHeight="1" x14ac:dyDescent="0.3">
      <c r="B216" s="120"/>
      <c r="C216" s="121"/>
      <c r="D216" s="108"/>
      <c r="E216" s="108"/>
      <c r="F216" s="116"/>
      <c r="G216" s="117"/>
      <c r="H216" s="118"/>
    </row>
    <row r="217" spans="2:10" s="109" customFormat="1" ht="19.95" hidden="1" customHeight="1" x14ac:dyDescent="0.3">
      <c r="B217" s="120"/>
      <c r="C217" s="121"/>
      <c r="D217" s="108"/>
      <c r="E217" s="108"/>
      <c r="F217" s="116"/>
      <c r="G217" s="117"/>
      <c r="H217" s="118"/>
    </row>
    <row r="218" spans="2:10" s="109" customFormat="1" ht="19.95" hidden="1" customHeight="1" x14ac:dyDescent="0.3">
      <c r="B218" s="120"/>
      <c r="C218" s="121"/>
      <c r="D218" s="108"/>
      <c r="E218" s="108"/>
      <c r="F218" s="116"/>
      <c r="G218" s="117"/>
      <c r="H218" s="118"/>
    </row>
    <row r="219" spans="2:10" s="223" customFormat="1" ht="19.95" hidden="1" customHeight="1" x14ac:dyDescent="0.3">
      <c r="B219" s="120"/>
      <c r="C219" s="121"/>
      <c r="D219" s="108"/>
      <c r="E219" s="108"/>
      <c r="F219" s="116"/>
      <c r="G219" s="117"/>
      <c r="H219" s="118"/>
      <c r="I219" s="109"/>
      <c r="J219" s="109"/>
    </row>
    <row r="220" spans="2:10" s="223" customFormat="1" ht="19.95" hidden="1" customHeight="1" x14ac:dyDescent="0.3">
      <c r="B220" s="120"/>
      <c r="C220" s="121"/>
      <c r="D220" s="108"/>
      <c r="E220" s="108"/>
      <c r="F220" s="116"/>
      <c r="G220" s="117"/>
      <c r="H220" s="118"/>
      <c r="I220" s="109"/>
      <c r="J220" s="109"/>
    </row>
    <row r="221" spans="2:10" s="109" customFormat="1" ht="19.95" hidden="1" customHeight="1" x14ac:dyDescent="0.3">
      <c r="B221" s="120"/>
      <c r="C221" s="121"/>
      <c r="D221" s="108"/>
      <c r="E221" s="108"/>
      <c r="F221" s="116"/>
      <c r="G221" s="117"/>
      <c r="H221" s="118"/>
    </row>
    <row r="222" spans="2:10" s="217" customFormat="1" ht="19.95" hidden="1" customHeight="1" x14ac:dyDescent="0.3">
      <c r="B222" s="120"/>
      <c r="C222" s="121"/>
      <c r="D222" s="108"/>
      <c r="E222" s="108"/>
      <c r="F222" s="116"/>
      <c r="G222" s="117"/>
      <c r="H222" s="118"/>
      <c r="I222" s="109"/>
      <c r="J222" s="109"/>
    </row>
    <row r="223" spans="2:10" s="109" customFormat="1" ht="19.95" hidden="1" customHeight="1" x14ac:dyDescent="0.3">
      <c r="B223" s="120"/>
      <c r="C223" s="121"/>
      <c r="D223" s="108"/>
      <c r="E223" s="108"/>
      <c r="F223" s="116"/>
      <c r="H223" s="118"/>
    </row>
    <row r="224" spans="2:10" s="109" customFormat="1" ht="19.95" hidden="1" customHeight="1" x14ac:dyDescent="0.3">
      <c r="B224" s="120"/>
      <c r="C224" s="121"/>
      <c r="D224" s="108"/>
      <c r="E224" s="108"/>
      <c r="F224" s="116"/>
      <c r="G224" s="117"/>
      <c r="H224" s="118"/>
    </row>
    <row r="225" spans="2:10" s="109" customFormat="1" ht="19.95" hidden="1" customHeight="1" x14ac:dyDescent="0.3">
      <c r="B225" s="120"/>
      <c r="C225" s="121"/>
      <c r="D225" s="108"/>
      <c r="E225" s="108"/>
      <c r="F225" s="116"/>
      <c r="G225" s="117"/>
      <c r="H225" s="118"/>
    </row>
    <row r="226" spans="2:10" s="217" customFormat="1" ht="19.95" hidden="1" customHeight="1" x14ac:dyDescent="0.3">
      <c r="B226" s="120"/>
      <c r="C226" s="121"/>
      <c r="D226" s="108"/>
      <c r="E226" s="108"/>
      <c r="F226" s="116"/>
      <c r="G226" s="117"/>
      <c r="H226" s="118"/>
      <c r="I226" s="109"/>
      <c r="J226" s="109"/>
    </row>
    <row r="227" spans="2:10" s="109" customFormat="1" ht="19.95" hidden="1" customHeight="1" x14ac:dyDescent="0.3">
      <c r="B227" s="120"/>
      <c r="C227" s="121"/>
      <c r="D227" s="108"/>
      <c r="E227" s="108"/>
      <c r="F227" s="116"/>
      <c r="G227" s="117"/>
      <c r="H227" s="118"/>
    </row>
    <row r="228" spans="2:10" s="109" customFormat="1" ht="19.95" hidden="1" customHeight="1" x14ac:dyDescent="0.3">
      <c r="B228" s="120"/>
      <c r="C228" s="121"/>
      <c r="D228" s="108"/>
      <c r="E228" s="108"/>
      <c r="F228" s="116"/>
      <c r="G228" s="117"/>
      <c r="H228" s="118"/>
    </row>
    <row r="229" spans="2:10" s="109" customFormat="1" ht="19.95" hidden="1" customHeight="1" x14ac:dyDescent="0.3">
      <c r="B229" s="120"/>
      <c r="C229" s="121"/>
      <c r="D229" s="108"/>
      <c r="E229" s="108"/>
      <c r="F229" s="116"/>
      <c r="G229" s="117"/>
      <c r="H229" s="118"/>
    </row>
    <row r="230" spans="2:10" s="223" customFormat="1" ht="19.95" hidden="1" customHeight="1" x14ac:dyDescent="0.3">
      <c r="B230" s="120"/>
      <c r="C230" s="121"/>
      <c r="D230" s="108"/>
      <c r="E230" s="108"/>
      <c r="F230" s="116"/>
      <c r="G230" s="117"/>
      <c r="H230" s="118"/>
      <c r="I230" s="109"/>
      <c r="J230" s="109"/>
    </row>
    <row r="231" spans="2:10" s="223" customFormat="1" ht="19.95" hidden="1" customHeight="1" x14ac:dyDescent="0.3">
      <c r="B231" s="120"/>
      <c r="C231" s="121"/>
      <c r="D231" s="108"/>
      <c r="E231" s="108"/>
      <c r="F231" s="116"/>
      <c r="G231" s="117"/>
      <c r="H231" s="118"/>
      <c r="I231" s="109"/>
      <c r="J231" s="109"/>
    </row>
    <row r="232" spans="2:10" s="214" customFormat="1" ht="19.95" hidden="1" customHeight="1" x14ac:dyDescent="0.25">
      <c r="B232" s="120"/>
      <c r="C232" s="121"/>
      <c r="D232" s="108"/>
      <c r="F232" s="116"/>
      <c r="G232" s="117"/>
      <c r="H232" s="118"/>
      <c r="I232" s="109"/>
      <c r="J232" s="109"/>
    </row>
    <row r="233" spans="2:10" s="223" customFormat="1" ht="19.95" hidden="1" customHeight="1" x14ac:dyDescent="0.3">
      <c r="B233" s="120"/>
      <c r="C233" s="121"/>
      <c r="D233" s="108"/>
      <c r="E233" s="124"/>
      <c r="F233" s="116"/>
      <c r="G233" s="117"/>
      <c r="H233" s="118"/>
      <c r="I233" s="109"/>
      <c r="J233" s="109"/>
    </row>
    <row r="234" spans="2:10" s="223" customFormat="1" ht="19.95" hidden="1" customHeight="1" x14ac:dyDescent="0.3">
      <c r="B234" s="120"/>
      <c r="C234" s="121"/>
      <c r="D234" s="108"/>
      <c r="E234" s="124"/>
      <c r="F234" s="116"/>
      <c r="G234" s="117"/>
      <c r="H234" s="118"/>
      <c r="I234" s="109"/>
      <c r="J234" s="109"/>
    </row>
    <row r="235" spans="2:10" s="109" customFormat="1" ht="19.95" hidden="1" customHeight="1" x14ac:dyDescent="0.3">
      <c r="B235" s="120"/>
      <c r="C235" s="121"/>
      <c r="D235" s="108"/>
      <c r="E235" s="108"/>
      <c r="F235" s="116"/>
      <c r="G235" s="117"/>
      <c r="H235" s="118"/>
    </row>
    <row r="236" spans="2:10" s="109" customFormat="1" ht="19.95" hidden="1" customHeight="1" x14ac:dyDescent="0.25">
      <c r="B236" s="120"/>
      <c r="C236" s="121"/>
      <c r="D236" s="108"/>
      <c r="E236" s="214"/>
      <c r="F236" s="116"/>
      <c r="G236" s="117"/>
      <c r="H236" s="118"/>
    </row>
    <row r="237" spans="2:10" s="109" customFormat="1" ht="19.95" hidden="1" customHeight="1" x14ac:dyDescent="0.25">
      <c r="B237" s="120"/>
      <c r="C237" s="121"/>
      <c r="D237" s="108"/>
      <c r="E237" s="214"/>
      <c r="F237" s="116"/>
      <c r="G237" s="117"/>
      <c r="H237" s="118"/>
    </row>
    <row r="238" spans="2:10" s="109" customFormat="1" ht="19.95" hidden="1" customHeight="1" x14ac:dyDescent="0.25">
      <c r="B238" s="120"/>
      <c r="C238" s="121"/>
      <c r="D238" s="108"/>
      <c r="E238" s="214"/>
      <c r="F238" s="116"/>
      <c r="G238" s="117"/>
      <c r="H238" s="118"/>
    </row>
    <row r="239" spans="2:10" s="109" customFormat="1" ht="19.95" hidden="1" customHeight="1" x14ac:dyDescent="0.25">
      <c r="B239" s="120"/>
      <c r="C239" s="121"/>
      <c r="D239" s="108"/>
      <c r="E239" s="214"/>
      <c r="F239" s="116"/>
      <c r="G239" s="117"/>
      <c r="H239" s="118"/>
    </row>
    <row r="240" spans="2:10" s="109" customFormat="1" ht="19.95" hidden="1" customHeight="1" x14ac:dyDescent="0.25">
      <c r="B240" s="120"/>
      <c r="C240" s="121"/>
      <c r="D240" s="108"/>
      <c r="E240" s="214"/>
      <c r="F240" s="116"/>
      <c r="G240" s="117"/>
      <c r="H240" s="118"/>
    </row>
    <row r="241" spans="2:8" s="109" customFormat="1" ht="19.95" hidden="1" customHeight="1" x14ac:dyDescent="0.25">
      <c r="B241" s="120"/>
      <c r="C241" s="121"/>
      <c r="D241" s="108"/>
      <c r="E241" s="214"/>
      <c r="F241" s="116"/>
      <c r="G241" s="117"/>
      <c r="H241" s="118"/>
    </row>
    <row r="242" spans="2:8" s="109" customFormat="1" ht="19.95" hidden="1" customHeight="1" x14ac:dyDescent="0.25">
      <c r="B242" s="120"/>
      <c r="C242" s="121"/>
      <c r="D242" s="108"/>
      <c r="E242" s="214"/>
      <c r="F242" s="116"/>
      <c r="G242" s="117"/>
      <c r="H242" s="118"/>
    </row>
    <row r="243" spans="2:8" s="109" customFormat="1" ht="19.95" hidden="1" customHeight="1" x14ac:dyDescent="0.25">
      <c r="B243" s="120"/>
      <c r="C243" s="121"/>
      <c r="D243" s="108"/>
      <c r="E243" s="214"/>
      <c r="F243" s="116"/>
      <c r="G243" s="117"/>
      <c r="H243" s="118"/>
    </row>
    <row r="244" spans="2:8" s="109" customFormat="1" ht="19.95" hidden="1" customHeight="1" x14ac:dyDescent="0.25">
      <c r="B244" s="120"/>
      <c r="C244" s="121"/>
      <c r="D244" s="108"/>
      <c r="E244" s="214"/>
      <c r="F244" s="116"/>
      <c r="G244" s="117"/>
      <c r="H244" s="118"/>
    </row>
    <row r="245" spans="2:8" s="109" customFormat="1" ht="19.95" hidden="1" customHeight="1" x14ac:dyDescent="0.25">
      <c r="B245" s="120"/>
      <c r="C245" s="121"/>
      <c r="D245" s="108"/>
      <c r="E245" s="214"/>
      <c r="F245" s="116"/>
      <c r="G245" s="117"/>
      <c r="H245" s="118"/>
    </row>
    <row r="246" spans="2:8" s="109" customFormat="1" ht="19.95" hidden="1" customHeight="1" x14ac:dyDescent="0.25">
      <c r="B246" s="120"/>
      <c r="C246" s="121"/>
      <c r="D246" s="108"/>
      <c r="E246" s="214"/>
      <c r="F246" s="116"/>
      <c r="G246" s="117"/>
      <c r="H246" s="118"/>
    </row>
    <row r="247" spans="2:8" s="109" customFormat="1" ht="19.95" hidden="1" customHeight="1" x14ac:dyDescent="0.25">
      <c r="B247" s="120"/>
      <c r="C247" s="121"/>
      <c r="D247" s="108"/>
      <c r="E247" s="214"/>
      <c r="F247" s="116"/>
      <c r="G247" s="117"/>
      <c r="H247" s="118"/>
    </row>
    <row r="248" spans="2:8" s="109" customFormat="1" ht="19.95" hidden="1" customHeight="1" x14ac:dyDescent="0.25">
      <c r="B248" s="120"/>
      <c r="C248" s="121"/>
      <c r="D248" s="108"/>
      <c r="E248" s="214"/>
      <c r="F248" s="116"/>
      <c r="G248" s="117"/>
      <c r="H248" s="118"/>
    </row>
    <row r="249" spans="2:8" s="109" customFormat="1" ht="19.95" hidden="1" customHeight="1" x14ac:dyDescent="0.25">
      <c r="B249" s="120"/>
      <c r="C249" s="121"/>
      <c r="D249" s="108"/>
      <c r="E249" s="214"/>
      <c r="F249" s="116"/>
      <c r="G249" s="117"/>
      <c r="H249" s="118"/>
    </row>
    <row r="250" spans="2:8" s="109" customFormat="1" ht="19.95" hidden="1" customHeight="1" x14ac:dyDescent="0.25">
      <c r="B250" s="120"/>
      <c r="C250" s="121"/>
      <c r="D250" s="108"/>
      <c r="E250" s="214"/>
      <c r="F250" s="116"/>
      <c r="G250" s="117"/>
      <c r="H250" s="118"/>
    </row>
    <row r="251" spans="2:8" s="109" customFormat="1" ht="19.95" hidden="1" customHeight="1" x14ac:dyDescent="0.25">
      <c r="B251" s="120"/>
      <c r="C251" s="121"/>
      <c r="D251" s="108"/>
      <c r="E251" s="214"/>
      <c r="F251" s="116"/>
      <c r="G251" s="117"/>
      <c r="H251" s="118"/>
    </row>
    <row r="252" spans="2:8" s="109" customFormat="1" ht="19.95" hidden="1" customHeight="1" x14ac:dyDescent="0.25">
      <c r="B252" s="120"/>
      <c r="C252" s="121"/>
      <c r="D252" s="108"/>
      <c r="E252" s="214"/>
      <c r="F252" s="116"/>
      <c r="G252" s="117"/>
      <c r="H252" s="118"/>
    </row>
    <row r="253" spans="2:8" s="109" customFormat="1" ht="19.95" hidden="1" customHeight="1" x14ac:dyDescent="0.25">
      <c r="B253" s="120"/>
      <c r="C253" s="121"/>
      <c r="D253" s="108"/>
      <c r="E253" s="214"/>
      <c r="F253" s="116"/>
      <c r="G253" s="117"/>
      <c r="H253" s="118"/>
    </row>
    <row r="254" spans="2:8" s="109" customFormat="1" ht="19.95" hidden="1" customHeight="1" x14ac:dyDescent="0.25">
      <c r="B254" s="120"/>
      <c r="C254" s="121"/>
      <c r="D254" s="108"/>
      <c r="E254" s="214"/>
      <c r="F254" s="116"/>
      <c r="G254" s="117"/>
      <c r="H254" s="118"/>
    </row>
    <row r="255" spans="2:8" s="109" customFormat="1" ht="19.95" hidden="1" customHeight="1" x14ac:dyDescent="0.25">
      <c r="B255" s="120"/>
      <c r="C255" s="121"/>
      <c r="D255" s="108"/>
      <c r="E255" s="214"/>
      <c r="F255" s="116"/>
      <c r="G255" s="117"/>
      <c r="H255" s="118"/>
    </row>
    <row r="256" spans="2:8" s="109" customFormat="1" ht="19.95" hidden="1" customHeight="1" x14ac:dyDescent="0.25">
      <c r="B256" s="120"/>
      <c r="C256" s="121"/>
      <c r="D256" s="108"/>
      <c r="E256" s="214"/>
      <c r="F256" s="116"/>
      <c r="G256" s="117"/>
      <c r="H256" s="118"/>
    </row>
    <row r="257" spans="2:8" s="109" customFormat="1" ht="19.95" hidden="1" customHeight="1" x14ac:dyDescent="0.25">
      <c r="B257" s="120"/>
      <c r="C257" s="121"/>
      <c r="D257" s="108"/>
      <c r="E257" s="214"/>
      <c r="F257" s="116"/>
      <c r="G257" s="117"/>
      <c r="H257" s="118"/>
    </row>
    <row r="258" spans="2:8" s="109" customFormat="1" ht="19.95" hidden="1" customHeight="1" x14ac:dyDescent="0.25">
      <c r="B258" s="120"/>
      <c r="C258" s="121"/>
      <c r="D258" s="108"/>
      <c r="E258" s="214"/>
      <c r="F258" s="116"/>
      <c r="G258" s="117"/>
      <c r="H258" s="118"/>
    </row>
    <row r="259" spans="2:8" s="109" customFormat="1" ht="19.95" hidden="1" customHeight="1" x14ac:dyDescent="0.25">
      <c r="B259" s="120"/>
      <c r="C259" s="121"/>
      <c r="D259" s="108"/>
      <c r="E259" s="214"/>
      <c r="F259" s="116"/>
      <c r="G259" s="117"/>
      <c r="H259" s="118"/>
    </row>
    <row r="260" spans="2:8" s="109" customFormat="1" ht="19.95" hidden="1" customHeight="1" x14ac:dyDescent="0.25">
      <c r="B260" s="120"/>
      <c r="C260" s="121"/>
      <c r="D260" s="108"/>
      <c r="E260" s="214"/>
      <c r="F260" s="116"/>
      <c r="G260" s="117"/>
      <c r="H260" s="118"/>
    </row>
    <row r="261" spans="2:8" s="109" customFormat="1" ht="19.95" hidden="1" customHeight="1" x14ac:dyDescent="0.25">
      <c r="B261" s="120"/>
      <c r="C261" s="121"/>
      <c r="D261" s="108"/>
      <c r="E261" s="214"/>
      <c r="F261" s="116"/>
      <c r="G261" s="117"/>
      <c r="H261" s="118"/>
    </row>
    <row r="262" spans="2:8" s="109" customFormat="1" ht="19.95" hidden="1" customHeight="1" x14ac:dyDescent="0.25">
      <c r="B262" s="120"/>
      <c r="C262" s="121"/>
      <c r="D262" s="108"/>
      <c r="E262" s="214"/>
      <c r="F262" s="116"/>
      <c r="G262" s="117"/>
      <c r="H262" s="118"/>
    </row>
    <row r="263" spans="2:8" s="109" customFormat="1" ht="19.95" hidden="1" customHeight="1" x14ac:dyDescent="0.25">
      <c r="B263" s="120"/>
      <c r="C263" s="121"/>
      <c r="D263" s="108"/>
      <c r="E263" s="214"/>
      <c r="F263" s="116"/>
      <c r="G263" s="117"/>
      <c r="H263" s="118"/>
    </row>
    <row r="264" spans="2:8" s="109" customFormat="1" ht="19.95" hidden="1" customHeight="1" x14ac:dyDescent="0.25">
      <c r="B264" s="125"/>
      <c r="C264" s="119"/>
      <c r="D264" s="119"/>
      <c r="E264" s="214"/>
      <c r="F264" s="116"/>
      <c r="G264" s="117"/>
      <c r="H264" s="118"/>
    </row>
    <row r="265" spans="2:8" s="109" customFormat="1" ht="19.95" hidden="1" customHeight="1" x14ac:dyDescent="0.25">
      <c r="B265" s="126"/>
      <c r="C265" s="116"/>
      <c r="E265" s="214"/>
      <c r="F265" s="116"/>
      <c r="G265" s="117"/>
      <c r="H265" s="118"/>
    </row>
    <row r="266" spans="2:8" s="109" customFormat="1" ht="19.95" hidden="1" customHeight="1" x14ac:dyDescent="0.25">
      <c r="B266" s="126"/>
      <c r="C266" s="116"/>
      <c r="E266" s="214"/>
      <c r="F266" s="116"/>
      <c r="G266" s="117"/>
      <c r="H266" s="118"/>
    </row>
    <row r="267" spans="2:8" s="109" customFormat="1" ht="19.95" hidden="1" customHeight="1" x14ac:dyDescent="0.25">
      <c r="B267" s="126"/>
      <c r="C267" s="116"/>
      <c r="E267" s="214"/>
      <c r="F267" s="116"/>
      <c r="G267" s="117"/>
      <c r="H267" s="118"/>
    </row>
    <row r="268" spans="2:8" s="109" customFormat="1" ht="19.95" hidden="1" customHeight="1" x14ac:dyDescent="0.25">
      <c r="B268" s="126"/>
      <c r="C268" s="116"/>
      <c r="E268" s="214"/>
      <c r="F268" s="116"/>
      <c r="G268" s="117"/>
      <c r="H268" s="118"/>
    </row>
    <row r="269" spans="2:8" s="109" customFormat="1" ht="19.95" hidden="1" customHeight="1" x14ac:dyDescent="0.25">
      <c r="B269" s="126"/>
      <c r="C269" s="116"/>
      <c r="E269" s="214"/>
      <c r="F269" s="116"/>
      <c r="G269" s="117"/>
      <c r="H269" s="118"/>
    </row>
    <row r="270" spans="2:8" s="109" customFormat="1" ht="19.95" hidden="1" customHeight="1" x14ac:dyDescent="0.25">
      <c r="B270" s="126"/>
      <c r="C270" s="116"/>
      <c r="E270" s="214"/>
      <c r="F270" s="116"/>
      <c r="G270" s="117"/>
      <c r="H270" s="118"/>
    </row>
    <row r="271" spans="2:8" s="109" customFormat="1" ht="19.95" hidden="1" customHeight="1" x14ac:dyDescent="0.25">
      <c r="B271" s="126"/>
      <c r="C271" s="116"/>
      <c r="E271" s="214"/>
      <c r="F271" s="116"/>
      <c r="G271" s="117"/>
      <c r="H271" s="118"/>
    </row>
    <row r="272" spans="2:8" s="109" customFormat="1" ht="19.95" hidden="1" customHeight="1" x14ac:dyDescent="0.25">
      <c r="B272" s="126"/>
      <c r="C272" s="116"/>
      <c r="E272" s="214"/>
      <c r="F272" s="116"/>
      <c r="G272" s="117"/>
      <c r="H272" s="118"/>
    </row>
    <row r="273" spans="2:8" s="109" customFormat="1" ht="19.95" hidden="1" customHeight="1" x14ac:dyDescent="0.25">
      <c r="B273" s="126"/>
      <c r="C273" s="116"/>
      <c r="E273" s="214"/>
      <c r="F273" s="116"/>
      <c r="G273" s="117"/>
      <c r="H273" s="118"/>
    </row>
    <row r="274" spans="2:8" s="109" customFormat="1" ht="19.95" hidden="1" customHeight="1" x14ac:dyDescent="0.25">
      <c r="B274" s="126"/>
      <c r="C274" s="116"/>
      <c r="E274" s="214"/>
      <c r="F274" s="116"/>
      <c r="G274" s="117"/>
      <c r="H274" s="118"/>
    </row>
    <row r="275" spans="2:8" s="109" customFormat="1" ht="19.95" hidden="1" customHeight="1" x14ac:dyDescent="0.25">
      <c r="B275" s="126"/>
      <c r="C275" s="116"/>
      <c r="E275" s="214"/>
      <c r="F275" s="116"/>
      <c r="G275" s="117"/>
      <c r="H275" s="118"/>
    </row>
    <row r="276" spans="2:8" s="109" customFormat="1" ht="19.95" hidden="1" customHeight="1" x14ac:dyDescent="0.25">
      <c r="B276" s="126"/>
      <c r="C276" s="116"/>
      <c r="E276" s="214"/>
      <c r="F276" s="116"/>
      <c r="G276" s="117"/>
      <c r="H276" s="118"/>
    </row>
    <row r="277" spans="2:8" s="109" customFormat="1" ht="19.95" hidden="1" customHeight="1" x14ac:dyDescent="0.25">
      <c r="B277" s="126"/>
      <c r="C277" s="116"/>
      <c r="E277" s="214"/>
      <c r="F277" s="116"/>
      <c r="G277" s="117"/>
      <c r="H277" s="118"/>
    </row>
    <row r="278" spans="2:8" s="109" customFormat="1" ht="19.95" hidden="1" customHeight="1" x14ac:dyDescent="0.25">
      <c r="B278" s="126"/>
      <c r="C278" s="116"/>
      <c r="E278" s="214"/>
      <c r="F278" s="116"/>
      <c r="G278" s="117"/>
      <c r="H278" s="118"/>
    </row>
    <row r="279" spans="2:8" s="109" customFormat="1" ht="19.95" hidden="1" customHeight="1" x14ac:dyDescent="0.25">
      <c r="B279" s="126"/>
      <c r="C279" s="116"/>
      <c r="E279" s="214"/>
      <c r="F279" s="116"/>
      <c r="G279" s="117"/>
      <c r="H279" s="118"/>
    </row>
    <row r="280" spans="2:8" s="109" customFormat="1" ht="19.95" hidden="1" customHeight="1" x14ac:dyDescent="0.25">
      <c r="B280" s="126"/>
      <c r="C280" s="116"/>
      <c r="E280" s="214"/>
      <c r="F280" s="116"/>
      <c r="G280" s="117"/>
      <c r="H280" s="118"/>
    </row>
    <row r="281" spans="2:8" s="109" customFormat="1" ht="19.95" hidden="1" customHeight="1" x14ac:dyDescent="0.25">
      <c r="B281" s="126"/>
      <c r="C281" s="116"/>
      <c r="E281" s="214"/>
      <c r="F281" s="116"/>
      <c r="G281" s="117"/>
      <c r="H281" s="118"/>
    </row>
    <row r="282" spans="2:8" s="109" customFormat="1" ht="19.95" hidden="1" customHeight="1" x14ac:dyDescent="0.25">
      <c r="B282" s="126"/>
      <c r="C282" s="116"/>
      <c r="E282" s="214"/>
      <c r="F282" s="116"/>
      <c r="G282" s="117"/>
      <c r="H282" s="118"/>
    </row>
    <row r="283" spans="2:8" s="109" customFormat="1" ht="19.95" hidden="1" customHeight="1" x14ac:dyDescent="0.25">
      <c r="B283" s="126"/>
      <c r="C283" s="116"/>
      <c r="E283" s="214"/>
      <c r="F283" s="116"/>
      <c r="G283" s="117"/>
      <c r="H283" s="118"/>
    </row>
    <row r="284" spans="2:8" s="109" customFormat="1" ht="19.95" hidden="1" customHeight="1" x14ac:dyDescent="0.25">
      <c r="B284" s="126"/>
      <c r="C284" s="116"/>
      <c r="E284" s="214"/>
      <c r="F284" s="116"/>
      <c r="G284" s="117"/>
      <c r="H284" s="118"/>
    </row>
    <row r="285" spans="2:8" s="109" customFormat="1" ht="19.95" hidden="1" customHeight="1" x14ac:dyDescent="0.25">
      <c r="B285" s="126"/>
      <c r="C285" s="116"/>
      <c r="E285" s="214"/>
      <c r="F285" s="116"/>
      <c r="G285" s="117"/>
      <c r="H285" s="118"/>
    </row>
    <row r="286" spans="2:8" s="109" customFormat="1" ht="19.95" hidden="1" customHeight="1" x14ac:dyDescent="0.25">
      <c r="B286" s="126"/>
      <c r="C286" s="116"/>
      <c r="E286" s="214"/>
      <c r="F286" s="116"/>
      <c r="G286" s="117"/>
      <c r="H286" s="118"/>
    </row>
    <row r="287" spans="2:8" s="109" customFormat="1" ht="19.95" hidden="1" customHeight="1" x14ac:dyDescent="0.25">
      <c r="B287" s="126"/>
      <c r="C287" s="116"/>
      <c r="E287" s="214"/>
      <c r="F287" s="116"/>
      <c r="G287" s="117"/>
      <c r="H287" s="118"/>
    </row>
    <row r="288" spans="2:8" s="109" customFormat="1" ht="19.95" hidden="1" customHeight="1" x14ac:dyDescent="0.25">
      <c r="B288" s="126"/>
      <c r="C288" s="116"/>
      <c r="E288" s="214"/>
      <c r="F288" s="116"/>
      <c r="G288" s="117"/>
      <c r="H288" s="118"/>
    </row>
    <row r="289" spans="2:8" s="109" customFormat="1" ht="19.95" hidden="1" customHeight="1" x14ac:dyDescent="0.25">
      <c r="B289" s="126"/>
      <c r="C289" s="116"/>
      <c r="E289" s="214"/>
      <c r="F289" s="116"/>
      <c r="G289" s="117"/>
      <c r="H289" s="118"/>
    </row>
    <row r="290" spans="2:8" s="109" customFormat="1" ht="19.95" hidden="1" customHeight="1" x14ac:dyDescent="0.25">
      <c r="B290" s="126"/>
      <c r="C290" s="116"/>
      <c r="E290" s="214"/>
      <c r="F290" s="116"/>
      <c r="G290" s="117"/>
      <c r="H290" s="118"/>
    </row>
    <row r="291" spans="2:8" s="109" customFormat="1" ht="19.95" hidden="1" customHeight="1" x14ac:dyDescent="0.25">
      <c r="B291" s="126"/>
      <c r="C291" s="116"/>
      <c r="E291" s="214"/>
      <c r="F291" s="116"/>
      <c r="G291" s="117"/>
      <c r="H291" s="118"/>
    </row>
    <row r="292" spans="2:8" s="109" customFormat="1" ht="19.95" hidden="1" customHeight="1" x14ac:dyDescent="0.25">
      <c r="B292" s="126"/>
      <c r="C292" s="116"/>
      <c r="E292" s="214"/>
      <c r="F292" s="116"/>
      <c r="G292" s="117"/>
      <c r="H292" s="118"/>
    </row>
    <row r="293" spans="2:8" s="109" customFormat="1" ht="19.95" hidden="1" customHeight="1" x14ac:dyDescent="0.25">
      <c r="B293" s="126"/>
      <c r="C293" s="116"/>
      <c r="E293" s="214"/>
      <c r="F293" s="116"/>
      <c r="G293" s="117"/>
      <c r="H293" s="118"/>
    </row>
    <row r="294" spans="2:8" s="109" customFormat="1" ht="19.95" hidden="1" customHeight="1" x14ac:dyDescent="0.25">
      <c r="B294" s="126"/>
      <c r="C294" s="116"/>
      <c r="E294" s="214"/>
      <c r="F294" s="116"/>
      <c r="G294" s="117"/>
      <c r="H294" s="118"/>
    </row>
    <row r="295" spans="2:8" s="109" customFormat="1" ht="19.95" hidden="1" customHeight="1" x14ac:dyDescent="0.25">
      <c r="B295" s="126"/>
      <c r="C295" s="116"/>
      <c r="E295" s="214"/>
      <c r="F295" s="116"/>
      <c r="G295" s="117"/>
      <c r="H295" s="118"/>
    </row>
    <row r="296" spans="2:8" s="109" customFormat="1" ht="19.95" hidden="1" customHeight="1" x14ac:dyDescent="0.25">
      <c r="B296" s="126"/>
      <c r="C296" s="116"/>
      <c r="E296" s="214"/>
      <c r="F296" s="116"/>
      <c r="G296" s="117"/>
      <c r="H296" s="118"/>
    </row>
    <row r="297" spans="2:8" s="109" customFormat="1" ht="19.95" hidden="1" customHeight="1" x14ac:dyDescent="0.25">
      <c r="B297" s="126"/>
      <c r="C297" s="116"/>
      <c r="E297" s="214"/>
      <c r="F297" s="116"/>
      <c r="G297" s="117"/>
      <c r="H297" s="118"/>
    </row>
    <row r="298" spans="2:8" s="109" customFormat="1" ht="19.95" hidden="1" customHeight="1" x14ac:dyDescent="0.25">
      <c r="B298" s="126"/>
      <c r="C298" s="116"/>
      <c r="E298" s="214"/>
      <c r="F298" s="116"/>
      <c r="G298" s="117"/>
      <c r="H298" s="118"/>
    </row>
    <row r="299" spans="2:8" s="109" customFormat="1" ht="19.95" hidden="1" customHeight="1" x14ac:dyDescent="0.25">
      <c r="B299" s="126"/>
      <c r="C299" s="116"/>
      <c r="E299" s="214"/>
      <c r="F299" s="116"/>
      <c r="G299" s="117"/>
      <c r="H299" s="118"/>
    </row>
    <row r="300" spans="2:8" s="109" customFormat="1" ht="19.95" hidden="1" customHeight="1" x14ac:dyDescent="0.25">
      <c r="B300" s="126"/>
      <c r="C300" s="116"/>
      <c r="E300" s="214"/>
      <c r="F300" s="116"/>
      <c r="G300" s="117"/>
      <c r="H300" s="118"/>
    </row>
    <row r="301" spans="2:8" s="109" customFormat="1" ht="19.95" hidden="1" customHeight="1" x14ac:dyDescent="0.25">
      <c r="B301" s="126"/>
      <c r="C301" s="116"/>
      <c r="E301" s="214"/>
      <c r="F301" s="116"/>
      <c r="G301" s="117"/>
      <c r="H301" s="118"/>
    </row>
    <row r="302" spans="2:8" s="109" customFormat="1" ht="19.95" hidden="1" customHeight="1" x14ac:dyDescent="0.25">
      <c r="B302" s="126"/>
      <c r="C302" s="116"/>
      <c r="E302" s="214"/>
      <c r="F302" s="116"/>
      <c r="G302" s="117"/>
      <c r="H302" s="118"/>
    </row>
    <row r="303" spans="2:8" s="109" customFormat="1" ht="19.95" hidden="1" customHeight="1" x14ac:dyDescent="0.25">
      <c r="B303" s="126"/>
      <c r="C303" s="116"/>
      <c r="E303" s="214"/>
      <c r="F303" s="116"/>
      <c r="G303" s="117"/>
      <c r="H303" s="118"/>
    </row>
    <row r="304" spans="2:8" s="109" customFormat="1" ht="19.95" hidden="1" customHeight="1" x14ac:dyDescent="0.25">
      <c r="B304" s="126"/>
      <c r="C304" s="116"/>
      <c r="E304" s="214"/>
      <c r="F304" s="116"/>
      <c r="G304" s="117"/>
      <c r="H304" s="118"/>
    </row>
    <row r="305" spans="2:8" s="109" customFormat="1" ht="19.95" hidden="1" customHeight="1" x14ac:dyDescent="0.25">
      <c r="B305" s="126"/>
      <c r="C305" s="116"/>
      <c r="E305" s="214"/>
      <c r="F305" s="116"/>
      <c r="G305" s="117"/>
      <c r="H305" s="118"/>
    </row>
    <row r="306" spans="2:8" s="109" customFormat="1" ht="19.95" hidden="1" customHeight="1" x14ac:dyDescent="0.25">
      <c r="B306" s="126"/>
      <c r="C306" s="116"/>
      <c r="E306" s="214"/>
      <c r="F306" s="116"/>
      <c r="G306" s="117"/>
      <c r="H306" s="118"/>
    </row>
    <row r="307" spans="2:8" s="109" customFormat="1" ht="19.95" hidden="1" customHeight="1" x14ac:dyDescent="0.25">
      <c r="B307" s="126"/>
      <c r="C307" s="116"/>
      <c r="E307" s="214"/>
      <c r="F307" s="116"/>
      <c r="G307" s="117"/>
      <c r="H307" s="118"/>
    </row>
    <row r="308" spans="2:8" s="109" customFormat="1" ht="19.95" hidden="1" customHeight="1" x14ac:dyDescent="0.25">
      <c r="B308" s="126"/>
      <c r="C308" s="116"/>
      <c r="E308" s="214"/>
      <c r="F308" s="116"/>
      <c r="G308" s="117"/>
      <c r="H308" s="118"/>
    </row>
    <row r="309" spans="2:8" ht="19.95" customHeight="1" x14ac:dyDescent="0.25"/>
    <row r="310" spans="2:8" ht="19.95" customHeight="1" x14ac:dyDescent="0.25"/>
  </sheetData>
  <sheetProtection sheet="1" formatCells="0"/>
  <mergeCells count="21">
    <mergeCell ref="F30:G30"/>
    <mergeCell ref="F27:G27"/>
    <mergeCell ref="B15:D15"/>
    <mergeCell ref="B5:D5"/>
    <mergeCell ref="F7:G7"/>
    <mergeCell ref="C7:D7"/>
    <mergeCell ref="C20:D20"/>
    <mergeCell ref="I32:J32"/>
    <mergeCell ref="F32:H32"/>
    <mergeCell ref="I34:J34"/>
    <mergeCell ref="F34:H34"/>
    <mergeCell ref="F33:H33"/>
    <mergeCell ref="I33:J33"/>
    <mergeCell ref="B1:L1"/>
    <mergeCell ref="C12:D12"/>
    <mergeCell ref="C14:D14"/>
    <mergeCell ref="B2:B3"/>
    <mergeCell ref="C2:D3"/>
    <mergeCell ref="C13:D13"/>
    <mergeCell ref="F2:H2"/>
    <mergeCell ref="I2:J2"/>
  </mergeCells>
  <conditionalFormatting sqref="J4:J6 J8:J26 J28:J29">
    <cfRule type="cellIs" dxfId="3" priority="3" operator="greaterThanOrEqual">
      <formula>0</formula>
    </cfRule>
    <cfRule type="cellIs" dxfId="2" priority="4" operator="lessThan">
      <formula>0</formula>
    </cfRule>
  </conditionalFormatting>
  <conditionalFormatting sqref="J7 J27 J30 I34:J34">
    <cfRule type="cellIs" dxfId="1" priority="1" operator="greaterThanOrEqual">
      <formula>0</formula>
    </cfRule>
    <cfRule type="cellIs" dxfId="0" priority="2" operator="lessThan">
      <formula>0</formula>
    </cfRule>
  </conditionalFormatting>
  <pageMargins left="0.74803149606299213" right="0.74803149606299213" top="0.98425196850393704" bottom="0.98425196850393704" header="0.51181102362204722" footer="0.51181102362204722"/>
  <pageSetup paperSize="9" scale="67" fitToHeight="3" orientation="portrait" r:id="rId1"/>
  <headerFooter alignWithMargins="0">
    <oddFooter>&amp;RPage &amp;P</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a5326eb4-4577-4d24-b149-16637c2d809e" xsi:nil="true"/>
    <SharedWithUsers xmlns="a5326eb4-4577-4d24-b149-16637c2d809e">
      <UserInfo>
        <DisplayName>Naomi Rhodes</DisplayName>
        <AccountId>25</AccountId>
        <AccountType/>
      </UserInfo>
    </SharedWithUsers>
    <lcf76f155ced4ddcb4097134ff3c332f xmlns="fb43f9c8-0fa6-41c3-b27a-b391d2e662eb">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61095D41D01AEB438E7659C777831949" ma:contentTypeVersion="15" ma:contentTypeDescription="Create a new document." ma:contentTypeScope="" ma:versionID="a72495336405fae743106974edfff5a6">
  <xsd:schema xmlns:xsd="http://www.w3.org/2001/XMLSchema" xmlns:xs="http://www.w3.org/2001/XMLSchema" xmlns:p="http://schemas.microsoft.com/office/2006/metadata/properties" xmlns:ns2="fb43f9c8-0fa6-41c3-b27a-b391d2e662eb" xmlns:ns3="a5326eb4-4577-4d24-b149-16637c2d809e" targetNamespace="http://schemas.microsoft.com/office/2006/metadata/properties" ma:root="true" ma:fieldsID="bfdaa592354e5199e20fdfc136abd718" ns2:_="" ns3:_="">
    <xsd:import namespace="fb43f9c8-0fa6-41c3-b27a-b391d2e662eb"/>
    <xsd:import namespace="a5326eb4-4577-4d24-b149-16637c2d809e"/>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LengthInSeconds" minOccurs="0"/>
                <xsd:element ref="ns3:SharedWithUsers" minOccurs="0"/>
                <xsd:element ref="ns3:SharedWithDetails" minOccurs="0"/>
                <xsd:element ref="ns2:lcf76f155ced4ddcb4097134ff3c332f" minOccurs="0"/>
                <xsd:element ref="ns3:TaxCatchAll" minOccurs="0"/>
                <xsd:element ref="ns2:MediaServiceGenerationTime" minOccurs="0"/>
                <xsd:element ref="ns2:MediaServiceEventHashCode" minOccurs="0"/>
                <xsd:element ref="ns2:MediaServiceLocation" minOccurs="0"/>
                <xsd:element ref="ns2:MediaServiceOCR"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b43f9c8-0fa6-41c3-b27a-b391d2e662e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bb93d7c5-1566-46e5-a21c-1631c7957937" ma:termSetId="09814cd3-568e-fe90-9814-8d621ff8fb84" ma:anchorId="fba54fb3-c3e1-fe81-a776-ca4b69148c4d" ma:open="true" ma:isKeyword="false">
      <xsd:complexType>
        <xsd:sequence>
          <xsd:element ref="pc:Terms" minOccurs="0" maxOccurs="1"/>
        </xsd:sequence>
      </xsd:complex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OCR" ma:index="21" nillable="true" ma:displayName="Extracted Text" ma:internalName="MediaServiceOCR" ma:readOnly="true">
      <xsd:simpleType>
        <xsd:restriction base="dms:Note">
          <xsd:maxLength value="255"/>
        </xsd:restriction>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5326eb4-4577-4d24-b149-16637c2d809e"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a131c021-2623-4c1b-a09f-00d31657385f}" ma:internalName="TaxCatchAll" ma:showField="CatchAllData" ma:web="a5326eb4-4577-4d24-b149-16637c2d809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66E0595-2BC2-4115-8578-66864091EA62}">
  <ds:schemaRefs>
    <ds:schemaRef ds:uri="http://schemas.microsoft.com/sharepoint/v3/contenttype/forms"/>
  </ds:schemaRefs>
</ds:datastoreItem>
</file>

<file path=customXml/itemProps2.xml><?xml version="1.0" encoding="utf-8"?>
<ds:datastoreItem xmlns:ds="http://schemas.openxmlformats.org/officeDocument/2006/customXml" ds:itemID="{9CD13B2B-BDDC-4BCF-84F5-0E39CE22E681}">
  <ds:schemaRefs>
    <ds:schemaRef ds:uri="http://schemas.microsoft.com/office/2006/documentManagement/types"/>
    <ds:schemaRef ds:uri="http://purl.org/dc/dcmitype/"/>
    <ds:schemaRef ds:uri="http://schemas.microsoft.com/office/2006/metadata/properties"/>
    <ds:schemaRef ds:uri="http://schemas.openxmlformats.org/package/2006/metadata/core-properties"/>
    <ds:schemaRef ds:uri="http://www.w3.org/XML/1998/namespace"/>
    <ds:schemaRef ds:uri="http://schemas.microsoft.com/office/infopath/2007/PartnerControls"/>
    <ds:schemaRef ds:uri="http://purl.org/dc/elements/1.1/"/>
    <ds:schemaRef ds:uri="a5326eb4-4577-4d24-b149-16637c2d809e"/>
    <ds:schemaRef ds:uri="fb43f9c8-0fa6-41c3-b27a-b391d2e662eb"/>
    <ds:schemaRef ds:uri="http://purl.org/dc/terms/"/>
  </ds:schemaRefs>
</ds:datastoreItem>
</file>

<file path=customXml/itemProps3.xml><?xml version="1.0" encoding="utf-8"?>
<ds:datastoreItem xmlns:ds="http://schemas.openxmlformats.org/officeDocument/2006/customXml" ds:itemID="{98B18241-2D1B-4FE4-8D03-D74FFE60BFE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b43f9c8-0fa6-41c3-b27a-b391d2e662eb"/>
    <ds:schemaRef ds:uri="a5326eb4-4577-4d24-b149-16637c2d809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Guidance</vt:lpstr>
      <vt:lpstr>Production Budget</vt:lpstr>
      <vt:lpstr>Access Budget</vt:lpstr>
      <vt:lpstr>Top Sheet</vt:lpstr>
      <vt:lpstr>'Access Budget'!Print_Area</vt:lpstr>
      <vt:lpstr>'Production Budget'!Print_Area</vt:lpstr>
      <vt:lpstr>'Top Sheet'!Print_Area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 Strachan</dc:creator>
  <cp:keywords/>
  <dc:description/>
  <cp:lastModifiedBy>Jem Finn</cp:lastModifiedBy>
  <cp:revision/>
  <dcterms:created xsi:type="dcterms:W3CDTF">2022-01-27T16:11:11Z</dcterms:created>
  <dcterms:modified xsi:type="dcterms:W3CDTF">2025-09-08T14:08:23Z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0x01010061095D41D01AEB438E7659C777831949</vt:lpwstr>
  </property>
  <property fmtid="{D5CDD505-2E9C-101B-9397-08002B2CF9AE}" pid="3" name="Order">
    <vt:r8>24000</vt:r8>
  </property>
  <property fmtid="{D5CDD505-2E9C-101B-9397-08002B2CF9AE}" pid="4" name="MediaServiceImageTags">
    <vt:lpwstr/>
  </property>
</Properties>
</file>